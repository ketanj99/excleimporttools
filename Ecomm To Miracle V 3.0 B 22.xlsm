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20A7F2BD-3D7A-47B3-AE77-9A5AEBBC9CC7}" xr6:coauthVersionLast="47" xr6:coauthVersionMax="47" xr10:uidLastSave="{00000000-0000-0000-0000-000000000000}"/>
  <bookViews>
    <workbookView xWindow="-28920" yWindow="-120" windowWidth="29040" windowHeight="15840" tabRatio="798" activeTab="19" xr2:uid="{00000000-000D-0000-FFFF-FFFF00000000}"/>
  </bookViews>
  <sheets>
    <sheet name="MSH" sheetId="3" r:id="rId1"/>
    <sheet name="AMZ" sheetId="35" r:id="rId2"/>
    <sheet name="AMZ (2)" sheetId="10" state="hidden" r:id="rId3"/>
    <sheet name="FLC" sheetId="9" r:id="rId4"/>
    <sheet name="FLC (C)" sheetId="22" r:id="rId5"/>
    <sheet name="SND" sheetId="11" state="hidden" r:id="rId6"/>
    <sheet name="JIO" sheetId="17" r:id="rId7"/>
    <sheet name="JIO (2)" sheetId="19" state="hidden" r:id="rId8"/>
    <sheet name="GLR" sheetId="12" state="hidden" r:id="rId9"/>
    <sheet name="MYR" sheetId="20" state="hidden" r:id="rId10"/>
    <sheet name="MYR (2)" sheetId="24" state="hidden" r:id="rId11"/>
    <sheet name="NPTL" sheetId="26" state="hidden" r:id="rId12"/>
    <sheet name="MRW" sheetId="14" state="hidden" r:id="rId13"/>
    <sheet name="S101" sheetId="15" state="hidden" r:id="rId14"/>
    <sheet name="S101 (2)" sheetId="23" state="hidden" r:id="rId15"/>
    <sheet name="S101 (3)" sheetId="32" state="hidden" r:id="rId16"/>
    <sheet name="VMT" sheetId="25" state="hidden" r:id="rId17"/>
    <sheet name="UNI" sheetId="34" state="hidden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AMZ!$A$4:$DZ$4</definedName>
    <definedName name="_xlnm._FilterDatabase" localSheetId="2" hidden="1">'AMZ (2)'!$A$4:$DZ$4</definedName>
    <definedName name="_xlnm._FilterDatabase" localSheetId="18" hidden="1">'AMZ TR'!$A$4:$DX$4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GSTR2B!$A$4:$DZ$4</definedName>
    <definedName name="_xlnm._FilterDatabase" localSheetId="20" hidden="1">Help!$C$1:$C$7</definedName>
    <definedName name="_xlnm._FilterDatabase" localSheetId="6" hidden="1">JIO!$A$4:$DT$4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/>
  <c r="AH3" i="16" s="1"/>
  <c r="V3" i="16"/>
  <c r="U3" i="16"/>
  <c r="T3" i="16"/>
  <c r="S3" i="16"/>
  <c r="R3" i="16"/>
  <c r="E2" i="19"/>
  <c r="N3" i="16"/>
  <c r="DA3" i="32"/>
  <c r="DB3" i="32"/>
  <c r="DA3" i="17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AF3" i="16" l="1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<sst xmlns="http://schemas.openxmlformats.org/spreadsheetml/2006/main" count="2271" uniqueCount="914">
  <si>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</si>
  <si>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</si>
  <si>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</si>
  <si>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</si>
  <si>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</si>
  <si>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</si>
  <si>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</si>
  <si>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</si>
  <si>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</si>
  <si>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</si>
  <si>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</si>
  <si>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</si>
  <si>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</si>
  <si>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</si>
  <si>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</si>
  <si>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</si>
  <si>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</si>
  <si>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</si>
  <si>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</si>
  <si>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</si>
  <si>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</si>
  <si>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</si>
  <si>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</si>
  <si>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</si>
  <si>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</si>
  <si>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</si>
  <si>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</si>
  <si>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</si>
  <si>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</si>
  <si>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</si>
  <si>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</si>
  <si>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</si>
  <si>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</si>
  <si>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</si>
  <si>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</si>
  <si>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</si>
  <si>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</si>
  <si>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</si>
  <si>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</si>
  <si>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</si>
  <si>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</si>
  <si>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</si>
  <si>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</si>
  <si>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</si>
  <si>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</si>
  <si>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</si>
  <si>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</si>
  <si>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</si>
  <si>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</si>
  <si>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</si>
  <si>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</si>
  <si>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</si>
  <si>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</si>
  <si>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</si>
  <si>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</si>
  <si>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</si>
  <si>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</si>
  <si>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</si>
  <si>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</si>
  <si>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</si>
  <si>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</si>
  <si>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</si>
  <si>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</si>
  <si>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</si>
  <si>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</si>
  <si>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</si>
  <si>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</si>
  <si>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</si>
  <si>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</si>
  <si>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</si>
  <si>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</si>
  <si>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</si>
  <si>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</si>
  <si>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</si>
  <si>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</si>
  <si>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</si>
  <si>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</si>
  <si>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</si>
  <si>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</si>
  <si>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</si>
  <si>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</si>
  <si>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</si>
  <si>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</si>
  <si>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</si>
  <si>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</si>
  <si>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</si>
  <si>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</si>
  <si>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</si>
  <si>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</si>
  <si>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</si>
  <si>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</si>
  <si>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</si>
  <si>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</si>
  <si>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</si>
  <si>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</si>
  <si>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</si>
  <si>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</si>
  <si>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</si>
  <si>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</si>
  <si>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</si>
  <si>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</si>
  <si>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</si>
  <si>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</si>
  <si>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</si>
  <si>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</si>
  <si>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</si>
  <si>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</si>
  <si>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</si>
  <si>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</si>
  <si>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</si>
  <si>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</si>
  <si>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</si>
  <si>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</si>
  <si>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</si>
  <si>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</si>
  <si>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</si>
  <si>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</si>
  <si>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</si>
  <si>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</si>
  <si>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</si>
  <si>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</si>
  <si>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</si>
  <si>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</si>
  <si>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</si>
  <si>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</si>
  <si>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</si>
  <si>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</si>
  <si>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</si>
  <si>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</si>
  <si>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</si>
  <si>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</si>
  <si>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</si>
  <si>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</si>
  <si>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</si>
  <si>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</si>
  <si>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</si>
  <si>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</si>
  <si>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</si>
  <si>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</si>
  <si>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</si>
  <si>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</si>
  <si>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</si>
  <si>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</si>
  <si>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</si>
  <si>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</si>
  <si>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</si>
  <si>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</si>
  <si>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</si>
  <si>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</si>
  <si>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</si>
  <si>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</si>
  <si>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</si>
  <si>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</si>
  <si>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</si>
  <si>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</si>
  <si>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</si>
  <si>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</si>
  <si>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</si>
  <si>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</si>
  <si>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</si>
  <si>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</si>
  <si>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</si>
  <si>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</si>
  <si>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</si>
  <si>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</si>
  <si>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</si>
  <si>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</si>
  <si>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</si>
  <si>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</si>
  <si>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</si>
  <si>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</si>
  <si>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</si>
  <si>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</si>
  <si>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</si>
  <si>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</si>
  <si>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</si>
  <si>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</si>
  <si>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</si>
  <si>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</si>
  <si>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</si>
  <si>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</si>
  <si>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</si>
  <si>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</si>
  <si>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</si>
  <si>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</si>
  <si>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</si>
  <si>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</si>
  <si>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</si>
  <si>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</si>
  <si>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</si>
  <si>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</si>
  <si>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</si>
  <si>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</si>
  <si>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</si>
  <si>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</si>
  <si>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</si>
  <si>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</si>
  <si>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</si>
  <si>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</si>
  <si>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</si>
  <si>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</si>
  <si>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</si>
  <si>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</si>
  <si>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</si>
  <si>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</si>
  <si>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</si>
  <si>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</si>
  <si>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</si>
  <si>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</si>
  <si>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</si>
  <si>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</si>
  <si>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</si>
  <si>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</si>
  <si>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</si>
  <si>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</si>
  <si>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</si>
  <si>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</si>
  <si>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</si>
  <si>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</si>
  <si>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</si>
  <si>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</si>
  <si>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</si>
  <si>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</si>
  <si>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</si>
  <si>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</si>
  <si>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</si>
  <si>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</si>
  <si>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</si>
  <si>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</si>
  <si>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</si>
  <si>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</si>
  <si>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</si>
  <si>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</si>
  <si>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</si>
  <si>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</si>
  <si>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</si>
  <si>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</si>
  <si>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</si>
  <si>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</si>
  <si>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</si>
  <si>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</si>
  <si>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</si>
  <si>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</si>
  <si>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</si>
  <si>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</si>
  <si>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</si>
  <si>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</si>
  <si>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</si>
  <si>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</si>
  <si>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</si>
  <si>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</si>
  <si>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</si>
  <si>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</si>
  <si>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</si>
  <si>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</si>
  <si>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</si>
  <si>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</si>
  <si>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</si>
  <si>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</si>
  <si>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</si>
  <si>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</si>
  <si>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</si>
  <si>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</si>
  <si>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</si>
  <si>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</si>
  <si>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</si>
  <si>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</si>
  <si>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</si>
  <si>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</si>
  <si>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</si>
  <si>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</si>
  <si>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</si>
  <si>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</si>
  <si>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</si>
  <si>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</si>
  <si>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</si>
  <si>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</si>
  <si>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</si>
  <si>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</si>
  <si>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</si>
  <si>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</si>
  <si>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</si>
  <si>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</si>
  <si>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</si>
  <si>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</si>
  <si>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</si>
  <si>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</si>
  <si>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</si>
  <si>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</si>
  <si>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</si>
  <si>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</si>
  <si>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</si>
  <si>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</si>
  <si>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</si>
  <si>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</si>
  <si>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</si>
  <si>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</si>
  <si>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</si>
  <si>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</si>
  <si>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</si>
  <si>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</si>
  <si>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</si>
  <si>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</si>
  <si>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</si>
  <si>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</si>
  <si>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</si>
  <si>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</si>
  <si>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</si>
  <si>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</si>
  <si>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</si>
  <si>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</si>
  <si>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</si>
  <si>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</si>
  <si>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</si>
  <si>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</si>
  <si>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</si>
  <si>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</si>
  <si>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</si>
  <si>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</si>
  <si>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</si>
  <si>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</si>
  <si>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</si>
  <si>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</si>
  <si>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</si>
  <si>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</si>
  <si>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</si>
  <si>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</si>
  <si>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</si>
  <si>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</si>
  <si>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</si>
  <si>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</si>
  <si>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</si>
  <si>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</si>
  <si>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</si>
  <si>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</si>
  <si>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</si>
  <si>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</si>
  <si>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</si>
  <si>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</si>
  <si>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</si>
  <si>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</si>
  <si>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</si>
  <si>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</si>
  <si>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</si>
  <si>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</si>
  <si>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</si>
  <si>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</si>
  <si>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</si>
  <si>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</si>
  <si>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</si>
  <si>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</si>
  <si>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</si>
  <si>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</si>
  <si>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</si>
  <si>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</si>
  <si>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</si>
  <si>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</si>
  <si>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</si>
  <si>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</si>
  <si>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</si>
  <si>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</si>
  <si>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</si>
  <si>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</si>
  <si>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</si>
  <si>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</si>
  <si>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</si>
  <si>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</si>
  <si>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</si>
  <si>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</si>
  <si>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</si>
  <si>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</si>
  <si>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</si>
  <si>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</si>
  <si>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</si>
  <si>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</si>
  <si>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</si>
  <si>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</si>
  <si>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</si>
  <si>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</si>
  <si>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</si>
  <si>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</si>
  <si>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</si>
  <si>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</si>
  <si>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</si>
  <si>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</si>
  <si>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</si>
  <si>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</si>
  <si>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</si>
  <si>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</si>
  <si>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</si>
  <si>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</si>
  <si>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</si>
  <si>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</si>
  <si>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</si>
  <si>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</si>
  <si>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</si>
  <si>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</si>
  <si>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</si>
  <si>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</si>
  <si>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</si>
  <si>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</si>
  <si>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</si>
  <si>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</si>
  <si>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</si>
  <si>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</si>
  <si>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</si>
  <si>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</si>
  <si>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</si>
  <si>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</si>
  <si>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</si>
  <si>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</si>
  <si>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</si>
  <si>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</si>
  <si>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</si>
  <si>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</si>
  <si>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</si>
  <si>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</si>
  <si>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</si>
  <si>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</si>
  <si>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</si>
  <si>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</si>
  <si>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</si>
  <si>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</si>
  <si>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</si>
  <si>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</si>
  <si>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</si>
  <si>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</si>
  <si>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</si>
  <si>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</si>
  <si>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</si>
  <si>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</si>
  <si>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</si>
  <si>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</si>
  <si>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</si>
  <si>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</si>
  <si>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</si>
  <si>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</si>
  <si>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</si>
  <si>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</si>
  <si>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</si>
  <si>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</si>
  <si>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</si>
  <si>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</si>
  <si>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</si>
  <si>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</si>
  <si>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</si>
  <si>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</si>
  <si>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</si>
  <si>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</si>
  <si>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</si>
  <si>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</si>
  <si>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</si>
  <si>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</si>
  <si>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</si>
  <si>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</si>
  <si>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</si>
  <si>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</si>
  <si>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</si>
  <si>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</si>
  <si>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</si>
  <si>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</si>
  <si>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</si>
  <si>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</si>
  <si>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</si>
  <si>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</si>
  <si>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</si>
  <si>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</si>
  <si>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</si>
  <si>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</si>
  <si>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</si>
  <si>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</si>
  <si>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</si>
  <si>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</si>
  <si>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</si>
  <si>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</si>
  <si>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</si>
  <si>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</si>
  <si>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</si>
  <si>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</si>
  <si>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</si>
  <si>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</si>
  <si>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</si>
  <si>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</si>
  <si>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</si>
  <si>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</si>
  <si>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</si>
  <si>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</si>
  <si>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</si>
  <si>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</si>
  <si>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</si>
  <si>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</si>
  <si>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</si>
  <si>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</si>
  <si>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</si>
  <si>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</si>
  <si>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</si>
  <si>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</si>
  <si>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</si>
  <si>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</si>
  <si>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</si>
  <si>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</si>
  <si>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</si>
  <si>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</si>
  <si>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</si>
  <si>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</si>
  <si>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</si>
  <si>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</si>
  <si>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</si>
  <si>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</si>
  <si>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</si>
  <si>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</si>
  <si>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</si>
  <si>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</si>
  <si>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</si>
  <si>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</si>
  <si>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</si>
  <si>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</si>
  <si>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</si>
  <si>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</si>
  <si>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</si>
  <si>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</si>
  <si>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</si>
  <si>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</si>
  <si>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</si>
  <si>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</si>
  <si>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</si>
  <si>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</si>
  <si>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</si>
  <si>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</si>
  <si>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</si>
  <si>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</si>
  <si>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</si>
  <si>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</si>
  <si>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</si>
  <si>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</si>
  <si>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</si>
  <si>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</si>
  <si>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</si>
  <si>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</si>
  <si>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</si>
  <si>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</si>
  <si>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</si>
  <si>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</si>
  <si>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</si>
  <si>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</si>
  <si>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</si>
  <si>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</si>
  <si>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</si>
  <si>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</si>
  <si>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</si>
  <si>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</si>
  <si>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</si>
  <si>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</si>
  <si>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</si>
  <si>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</si>
  <si>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</si>
  <si>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</si>
  <si>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</si>
  <si>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</si>
  <si>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</si>
  <si>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</si>
  <si>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</si>
  <si>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</si>
  <si>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</si>
  <si>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</si>
  <si>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</si>
  <si>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</si>
  <si>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</si>
  <si>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</si>
  <si>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</si>
  <si>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</si>
  <si>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</si>
  <si>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</si>
  <si>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</si>
  <si>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</si>
  <si>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</si>
  <si>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</si>
  <si>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</si>
  <si>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</si>
  <si>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</si>
  <si>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</si>
  <si>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</si>
  <si>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</si>
  <si>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</si>
  <si>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</si>
  <si>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</si>
  <si>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</si>
  <si>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</si>
  <si>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</si>
  <si>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</si>
  <si>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</si>
  <si>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</si>
  <si>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</si>
  <si>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</si>
  <si>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</si>
  <si>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</si>
  <si>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</si>
  <si>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</si>
  <si>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</si>
  <si>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</si>
  <si>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</si>
  <si>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</si>
  <si>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</si>
  <si>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</si>
  <si>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</si>
  <si>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</si>
  <si>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</si>
  <si>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</si>
  <si>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</si>
  <si>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</si>
  <si>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</si>
  <si>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</si>
  <si>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</si>
  <si>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</si>
  <si>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</si>
  <si>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</si>
  <si>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</si>
  <si>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</si>
  <si>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</si>
  <si>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</si>
  <si>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</si>
  <si>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</si>
  <si>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</si>
  <si>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</si>
  <si>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</si>
  <si>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</si>
  <si>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</si>
  <si>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</si>
  <si>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</si>
  <si>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</si>
  <si>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</si>
  <si>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</si>
  <si>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</si>
  <si>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</si>
  <si>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</si>
  <si>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</si>
  <si>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</si>
  <si>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</si>
  <si>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</si>
  <si>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</si>
  <si>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</si>
  <si>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</si>
  <si>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</si>
  <si>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</si>
  <si>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</si>
  <si>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</si>
  <si>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</si>
  <si>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</si>
  <si>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</si>
  <si>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</si>
  <si>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</si>
  <si>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</si>
  <si>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</si>
  <si>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</si>
  <si>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</si>
  <si>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</si>
  <si>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</si>
  <si>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</si>
  <si>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</si>
  <si>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</si>
  <si>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</si>
  <si>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</si>
  <si>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</si>
  <si>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</si>
  <si>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</si>
  <si>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</si>
  <si>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</si>
  <si>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</si>
  <si>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</si>
  <si>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</si>
  <si>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</si>
  <si>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</si>
  <si>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</si>
  <si>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</si>
  <si>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</si>
  <si>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</si>
  <si>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</si>
  <si>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</si>
  <si>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</si>
  <si>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</si>
  <si>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</si>
  <si>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</si>
  <si>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</si>
  <si>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</si>
  <si>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</si>
  <si>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</si>
  <si>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</si>
  <si>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</si>
  <si>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</si>
  <si>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</si>
  <si>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</si>
  <si>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</si>
  <si>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</si>
  <si>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</si>
  <si>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</si>
  <si>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</si>
  <si>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</si>
  <si>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</si>
  <si>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</si>
  <si>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</si>
  <si>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</si>
  <si>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</si>
  <si>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</si>
  <si>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</si>
  <si>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</si>
  <si>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</si>
  <si>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</si>
  <si>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</si>
  <si>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</si>
  <si>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</si>
  <si>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</si>
  <si>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</si>
  <si>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</si>
  <si>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</si>
  <si>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</si>
  <si>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</si>
  <si>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</si>
  <si>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</si>
  <si>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</si>
  <si>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</si>
  <si>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</si>
  <si>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</si>
  <si>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</si>
  <si>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</si>
  <si>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</si>
  <si>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</si>
  <si>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</si>
  <si>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</si>
  <si>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</si>
  <si>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</si>
  <si>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</si>
  <si>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</si>
  <si>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</si>
  <si>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</si>
  <si>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</si>
  <si>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</si>
  <si>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</si>
  <si>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</si>
  <si>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</si>
  <si>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</si>
  <si>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</si>
  <si>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</si>
  <si>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</si>
  <si>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</si>
  <si>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</si>
  <si>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</si>
  <si>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</si>
  <si>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</si>
  <si>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</si>
  <si>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</si>
  <si>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</si>
  <si>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</si>
  <si>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</si>
  <si>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</si>
  <si>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</si>
  <si>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</si>
  <si>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</si>
  <si>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</si>
  <si>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</si>
  <si>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</si>
  <si>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</si>
  <si>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</si>
  <si>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</si>
  <si>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</si>
  <si>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</si>
  <si>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</si>
  <si>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</si>
  <si>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</si>
  <si>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</si>
  <si>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</si>
  <si>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</si>
  <si>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</si>
  <si>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</si>
  <si>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</si>
  <si>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</si>
  <si>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</si>
  <si>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</si>
  <si>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</si>
  <si>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</si>
  <si>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</si>
  <si>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</si>
  <si>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</si>
  <si>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</si>
  <si>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</si>
  <si>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</si>
  <si>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</si>
  <si>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</si>
  <si>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</si>
  <si>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</si>
  <si>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</si>
  <si>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</si>
  <si>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</si>
  <si>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</si>
  <si>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</si>
  <si>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</si>
  <si>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</si>
  <si>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</si>
  <si>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</si>
  <si>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</si>
  <si>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</si>
  <si>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</si>
  <si>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</si>
  <si>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</si>
  <si>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</si>
  <si>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</si>
  <si>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</si>
  <si>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</si>
  <si>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</si>
  <si>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</si>
  <si>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</si>
  <si>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</si>
  <si>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</si>
  <si>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</si>
  <si>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</si>
  <si>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</si>
  <si>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</si>
  <si>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</si>
  <si>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</si>
  <si>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</si>
  <si>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</si>
  <si>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</si>
  <si>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</si>
  <si>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</si>
  <si>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</si>
  <si>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</si>
  <si>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</si>
  <si>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</si>
  <si>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</si>
  <si>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</si>
  <si>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</si>
  <si>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</si>
  <si>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</si>
  <si>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</si>
  <si>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</si>
  <si>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</si>
  <si>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</si>
  <si>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</si>
  <si>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</si>
  <si>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</si>
  <si>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</si>
  <si>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</si>
  <si>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</si>
  <si>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</si>
  <si>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</si>
  <si>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</si>
  <si>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</si>
  <si>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</si>
  <si>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</si>
  <si>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</si>
  <si>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</si>
  <si>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</si>
  <si>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</si>
  <si>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</si>
  <si>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</si>
  <si>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</si>
  <si>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</si>
  <si>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</si>
  <si>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</si>
  <si>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</si>
  <si>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</si>
  <si>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</si>
  <si>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</si>
  <si>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</si>
  <si>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</si>
  <si>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</si>
  <si>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</si>
  <si>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</si>
  <si>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</si>
  <si>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</si>
  <si>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</si>
  <si>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</si>
  <si>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</si>
  <si>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</si>
  <si>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</si>
  <si>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</si>
  <si>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</si>
  <si>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</si>
  <si>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</si>
  <si>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</si>
  <si>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</si>
  <si>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</si>
  <si>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</si>
  <si>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</si>
  <si>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</si>
  <si>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</si>
  <si>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</si>
  <si>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</si>
  <si>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</si>
  <si>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</si>
  <si>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</si>
  <si>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</si>
  <si>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</si>
  <si>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</si>
  <si>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</si>
  <si>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</si>
  <si>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</si>
  <si>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</si>
  <si>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</si>
  <si>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</si>
  <si>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</si>
  <si>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</si>
  <si>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</si>
  <si>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</si>
  <si>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</si>
  <si>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</si>
  <si>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</si>
  <si>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</si>
  <si>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\\ADITYA-TECH\All Sharing\Ecom Setup\Devlop\ecomm statment\jio\Invoice Report.xlsx</t>
  </si>
  <si>
    <t>AMZ (2)</t>
  </si>
  <si>
    <t>\\ADITYA-TECH\All Sharing\Ecom Setup\Devlop\ecomm statment\amazon stock tranf full.xlsx</t>
  </si>
  <si>
    <t>\\ADITYA-TECH\All Sharing\Ecom Setup\Devlop\ecomm statment\GST_MTR_B2B_CUSTOM-A2HH06SYJIY2PZ-2024_11_25-2024_11_30 new.xlsx</t>
  </si>
  <si>
    <t>\\ADITYA-TECH\All Sharing\Ecom Setup\Devlop\ecomm statment\GST_STR_CUSTOM-A2HH06SYJIY2PZ-2024_11_01-2024_12_01.xlsx</t>
  </si>
  <si>
    <t>\\ADITYA-TECH\All Sharing\Ecom Setup\Devlop\ecomm statment\Reverse.xlsx</t>
  </si>
  <si>
    <t>ADITYA TECHNOLOGIES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</si>
</sst>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404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89" name="MSH_CheckBox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14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90" name="AMZ_CheckBox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14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91" name="AMZ (2)_CheckBox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14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92" name="FLC_CheckBox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14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93" name="FLC (C)_CheckBox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14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94" name="SND_CheckBox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14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95" name="JIO_CheckBox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14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96" name="JIO (2)_CheckBox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14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97" name="GLR_CheckBox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14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98" name="MYR_CheckBox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14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99" name="MYR (2)_CheckBox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14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00" name="NPTL_CheckBox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14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01" name="MRW_CheckBox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4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02" name="S101_CheckBox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4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03" name="S101 (2)_CheckBox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4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04" name="S101 (3)_CheckBox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4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05" name="VMT_CheckBox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4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06" name="UNI_CheckBox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4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07" name="AMZ TR_CheckBox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4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08" name="GSTR2B_CheckBox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4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7" t="s">
        <v>237</v>
      </c>
      <c r="P1" s="398"/>
      <c r="AB1" s="16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797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3"/>
      <c r="B3" s="63" t="s">
        <v>83</v>
      </c>
      <c r="C3" s="62"/>
      <c r="D3" s="62" t="s">
        <v>912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statment\Reverse.xlsx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7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BiZzqYB5cxFsNVgrKa+SBVS4XWpjirOoElC0g5QqWJBTqEEcs3htsdZRKJCGIWfjt89eCALRnOX/sGceTuq7+Q==" saltValue="8pj2NDx5heUL8hRXDTdWP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7" operator="equal">
      <formula>#N/A</formula>
    </cfRule>
  </conditionalFormatting>
  <conditionalFormatting sqref="H1:H2">
    <cfRule type="cellIs" dxfId="282" priority="16" operator="equal">
      <formula>#N/A</formula>
    </cfRule>
  </conditionalFormatting>
  <conditionalFormatting sqref="E1">
    <cfRule type="cellIs" dxfId="281" priority="10" operator="equal">
      <formula>#N/A</formula>
    </cfRule>
  </conditionalFormatting>
  <conditionalFormatting sqref="I1:I2">
    <cfRule type="cellIs" dxfId="280" priority="9" operator="equal">
      <formula>#N/A</formula>
    </cfRule>
  </conditionalFormatting>
  <conditionalFormatting sqref="J1:J2">
    <cfRule type="cellIs" dxfId="279" priority="8" operator="equal">
      <formula>#N/A</formula>
    </cfRule>
  </conditionalFormatting>
  <conditionalFormatting sqref="J1">
    <cfRule type="containsText" dxfId="278" priority="6" operator="containsText" text="All Data Import Successfully">
      <formula>NOT(ISERROR(SEARCH("All Data Import Successfully",J1)))</formula>
    </cfRule>
    <cfRule type="containsText" dxfId="277" priority="7" operator="containsText" text="Difference Entry">
      <formula>NOT(ISERROR(SEARCH("Difference Entry",J1)))</formula>
    </cfRule>
  </conditionalFormatting>
  <conditionalFormatting sqref="J2">
    <cfRule type="cellIs" dxfId="276" priority="5" operator="equal">
      <formula>0</formula>
    </cfRule>
  </conditionalFormatting>
  <conditionalFormatting sqref="K2">
    <cfRule type="cellIs" dxfId="275" priority="4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E29" sqref="E29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910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7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8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905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902</v>
      </c>
      <c r="BH4" s="82" t="s">
        <v>210</v>
      </c>
      <c r="BI4" s="82" t="s">
        <v>211</v>
      </c>
      <c r="BJ4" s="82" t="s">
        <v>903</v>
      </c>
      <c r="BK4" s="82" t="s">
        <v>212</v>
      </c>
      <c r="BL4" s="82" t="s">
        <v>213</v>
      </c>
      <c r="BM4" s="82" t="s">
        <v>904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7" t="s">
        <v>226</v>
      </c>
      <c r="CA4" s="82" t="s">
        <v>227</v>
      </c>
      <c r="CB4" s="82" t="s">
        <v>228</v>
      </c>
      <c r="CC4" s="82" t="s">
        <v>229</v>
      </c>
      <c r="CD4" s="82" t="s">
        <v>906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jdmMIFQcCg5EM57pP9AjmGQI4cYKcfAPpt4/FfVFe5UDpnA0udzyxbY3N+oezwFQsV650NXpXeX5N36pU375PQ==" saltValue="vAcKByPbpkXDBZxVV4Qfbw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7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8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887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888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889</v>
      </c>
      <c r="BI4" s="82" t="s">
        <v>210</v>
      </c>
      <c r="BJ4" s="82" t="s">
        <v>211</v>
      </c>
      <c r="BK4" s="82" t="s">
        <v>890</v>
      </c>
      <c r="BL4" s="82" t="s">
        <v>212</v>
      </c>
      <c r="BM4" s="82" t="s">
        <v>213</v>
      </c>
      <c r="BN4" s="82" t="s">
        <v>891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895</v>
      </c>
      <c r="O1" s="397" t="s">
        <v>237</v>
      </c>
      <c r="P1" s="398"/>
      <c r="Q1" s="2"/>
      <c r="R1" s="2"/>
      <c r="S1" s="2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797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3"/>
      <c r="B3" s="63" t="s">
        <v>84</v>
      </c>
      <c r="C3" s="8"/>
      <c r="D3" s="8" t="s">
        <v>901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H12" sqref="H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901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880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7" sqref="F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1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900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86" t="s">
        <v>248</v>
      </c>
      <c r="B4" s="386" t="s">
        <v>249</v>
      </c>
      <c r="C4" s="386" t="s">
        <v>250</v>
      </c>
      <c r="D4" s="386" t="s">
        <v>256</v>
      </c>
      <c r="E4" s="386" t="s">
        <v>160</v>
      </c>
      <c r="F4" s="386" t="s">
        <v>661</v>
      </c>
      <c r="G4" s="386" t="s">
        <v>300</v>
      </c>
      <c r="H4" s="386" t="s">
        <v>301</v>
      </c>
      <c r="I4" s="386" t="s">
        <v>662</v>
      </c>
      <c r="J4" s="386" t="s">
        <v>365</v>
      </c>
      <c r="K4" s="386" t="s">
        <v>896</v>
      </c>
      <c r="L4" s="386" t="s">
        <v>251</v>
      </c>
      <c r="M4" s="386" t="s">
        <v>302</v>
      </c>
      <c r="N4" s="386" t="s">
        <v>253</v>
      </c>
      <c r="O4" s="386" t="s">
        <v>55</v>
      </c>
      <c r="P4" s="386" t="s">
        <v>303</v>
      </c>
      <c r="Q4" s="386" t="s">
        <v>254</v>
      </c>
      <c r="R4" s="386" t="s">
        <v>255</v>
      </c>
      <c r="S4" s="386" t="s">
        <v>259</v>
      </c>
      <c r="T4" s="386" t="s">
        <v>288</v>
      </c>
      <c r="U4" s="386" t="s">
        <v>489</v>
      </c>
      <c r="V4" s="386" t="s">
        <v>289</v>
      </c>
      <c r="W4" s="386" t="s">
        <v>663</v>
      </c>
      <c r="X4" s="386" t="s">
        <v>664</v>
      </c>
      <c r="Y4" s="386" t="s">
        <v>260</v>
      </c>
      <c r="Z4" s="386" t="s">
        <v>291</v>
      </c>
      <c r="AA4" s="386" t="s">
        <v>292</v>
      </c>
      <c r="AB4" s="386" t="s">
        <v>293</v>
      </c>
      <c r="AC4" s="386" t="s">
        <v>294</v>
      </c>
      <c r="AD4" s="386" t="s">
        <v>299</v>
      </c>
      <c r="AE4" s="386" t="s">
        <v>268</v>
      </c>
      <c r="AF4" s="386" t="s">
        <v>269</v>
      </c>
      <c r="AG4" s="386" t="s">
        <v>275</v>
      </c>
      <c r="AH4" s="386" t="s">
        <v>276</v>
      </c>
      <c r="AI4" s="386" t="s">
        <v>277</v>
      </c>
      <c r="AJ4" s="386" t="s">
        <v>278</v>
      </c>
      <c r="AK4" s="386" t="s">
        <v>279</v>
      </c>
      <c r="AL4" s="386" t="s">
        <v>280</v>
      </c>
      <c r="AM4" s="386" t="s">
        <v>281</v>
      </c>
      <c r="AN4" s="386" t="s">
        <v>282</v>
      </c>
      <c r="AO4" s="386" t="s">
        <v>283</v>
      </c>
      <c r="AP4" s="386" t="s">
        <v>284</v>
      </c>
      <c r="AQ4" s="386" t="s">
        <v>285</v>
      </c>
      <c r="AR4" s="386" t="s">
        <v>286</v>
      </c>
      <c r="AS4" s="386" t="s">
        <v>287</v>
      </c>
      <c r="AT4" s="386" t="s">
        <v>490</v>
      </c>
      <c r="AU4" s="386" t="s">
        <v>491</v>
      </c>
      <c r="AV4" s="386" t="s">
        <v>897</v>
      </c>
      <c r="AW4" s="386" t="s">
        <v>898</v>
      </c>
      <c r="AX4" s="386" t="s">
        <v>899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98qPnhQKibyu1AG7wtizTBuERL1loen73uuEU48mBl4SELIsmdNps4NCknPCgR1fg8BuWuje+yx/32HXlmE69g==" saltValue="vUv/kB1dWzFKqbO0YndUy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870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805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717</v>
      </c>
      <c r="P1" s="398"/>
      <c r="AA1" s="209">
        <v>2</v>
      </c>
      <c r="AB1" s="210">
        <v>0</v>
      </c>
      <c r="AC1" s="210"/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886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3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883</v>
      </c>
      <c r="C3" s="8"/>
      <c r="D3" s="8" t="s">
        <v>882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7" t="s">
        <v>237</v>
      </c>
      <c r="P1" s="398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833</v>
      </c>
      <c r="D4" s="82" t="s">
        <v>160</v>
      </c>
      <c r="E4" s="82" t="s">
        <v>834</v>
      </c>
      <c r="F4" s="82" t="s">
        <v>835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836</v>
      </c>
      <c r="M4" s="82" t="s">
        <v>837</v>
      </c>
      <c r="N4" s="82" t="s">
        <v>80</v>
      </c>
      <c r="O4" s="82" t="s">
        <v>838</v>
      </c>
      <c r="P4" s="82" t="s">
        <v>412</v>
      </c>
      <c r="Q4" s="82" t="s">
        <v>415</v>
      </c>
      <c r="R4" s="82" t="s">
        <v>413</v>
      </c>
      <c r="S4" s="82" t="s">
        <v>839</v>
      </c>
      <c r="T4" s="82" t="s">
        <v>840</v>
      </c>
      <c r="U4" s="82" t="s">
        <v>508</v>
      </c>
      <c r="V4" s="82" t="s">
        <v>504</v>
      </c>
      <c r="W4" s="82" t="s">
        <v>841</v>
      </c>
      <c r="X4" s="82" t="s">
        <v>842</v>
      </c>
      <c r="Y4" s="82" t="s">
        <v>843</v>
      </c>
      <c r="Z4" s="82" t="s">
        <v>844</v>
      </c>
      <c r="AA4" s="82" t="s">
        <v>845</v>
      </c>
      <c r="AB4" s="82" t="s">
        <v>846</v>
      </c>
      <c r="AC4" s="82" t="s">
        <v>847</v>
      </c>
      <c r="AD4" s="82" t="s">
        <v>848</v>
      </c>
      <c r="AE4" s="82" t="s">
        <v>849</v>
      </c>
      <c r="AF4" s="82" t="s">
        <v>850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874</v>
      </c>
      <c r="DB2" s="91" t="s">
        <v>875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873</v>
      </c>
      <c r="C3" s="8"/>
      <c r="D3" s="62" t="s">
        <v>894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59" t="s">
        <v>420</v>
      </c>
      <c r="B4" s="359" t="s">
        <v>421</v>
      </c>
      <c r="C4" s="359" t="s">
        <v>422</v>
      </c>
      <c r="D4" s="359" t="s">
        <v>423</v>
      </c>
      <c r="E4" s="359" t="s">
        <v>424</v>
      </c>
      <c r="F4" s="359" t="s">
        <v>305</v>
      </c>
      <c r="G4" s="359" t="s">
        <v>425</v>
      </c>
      <c r="H4" s="359" t="s">
        <v>426</v>
      </c>
      <c r="I4" s="359" t="s">
        <v>427</v>
      </c>
      <c r="J4" s="359" t="s">
        <v>428</v>
      </c>
      <c r="K4" s="359" t="s">
        <v>429</v>
      </c>
      <c r="L4" s="359" t="s">
        <v>430</v>
      </c>
      <c r="M4" s="359" t="s">
        <v>73</v>
      </c>
      <c r="N4" s="359" t="s">
        <v>431</v>
      </c>
      <c r="O4" s="359" t="s">
        <v>432</v>
      </c>
      <c r="P4" s="359" t="s">
        <v>433</v>
      </c>
      <c r="Q4" s="359" t="s">
        <v>434</v>
      </c>
      <c r="R4" s="359" t="s">
        <v>435</v>
      </c>
      <c r="S4" s="359" t="s">
        <v>436</v>
      </c>
      <c r="T4" s="359" t="s">
        <v>437</v>
      </c>
      <c r="U4" s="359" t="s">
        <v>438</v>
      </c>
      <c r="V4" s="359" t="s">
        <v>439</v>
      </c>
      <c r="W4" s="359" t="s">
        <v>440</v>
      </c>
      <c r="X4" s="359" t="s">
        <v>441</v>
      </c>
      <c r="Y4" s="359" t="s">
        <v>442</v>
      </c>
      <c r="Z4" s="359" t="s">
        <v>412</v>
      </c>
      <c r="AA4" s="359" t="s">
        <v>277</v>
      </c>
      <c r="AB4" s="359" t="s">
        <v>413</v>
      </c>
      <c r="AC4" s="359" t="s">
        <v>443</v>
      </c>
      <c r="AD4" s="359" t="s">
        <v>415</v>
      </c>
      <c r="AE4" s="359" t="s">
        <v>275</v>
      </c>
      <c r="AF4" s="359" t="s">
        <v>414</v>
      </c>
      <c r="AG4" s="359" t="s">
        <v>444</v>
      </c>
      <c r="AH4" s="359" t="s">
        <v>445</v>
      </c>
      <c r="AI4" s="359" t="s">
        <v>446</v>
      </c>
      <c r="AJ4" s="359" t="s">
        <v>447</v>
      </c>
      <c r="AK4" s="359" t="s">
        <v>448</v>
      </c>
      <c r="AL4" s="359" t="s">
        <v>449</v>
      </c>
      <c r="AM4" s="359" t="s">
        <v>450</v>
      </c>
      <c r="AN4" s="359" t="s">
        <v>451</v>
      </c>
      <c r="AO4" s="359" t="s">
        <v>452</v>
      </c>
      <c r="AP4" s="359" t="s">
        <v>453</v>
      </c>
      <c r="AQ4" s="359" t="s">
        <v>454</v>
      </c>
      <c r="AR4" s="359" t="s">
        <v>455</v>
      </c>
      <c r="AS4" s="359" t="s">
        <v>456</v>
      </c>
      <c r="AT4" s="359" t="s">
        <v>457</v>
      </c>
      <c r="AU4" s="359" t="s">
        <v>458</v>
      </c>
      <c r="AV4" s="359" t="s">
        <v>459</v>
      </c>
      <c r="AW4" s="359" t="s">
        <v>460</v>
      </c>
      <c r="AX4" s="359" t="s">
        <v>461</v>
      </c>
      <c r="AY4" s="359" t="s">
        <v>462</v>
      </c>
      <c r="AZ4" s="359" t="s">
        <v>463</v>
      </c>
      <c r="BA4" s="359" t="s">
        <v>464</v>
      </c>
      <c r="BB4" s="359" t="s">
        <v>465</v>
      </c>
      <c r="BC4" s="359" t="s">
        <v>466</v>
      </c>
      <c r="BD4" s="359" t="s">
        <v>467</v>
      </c>
      <c r="BE4" s="359" t="s">
        <v>468</v>
      </c>
      <c r="BF4" s="359" t="s">
        <v>469</v>
      </c>
      <c r="BG4" s="359" t="s">
        <v>470</v>
      </c>
      <c r="BH4" s="359" t="s">
        <v>471</v>
      </c>
      <c r="BI4" s="359" t="s">
        <v>472</v>
      </c>
      <c r="BJ4" s="359" t="s">
        <v>473</v>
      </c>
      <c r="BK4" s="359" t="s">
        <v>474</v>
      </c>
      <c r="BL4" s="359" t="s">
        <v>475</v>
      </c>
      <c r="BM4" s="359" t="s">
        <v>476</v>
      </c>
      <c r="BN4" s="359" t="s">
        <v>477</v>
      </c>
      <c r="BO4" s="359" t="s">
        <v>478</v>
      </c>
      <c r="BP4" s="359" t="s">
        <v>479</v>
      </c>
      <c r="BQ4" s="359" t="s">
        <v>480</v>
      </c>
      <c r="BR4" s="359" t="s">
        <v>481</v>
      </c>
      <c r="BS4" s="359" t="s">
        <v>482</v>
      </c>
      <c r="BT4" s="359" t="s">
        <v>55</v>
      </c>
      <c r="BU4" s="359" t="s">
        <v>483</v>
      </c>
      <c r="BV4" s="359" t="s">
        <v>484</v>
      </c>
      <c r="BW4" s="359" t="s">
        <v>485</v>
      </c>
      <c r="BX4" s="359" t="s">
        <v>486</v>
      </c>
      <c r="BY4" s="359" t="s">
        <v>487</v>
      </c>
      <c r="BZ4" s="359"/>
      <c r="CA4" s="359"/>
      <c r="CB4" s="359"/>
      <c r="CC4" s="359"/>
      <c r="CD4" s="359"/>
      <c r="CE4" s="359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879</v>
      </c>
      <c r="H1" s="292" t="s">
        <v>892</v>
      </c>
      <c r="I1" s="292" t="s">
        <v>893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1" t="s">
        <v>864</v>
      </c>
      <c r="DB2" s="361" t="s">
        <v>781</v>
      </c>
      <c r="DC2" s="361" t="s">
        <v>230</v>
      </c>
      <c r="DD2" s="361" t="s">
        <v>877</v>
      </c>
      <c r="DE2" s="361" t="s">
        <v>783</v>
      </c>
      <c r="DF2" s="361" t="s">
        <v>865</v>
      </c>
      <c r="DG2" s="362" t="s">
        <v>784</v>
      </c>
      <c r="DH2" s="361" t="s">
        <v>785</v>
      </c>
      <c r="DI2" s="361" t="s">
        <v>786</v>
      </c>
      <c r="DJ2" s="361" t="s">
        <v>420</v>
      </c>
      <c r="DK2" s="361" t="s">
        <v>76</v>
      </c>
      <c r="DL2" s="361" t="s">
        <v>403</v>
      </c>
      <c r="DM2" s="361" t="s">
        <v>787</v>
      </c>
      <c r="DN2" s="361" t="s">
        <v>788</v>
      </c>
      <c r="DO2" s="361" t="s">
        <v>789</v>
      </c>
      <c r="DP2" s="361" t="s">
        <v>426</v>
      </c>
      <c r="DQ2" s="361" t="s">
        <v>318</v>
      </c>
      <c r="DR2" s="363" t="s">
        <v>800</v>
      </c>
      <c r="DS2" s="361" t="s">
        <v>106</v>
      </c>
      <c r="DT2" s="361" t="s">
        <v>878</v>
      </c>
      <c r="DU2" s="361" t="s">
        <v>876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909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868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4">
        <f>+IF(B3="FC_REMOVAL",VALUE(IF(X3=0,0,V3*-1)),VALUE(IF(X3=0,0,V3)))</f>
        <v>0</v>
      </c>
      <c r="DT3" s="364" t="e">
        <f>+VLOOKUP(DU3,Help!$AC$3:$AD$20,2,0)</f>
        <v>#N/A</v>
      </c>
      <c r="DU3" s="365" t="str">
        <f>+AG3</f>
        <v>Sales</v>
      </c>
      <c r="DV3" s="360"/>
      <c r="DW3" s="360"/>
      <c r="DX3" s="360"/>
    </row>
    <row r="4" spans="1:128" s="2" customFormat="1" x14ac:dyDescent="0.25">
      <c r="A4" s="356" t="s">
        <v>855</v>
      </c>
      <c r="B4" s="356" t="s">
        <v>156</v>
      </c>
      <c r="C4" s="356" t="s">
        <v>525</v>
      </c>
      <c r="D4" s="356" t="s">
        <v>157</v>
      </c>
      <c r="E4" s="356" t="s">
        <v>856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857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379</v>
      </c>
      <c r="R4" s="356" t="s">
        <v>164</v>
      </c>
      <c r="S4" s="356" t="s">
        <v>166</v>
      </c>
      <c r="T4" s="356" t="s">
        <v>162</v>
      </c>
      <c r="U4" s="356" t="s">
        <v>746</v>
      </c>
      <c r="V4" s="356" t="s">
        <v>540</v>
      </c>
      <c r="W4" s="356" t="s">
        <v>186</v>
      </c>
      <c r="X4" s="356" t="s">
        <v>858</v>
      </c>
      <c r="Y4" s="356" t="s">
        <v>184</v>
      </c>
      <c r="Z4" s="356" t="s">
        <v>859</v>
      </c>
      <c r="AA4" s="356" t="s">
        <v>185</v>
      </c>
      <c r="AB4" s="356" t="s">
        <v>860</v>
      </c>
      <c r="AC4" s="356" t="s">
        <v>183</v>
      </c>
      <c r="AD4" s="356" t="s">
        <v>861</v>
      </c>
      <c r="AE4" s="356" t="s">
        <v>187</v>
      </c>
      <c r="AF4" s="356" t="s">
        <v>862</v>
      </c>
      <c r="AG4" s="356" t="s">
        <v>863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3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EG4"/>
  <sheetViews>
    <sheetView tabSelected="1" workbookViewId="0">
      <selection activeCell="H11" sqref="H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801</v>
      </c>
      <c r="G1" s="291" t="s">
        <v>802</v>
      </c>
      <c r="H1" s="292" t="s">
        <v>803</v>
      </c>
      <c r="I1" s="293" t="s">
        <v>804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7" t="s">
        <v>237</v>
      </c>
      <c r="P1" s="398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781</v>
      </c>
      <c r="DC2" s="278" t="s">
        <v>72</v>
      </c>
      <c r="DD2" s="278" t="s">
        <v>782</v>
      </c>
      <c r="DE2" s="278" t="s">
        <v>783</v>
      </c>
      <c r="DF2" s="278" t="s">
        <v>780</v>
      </c>
      <c r="DG2" s="278" t="s">
        <v>784</v>
      </c>
      <c r="DH2" s="278" t="s">
        <v>785</v>
      </c>
      <c r="DI2" s="278" t="s">
        <v>786</v>
      </c>
      <c r="DJ2" s="278" t="s">
        <v>420</v>
      </c>
      <c r="DK2" s="278" t="s">
        <v>76</v>
      </c>
      <c r="DL2" s="278" t="s">
        <v>403</v>
      </c>
      <c r="DM2" s="278" t="s">
        <v>787</v>
      </c>
      <c r="DN2" s="278" t="s">
        <v>788</v>
      </c>
      <c r="DO2" s="278" t="s">
        <v>789</v>
      </c>
      <c r="DP2" s="278" t="s">
        <v>426</v>
      </c>
      <c r="DQ2" s="278" t="s">
        <v>799</v>
      </c>
      <c r="DR2" s="279" t="s">
        <v>800</v>
      </c>
      <c r="DS2" s="278" t="s">
        <v>790</v>
      </c>
    </row>
    <row r="3" spans="1:137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2" t="s">
        <v>852</v>
      </c>
      <c r="J3" s="395"/>
      <c r="K3" s="352" t="s">
        <v>851</v>
      </c>
      <c r="L3" s="396" t="s">
        <v>913</v>
      </c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20" t="s">
        <v>85</v>
      </c>
    </row>
    <row r="4" spans="1:137" s="2" customFormat="1" ht="24" x14ac:dyDescent="0.25">
      <c r="A4" s="307" t="s">
        <v>762</v>
      </c>
      <c r="B4" s="307" t="s">
        <v>763</v>
      </c>
      <c r="C4" s="275" t="s">
        <v>422</v>
      </c>
      <c r="D4" s="275" t="s">
        <v>773</v>
      </c>
      <c r="E4" s="275" t="s">
        <v>155</v>
      </c>
      <c r="F4" s="275" t="s">
        <v>774</v>
      </c>
      <c r="G4" s="307" t="s">
        <v>764</v>
      </c>
      <c r="H4" s="307" t="s">
        <v>765</v>
      </c>
      <c r="I4" s="307" t="s">
        <v>766</v>
      </c>
      <c r="J4" s="275" t="s">
        <v>775</v>
      </c>
      <c r="K4" s="275" t="s">
        <v>776</v>
      </c>
      <c r="L4" s="275" t="s">
        <v>777</v>
      </c>
      <c r="M4" s="275" t="s">
        <v>778</v>
      </c>
      <c r="N4" s="275" t="s">
        <v>854</v>
      </c>
      <c r="O4" s="275" t="s">
        <v>767</v>
      </c>
      <c r="P4" s="275" t="s">
        <v>768</v>
      </c>
      <c r="Q4" s="275" t="s">
        <v>769</v>
      </c>
      <c r="R4" s="275" t="s">
        <v>770</v>
      </c>
      <c r="S4" s="275" t="s">
        <v>771</v>
      </c>
      <c r="T4" s="275" t="s">
        <v>481</v>
      </c>
      <c r="U4" s="275" t="s">
        <v>772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sheetProtection algorithmName="SHA-512" hashValue="jr6tVgLc37575sKmwTiU94tpNFO/67bVlWmG8wFkZzA7UOgW9euuIxohHtSY26OHabxF7GjBpKPNXkEICPprjA==" saltValue="bmoyoSHjoyusSDhX0cMuLg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workbookViewId="0">
      <pane ySplit="1" topLeftCell="A2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9"/>
      <c r="J1" s="400"/>
      <c r="K1" s="401"/>
      <c r="N1" s="402" t="s">
        <v>812</v>
      </c>
      <c r="O1" s="403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9" t="str">
        <f>IF(AP1="",IF(AN1&lt;&gt;"", SUMIFS($L$5:$L$150000, $N$5:$N$150000, AN1), ""),"")</f>
        <v/>
      </c>
      <c r="AP1" s="370" t="str">
        <f>IF(AN1="", "", INDEX($A$5:$A$150000, MATCH(AN1, $N$5:$N$150000, 0)))</f>
        <v/>
      </c>
      <c r="AQ1" s="371" t="str">
        <f>IF(AN1="", "", INDEX($B$5:$B$150000, MATCH(AN1, $N$5:$N$150000, 0)))</f>
        <v/>
      </c>
      <c r="AR1" s="369" t="str">
        <f>IF(AN1="", "", INDEX($C$5:$C$150000, MATCH(AN1, $N$5:$N$150000, 0)))</f>
        <v/>
      </c>
      <c r="AS1" s="369" t="str">
        <f>AY1 &amp; "%" &amp; " (" &amp; AX1 &amp; ")"</f>
        <v>% ()</v>
      </c>
      <c r="AT1" s="371" t="e">
        <f>+IF(AU1="",INDEX($E$5:$E$150000,MATCH(AN1,$N$5:$N$150000,0)),INDEX(Help!$F$2:$F$49,MATCH(VALUE(LEFT(AU1,2)),Help!$E$2:$E$49,0)))</f>
        <v>#N/A</v>
      </c>
      <c r="AU1" s="372" t="str">
        <f>IF(AN1="", "", IFERROR(INDEX($F$5:$F$150000, MATCH(AN1, $N$5:$N$150000, 0)), ""))</f>
        <v/>
      </c>
      <c r="AV1" s="371" t="str">
        <f>IF(AN1="", "", IFERROR(INDEX($O$5:$O$150000, MATCH(AN1, $N$5:$N$150000, 0)), ""))</f>
        <v/>
      </c>
      <c r="AW1" s="370" t="str">
        <f>SUBSTITUTE(AN1,"R-","")</f>
        <v/>
      </c>
      <c r="AX1" s="370" t="str">
        <f>IF($Q1="", "", IFERROR(VALUE(INDEX($I$5:$I$150000, MATCH($Q1, $N$5:$N$150000, 0))), ""))</f>
        <v/>
      </c>
      <c r="AY1" s="370" t="str">
        <f>IF($Q1="", "", IFERROR(INDEX($J$5:$J$150000, MATCH($Q1, $N$5:$N$150000, 0)), ""))</f>
        <v/>
      </c>
      <c r="AZ1" s="370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88" t="s">
        <v>866</v>
      </c>
      <c r="AD2" s="389" t="s">
        <v>72</v>
      </c>
      <c r="AO2" t="s">
        <v>488</v>
      </c>
      <c r="BA2" s="65">
        <v>0</v>
      </c>
      <c r="BB2" s="65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390"/>
      <c r="AD3" s="39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390"/>
      <c r="AD4" s="39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390"/>
      <c r="AD5" s="39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2" t="s">
        <v>806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390"/>
      <c r="AD6" s="39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830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390"/>
      <c r="AD7" s="39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829</v>
      </c>
      <c r="M8" s="321" t="b">
        <v>1</v>
      </c>
      <c r="N8" s="322" t="s">
        <v>807</v>
      </c>
      <c r="O8" s="323"/>
      <c r="P8" s="16"/>
      <c r="Q8" s="16"/>
      <c r="R8" s="16"/>
      <c r="S8" s="16"/>
      <c r="T8" s="88"/>
      <c r="Z8" s="88"/>
      <c r="AA8" s="88"/>
      <c r="AB8" s="16"/>
      <c r="AC8" s="390"/>
      <c r="AD8" s="39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813</v>
      </c>
      <c r="M9" s="321" t="b">
        <v>1</v>
      </c>
      <c r="N9" s="322" t="s">
        <v>808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390"/>
      <c r="AD9" s="39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814</v>
      </c>
      <c r="M10" s="321" t="b">
        <v>1</v>
      </c>
      <c r="N10" s="322" t="s">
        <v>810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90"/>
      <c r="AD10" s="39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908</v>
      </c>
      <c r="M11" s="321" t="b">
        <v>0</v>
      </c>
      <c r="N11" s="322" t="s">
        <v>811</v>
      </c>
      <c r="O11" s="324"/>
      <c r="P11" s="16"/>
      <c r="Q11" s="16"/>
      <c r="R11" s="16"/>
      <c r="S11" s="16"/>
      <c r="AA11" s="88"/>
      <c r="AB11" s="16"/>
      <c r="AC11" s="392"/>
      <c r="AD11" s="39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815</v>
      </c>
      <c r="M12" s="321" t="b">
        <v>1</v>
      </c>
      <c r="N12" s="322" t="s">
        <v>809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392"/>
      <c r="AD12" s="39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816</v>
      </c>
      <c r="M13" s="321" t="b">
        <v>1</v>
      </c>
      <c r="N13" s="325" t="s">
        <v>832</v>
      </c>
      <c r="O13" s="328"/>
      <c r="P13" s="16"/>
      <c r="Q13" s="16"/>
      <c r="R13" s="16"/>
      <c r="S13" s="16"/>
      <c r="T13" s="83"/>
      <c r="Z13" s="83"/>
      <c r="AA13" s="88"/>
      <c r="AB13" s="16"/>
      <c r="AC13" s="392"/>
      <c r="AD13" s="39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817</v>
      </c>
      <c r="M14" s="321" t="b">
        <v>0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392"/>
      <c r="AD14" s="39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818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2"/>
      <c r="AD15" s="39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1" t="s">
        <v>819</v>
      </c>
      <c r="M16" s="321" t="b">
        <v>0</v>
      </c>
      <c r="N16" s="16"/>
      <c r="O16" s="316"/>
      <c r="P16" s="16"/>
      <c r="Q16" s="16"/>
      <c r="R16" s="16"/>
      <c r="S16" s="16"/>
      <c r="AA16" s="88"/>
      <c r="AB16" s="16"/>
      <c r="AC16" s="392"/>
      <c r="AD16" s="39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822</v>
      </c>
      <c r="M17" s="321" t="b">
        <v>0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2"/>
      <c r="AD17" s="39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820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392"/>
      <c r="AD18" s="39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821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2"/>
      <c r="AD19" s="39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823</v>
      </c>
      <c r="M20" s="321" t="b">
        <v>0</v>
      </c>
      <c r="N20" s="16"/>
      <c r="O20" s="16"/>
      <c r="P20" s="16"/>
      <c r="Q20" s="16"/>
      <c r="R20" s="16"/>
      <c r="S20" s="16"/>
      <c r="AA20" s="88"/>
      <c r="AB20" s="16"/>
      <c r="AC20" s="392"/>
      <c r="AD20" s="39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824</v>
      </c>
      <c r="M21" s="321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2"/>
      <c r="AD21" s="39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825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3"/>
      <c r="AD22" s="394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1" t="s">
        <v>826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853</v>
      </c>
      <c r="M24" s="321" t="b">
        <v>0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827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872</v>
      </c>
      <c r="M26" s="16" t="b">
        <v>0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867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828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5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5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5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5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5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869</v>
      </c>
      <c r="B141" s="265" t="s">
        <v>322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5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E15" sqref="E15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4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58"/>
      <c r="C2" s="165"/>
      <c r="D2" s="165"/>
      <c r="E2" s="165"/>
      <c r="F2" s="165"/>
      <c r="G2" s="375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78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6" t="s">
        <v>319</v>
      </c>
      <c r="H3" s="379">
        <v>10</v>
      </c>
      <c r="I3" s="138" t="str">
        <f>+IF(J3=1,"All","State")</f>
        <v>State</v>
      </c>
      <c r="J3" s="380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R-10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69" t="str">
        <f>IF(S3="",IF(Q3&lt;&gt;"", SUMIFS(#REF!,#REF!, Q3), ""),"")</f>
        <v/>
      </c>
      <c r="S3" s="370" t="str">
        <f>IF(Q3="", "", INDEX(#REF!, MATCH(Q3,#REF!, 0)))</f>
        <v/>
      </c>
      <c r="T3" s="371" t="str">
        <f>IF(Q3="", "", INDEX(#REF!, MATCH(Q3,#REF!, 0)))</f>
        <v/>
      </c>
      <c r="U3" s="369" t="str">
        <f>IF(Q3="", "", INDEX(#REF!, MATCH(Q3,#REF!, 0)))</f>
        <v/>
      </c>
      <c r="V3" s="369" t="str">
        <f>AB3 &amp; "%" &amp; " (" &amp; AA3 &amp; ")"</f>
        <v>% ()</v>
      </c>
      <c r="W3" s="371" t="e">
        <f>+IF(X3="",INDEX(#REF!,MATCH(Q3,#REF!,0)),INDEX(Help!$F$2:$F$49,MATCH(VALUE(LEFT(X3,2)),Help!$E$2:$E$49,0)))</f>
        <v>#REF!</v>
      </c>
      <c r="X3" s="372" t="str">
        <f>IF(Q3="", "", IFERROR(INDEX(#REF!, MATCH(Q3,#REF!, 0)), ""))</f>
        <v/>
      </c>
      <c r="Y3" s="371" t="str">
        <f>IF(Q3="", "", IFERROR(INDEX(#REF!, MATCH(Q3,#REF!, 0)), ""))</f>
        <v/>
      </c>
      <c r="Z3" s="370" t="str">
        <f>SUBSTITUTE(Q3,"R-","")</f>
        <v/>
      </c>
      <c r="AA3" s="370" t="str">
        <f>IF($Q3="", "", IFERROR(VALUE(INDEX(#REF!, MATCH($Q3,#REF!, 0))), ""))</f>
        <v/>
      </c>
      <c r="AB3" s="370" t="str">
        <f>IF($Q3="", "", IFERROR(INDEX(#REF!, MATCH($Q3,#REF!, 0)), ""))</f>
        <v/>
      </c>
      <c r="AC3" s="370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7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884</v>
      </c>
      <c r="U4" s="212" t="s">
        <v>885</v>
      </c>
      <c r="V4" s="212" t="s">
        <v>305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318</v>
      </c>
      <c r="AG4" s="212"/>
      <c r="AH4" s="212" t="s">
        <v>304</v>
      </c>
    </row>
  </sheetData>
  <sheetProtection algorithmName="SHA-512" hashValue="pdjhMzcZ7lLU21BNl5wYcOtL0KoIx72vmWsmC49dLaZGSfuSEn1AVrJGEN5CRdXN/BranxQfZpOvs6ExTRnqvQ==" saltValue="qpow0Q47q+UDZuxFjMk60Q==" spinCount="100000" sheet="1" objects="1" scenarios="1"/>
  <dataConsolidate/>
  <conditionalFormatting sqref="N1">
    <cfRule type="cellIs" dxfId="17" priority="3179" operator="equal">
      <formula>#N/A</formula>
    </cfRule>
  </conditionalFormatting>
  <conditionalFormatting sqref="J1">
    <cfRule type="cellIs" dxfId="16" priority="3178" operator="equal">
      <formula>#N/A</formula>
    </cfRule>
  </conditionalFormatting>
  <conditionalFormatting sqref="F1:F2">
    <cfRule type="containsText" dxfId="15" priority="3170" operator="containsText" text="Others">
      <formula>NOT(ISERROR(SEARCH("Others",F1)))</formula>
    </cfRule>
    <cfRule type="containsText" dxfId="14" priority="3171" operator="containsText" text="#N/A">
      <formula>NOT(ISERROR(SEARCH("#N/A",F1)))</formula>
    </cfRule>
  </conditionalFormatting>
  <conditionalFormatting sqref="Q1:Q2">
    <cfRule type="cellIs" dxfId="13" priority="3030" operator="equal">
      <formula>#N/A</formula>
    </cfRule>
  </conditionalFormatting>
  <conditionalFormatting sqref="S2:V2">
    <cfRule type="cellIs" dxfId="12" priority="3026" operator="equal">
      <formula>#N/A</formula>
    </cfRule>
  </conditionalFormatting>
  <conditionalFormatting sqref="R1:R2">
    <cfRule type="duplicateValues" dxfId="11" priority="2982"/>
  </conditionalFormatting>
  <conditionalFormatting sqref="D3">
    <cfRule type="cellIs" dxfId="10" priority="2836" operator="greaterThan">
      <formula>0</formula>
    </cfRule>
  </conditionalFormatting>
  <conditionalFormatting sqref="F3">
    <cfRule type="containsText" dxfId="9" priority="2834" operator="containsText" text="Others">
      <formula>NOT(ISERROR(SEARCH("Others",F3)))</formula>
    </cfRule>
    <cfRule type="containsText" dxfId="8" priority="2835" operator="containsText" text="#N/A">
      <formula>NOT(ISERROR(SEARCH("#N/A",F3)))</formula>
    </cfRule>
  </conditionalFormatting>
  <conditionalFormatting sqref="Q3">
    <cfRule type="duplicateValues" dxfId="7" priority="2725"/>
  </conditionalFormatting>
  <conditionalFormatting sqref="Q3">
    <cfRule type="duplicateValues" dxfId="6" priority="2724"/>
  </conditionalFormatting>
  <conditionalFormatting sqref="G3">
    <cfRule type="duplicateValues" dxfId="5" priority="2516"/>
  </conditionalFormatting>
  <conditionalFormatting sqref="I3">
    <cfRule type="duplicateValues" dxfId="4" priority="3182"/>
  </conditionalFormatting>
  <conditionalFormatting sqref="R1:R2">
    <cfRule type="duplicateValues" dxfId="3" priority="3184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913</v>
      </c>
    </row>
    <row r="4" spans="1:15" x14ac:dyDescent="0.25">
      <c r="O4" s="186"/>
    </row>
    <row r="6" spans="1:15" x14ac:dyDescent="0.25">
      <c r="A6" s="313" t="s">
        <v>806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807</v>
      </c>
      <c r="B8" s="314"/>
    </row>
    <row r="9" spans="1:15" x14ac:dyDescent="0.25">
      <c r="A9" s="313" t="s">
        <v>808</v>
      </c>
      <c r="B9" s="314"/>
    </row>
    <row r="10" spans="1:15" x14ac:dyDescent="0.25">
      <c r="A10" s="313" t="s">
        <v>810</v>
      </c>
      <c r="B10" s="314"/>
    </row>
    <row r="11" spans="1:15" x14ac:dyDescent="0.25">
      <c r="A11" s="313" t="s">
        <v>811</v>
      </c>
      <c r="B11" s="315"/>
    </row>
    <row r="12" spans="1:15" x14ac:dyDescent="0.25">
      <c r="A12" s="313" t="s">
        <v>809</v>
      </c>
      <c r="B12" s="315"/>
    </row>
    <row r="13" spans="1:15" x14ac:dyDescent="0.25">
      <c r="A13" s="313" t="s">
        <v>832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2024-12-25T07:43:16Z</dcterms:modified>
</cp:coreProperties>
</file>