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drawings/drawing52.xml" ContentType="application/vnd.openxmlformats-officedocument.drawing+xml"/>
  <Override PartName="/xl/drawings/drawing53.xml" ContentType="application/vnd.openxmlformats-officedocument.drawing+xml"/>
  <Override PartName="/xl/drawings/drawing54.xml" ContentType="application/vnd.openxmlformats-officedocument.drawing+xml"/>
  <Override PartName="/xl/drawings/drawing55.xml" ContentType="application/vnd.openxmlformats-officedocument.drawing+xml"/>
  <Override PartName="/xl/drawings/drawing56.xml" ContentType="application/vnd.openxmlformats-officedocument.drawing+xml"/>
  <Override PartName="/xl/drawings/drawing57.xml" ContentType="application/vnd.openxmlformats-officedocument.drawing+xml"/>
  <Override PartName="/xl/drawings/drawing58.xml" ContentType="application/vnd.openxmlformats-officedocument.drawing+xml"/>
  <Override PartName="/xl/drawings/drawing59.xml" ContentType="application/vnd.openxmlformats-officedocument.drawing+xml"/>
  <Override PartName="/xl/drawings/drawing60.xml" ContentType="application/vnd.openxmlformats-officedocument.drawing+xml"/>
  <Override PartName="/xl/drawings/drawing61.xml" ContentType="application/vnd.openxmlformats-officedocument.drawing+xml"/>
  <Override PartName="/xl/drawings/drawing62.xml" ContentType="application/vnd.openxmlformats-officedocument.drawing+xml"/>
  <Override PartName="/xl/drawings/drawing63.xml" ContentType="application/vnd.openxmlformats-officedocument.drawing+xml"/>
  <Override PartName="/xl/drawings/drawing64.xml" ContentType="application/vnd.openxmlformats-officedocument.drawing+xml"/>
  <Override PartName="/xl/drawings/drawing65.xml" ContentType="application/vnd.openxmlformats-officedocument.drawing+xml"/>
  <Override PartName="/xl/drawings/drawing66.xml" ContentType="application/vnd.openxmlformats-officedocument.drawing+xml"/>
  <Override PartName="/xl/drawings/drawing67.xml" ContentType="application/vnd.openxmlformats-officedocument.drawing+xml"/>
  <Override PartName="/xl/drawings/drawing6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drawings/drawing69.xml" ContentType="application/vnd.openxmlformats-officedocument.drawing+xml"/>
  <Override PartName="/xl/drawings/drawing7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All Sharing\Ecom Setup\Devlop\A Letest\"/>
    </mc:Choice>
  </mc:AlternateContent>
  <xr:revisionPtr revIDLastSave="0" documentId="13_ncr:1_{54D18658-F0BB-4C5F-92B7-8AE30BD92B67}" xr6:coauthVersionLast="47" xr6:coauthVersionMax="47" xr10:uidLastSave="{00000000-0000-0000-0000-000000000000}"/>
  <bookViews>
    <workbookView xWindow="28680" yWindow="-120" windowWidth="29040" windowHeight="15720" firstSheet="3" activeTab="3" xr2:uid="{00000000-000D-0000-FFFF-FFFF00000000}"/>
  </bookViews>
  <sheets>
    <sheet name="AU" sheetId="36" state="hidden" r:id="rId1"/>
    <sheet name="AU (P)" sheetId="49" state="hidden" r:id="rId2"/>
    <sheet name="Axis (P)" sheetId="74" state="hidden" r:id="rId3"/>
    <sheet name="Axis(C)" sheetId="19" r:id="rId4"/>
    <sheet name="Axis(C) (P)" sheetId="57" state="hidden" r:id="rId5"/>
    <sheet name="Axis(S)" sheetId="4" r:id="rId6"/>
    <sheet name="Axis(S) (2)" sheetId="62" state="hidden" r:id="rId7"/>
    <sheet name="Axis(S) (P)" sheetId="41" state="hidden" r:id="rId8"/>
    <sheet name="Bandhan" sheetId="11" state="hidden" r:id="rId9"/>
    <sheet name="BOB(C)" sheetId="7" state="hidden" r:id="rId10"/>
    <sheet name="BOB(P)" sheetId="70" state="hidden" r:id="rId11"/>
    <sheet name="BOB(P) (2)" sheetId="75" state="hidden" r:id="rId12"/>
    <sheet name="BOB(S)" sheetId="13" state="hidden" r:id="rId13"/>
    <sheet name="BOI" sheetId="16" state="hidden" r:id="rId14"/>
    <sheet name="BOI (P)" sheetId="73" state="hidden" r:id="rId15"/>
    <sheet name="Canara" sheetId="69" state="hidden" r:id="rId16"/>
    <sheet name="CBI" sheetId="31" state="hidden" r:id="rId17"/>
    <sheet name="CBI (P)" sheetId="58" state="hidden" r:id="rId18"/>
    <sheet name="CityUni (P)" sheetId="63" state="hidden" r:id="rId19"/>
    <sheet name="DCB" sheetId="37" state="hidden" r:id="rId20"/>
    <sheet name="Equitas" sheetId="64" state="hidden" r:id="rId21"/>
    <sheet name="Federal" sheetId="34" state="hidden" r:id="rId22"/>
    <sheet name="Federal (P)" sheetId="78" state="hidden" r:id="rId23"/>
    <sheet name="HDFC" sheetId="3" state="hidden" r:id="rId24"/>
    <sheet name="HDFC (P)" sheetId="42" state="hidden" r:id="rId25"/>
    <sheet name="ICICI 3 (P)" sheetId="76" state="hidden" r:id="rId26"/>
    <sheet name="ICICI(C)" sheetId="2" r:id="rId27"/>
    <sheet name="ICICI(C) (P)" sheetId="40" state="hidden" r:id="rId28"/>
    <sheet name="ICICI(C)2 (P)" sheetId="60" state="hidden" r:id="rId29"/>
    <sheet name="ICICI(S)" sheetId="27" state="hidden" r:id="rId30"/>
    <sheet name="ICICI(S) (P)" sheetId="56" state="hidden" r:id="rId31"/>
    <sheet name="IDBI" sheetId="5" state="hidden" r:id="rId32"/>
    <sheet name="IDBI (P)" sheetId="43" state="hidden" r:id="rId33"/>
    <sheet name="IDBI(S) (P)" sheetId="50" state="hidden" r:id="rId34"/>
    <sheet name="IDFC" sheetId="24" state="hidden" r:id="rId35"/>
    <sheet name="IDFC (P)" sheetId="44" state="hidden" r:id="rId36"/>
    <sheet name="Indian" sheetId="10" state="hidden" r:id="rId37"/>
    <sheet name="indusind" sheetId="14" state="hidden" r:id="rId38"/>
    <sheet name="indusind (P)" sheetId="45" state="hidden" r:id="rId39"/>
    <sheet name="Kalupur (P)" sheetId="48" state="hidden" r:id="rId40"/>
    <sheet name="Kotak (P)" sheetId="46" state="hidden" r:id="rId41"/>
    <sheet name="Kotak(C)" sheetId="6" state="hidden" r:id="rId42"/>
    <sheet name="Kotak(S)" sheetId="23" state="hidden" r:id="rId43"/>
    <sheet name="Kotak2 (P)" sheetId="55" state="hidden" r:id="rId44"/>
    <sheet name="Kotak3 (P)" sheetId="59" state="hidden" r:id="rId45"/>
    <sheet name="NEWINDIA(P)" sheetId="71" state="hidden" r:id="rId46"/>
    <sheet name="PNB" sheetId="25" r:id="rId47"/>
    <sheet name="PNB (2)" sheetId="61" r:id="rId48"/>
    <sheet name="PNB (L)" sheetId="80" r:id="rId49"/>
    <sheet name="Prime" sheetId="29" state="hidden" r:id="rId50"/>
    <sheet name="RBL" sheetId="22" state="hidden" r:id="rId51"/>
    <sheet name="RNSBE" sheetId="20" state="hidden" r:id="rId52"/>
    <sheet name="Saraswat" sheetId="38" state="hidden" r:id="rId53"/>
    <sheet name="SBI" sheetId="1" state="hidden" r:id="rId54"/>
    <sheet name="SBI (P)" sheetId="47" state="hidden" r:id="rId55"/>
    <sheet name="SCOPB (P)" sheetId="72" state="hidden" r:id="rId56"/>
    <sheet name="SDCB" sheetId="26" state="hidden" r:id="rId57"/>
    <sheet name="SDCB (P)" sheetId="66" state="hidden" r:id="rId58"/>
    <sheet name="SIB" sheetId="67" state="hidden" r:id="rId59"/>
    <sheet name="SNCB" sheetId="33" state="hidden" r:id="rId60"/>
    <sheet name="UCO" sheetId="32" state="hidden" r:id="rId61"/>
    <sheet name="Union" sheetId="54" state="hidden" r:id="rId62"/>
    <sheet name="Union (P)" sheetId="28" state="hidden" r:id="rId63"/>
    <sheet name="Union2 (P)" sheetId="51" state="hidden" r:id="rId64"/>
    <sheet name="Varachha" sheetId="15" state="hidden" r:id="rId65"/>
    <sheet name="Varachha (P)" sheetId="53" state="hidden" r:id="rId66"/>
    <sheet name="Yes" sheetId="9" state="hidden" r:id="rId67"/>
    <sheet name="Help" sheetId="30" r:id="rId68"/>
    <sheet name="Master" sheetId="8" r:id="rId69"/>
    <sheet name="Registration" sheetId="65" state="veryHidden" r:id="rId70"/>
  </sheets>
  <functionGroups builtInGroupCount="19"/>
  <definedNames>
    <definedName name="_xlnm._FilterDatabase" localSheetId="60" hidden="1">UCO!$DA$3:$DK$3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E3" i="80" l="1"/>
  <c r="DI3" i="80" s="1"/>
  <c r="DD3" i="80"/>
  <c r="DJ3" i="80"/>
  <c r="DF3" i="80"/>
  <c r="G2" i="80"/>
  <c r="DK3" i="80"/>
  <c r="DH3" i="80"/>
  <c r="DG3" i="80"/>
  <c r="DB3" i="80"/>
  <c r="DA3" i="80"/>
  <c r="DA4" i="80" s="1"/>
  <c r="E2" i="80"/>
  <c r="DF3" i="50"/>
  <c r="DF3" i="78"/>
  <c r="DE3" i="78"/>
  <c r="DI3" i="78" s="1"/>
  <c r="DD3" i="78"/>
  <c r="DH3" i="78"/>
  <c r="DJ3" i="78"/>
  <c r="G2" i="78"/>
  <c r="DK3" i="78"/>
  <c r="DB3" i="78"/>
  <c r="DA3" i="78"/>
  <c r="DA4" i="78" s="1"/>
  <c r="E2" i="78"/>
  <c r="DJ3" i="76"/>
  <c r="DE3" i="76"/>
  <c r="DI3" i="76" s="1"/>
  <c r="DD3" i="76"/>
  <c r="DB3" i="76"/>
  <c r="G2" i="76"/>
  <c r="DK3" i="76"/>
  <c r="DF3" i="76"/>
  <c r="DA3" i="76"/>
  <c r="DA4" i="76" s="1"/>
  <c r="E2" i="76"/>
  <c r="DD3" i="75"/>
  <c r="G2" i="75" s="1"/>
  <c r="DJ3" i="75"/>
  <c r="DF3" i="75"/>
  <c r="DE3" i="75"/>
  <c r="DI3" i="75" s="1"/>
  <c r="DB3" i="75"/>
  <c r="DK3" i="75"/>
  <c r="DH3" i="75"/>
  <c r="DA3" i="75"/>
  <c r="DA4" i="75" s="1"/>
  <c r="DA2" i="75"/>
  <c r="E2" i="75"/>
  <c r="DF3" i="74"/>
  <c r="DE3" i="74"/>
  <c r="DI3" i="74" s="1"/>
  <c r="DD3" i="74"/>
  <c r="DK3" i="74"/>
  <c r="DJ3" i="74"/>
  <c r="DH3" i="74"/>
  <c r="DG3" i="74"/>
  <c r="DB3" i="74"/>
  <c r="DA3" i="74"/>
  <c r="DA4" i="74" s="1"/>
  <c r="E2" i="74"/>
  <c r="DJ3" i="73"/>
  <c r="DH3" i="73"/>
  <c r="DB3" i="73"/>
  <c r="DK3" i="73"/>
  <c r="DF3" i="73"/>
  <c r="DE3" i="73"/>
  <c r="DI3" i="73" s="1"/>
  <c r="DD3" i="73"/>
  <c r="DA2" i="73"/>
  <c r="DA3" i="73" s="1"/>
  <c r="DA4" i="73" s="1"/>
  <c r="E2" i="73"/>
  <c r="DH3" i="72"/>
  <c r="DB3" i="72"/>
  <c r="G2" i="72"/>
  <c r="DJ3" i="72"/>
  <c r="DF3" i="72"/>
  <c r="DE3" i="72"/>
  <c r="DI3" i="72" s="1"/>
  <c r="DD3" i="72"/>
  <c r="F2" i="72"/>
  <c r="DK3" i="72"/>
  <c r="DA2" i="72"/>
  <c r="DA3" i="72" s="1"/>
  <c r="DA4" i="72" s="1"/>
  <c r="E2" i="72"/>
  <c r="DB3" i="2"/>
  <c r="DE3" i="58"/>
  <c r="DD3" i="58"/>
  <c r="DF3" i="71"/>
  <c r="G2" i="71"/>
  <c r="DJ3" i="71"/>
  <c r="DH3" i="71"/>
  <c r="DE3" i="71"/>
  <c r="DI3" i="71" s="1"/>
  <c r="DD3" i="71"/>
  <c r="DB3" i="71"/>
  <c r="DK3" i="71"/>
  <c r="DA3" i="71"/>
  <c r="DA4" i="71" s="1"/>
  <c r="F2" i="71"/>
  <c r="E2" i="71"/>
  <c r="DK3" i="70"/>
  <c r="DJ3" i="70"/>
  <c r="DH3" i="70"/>
  <c r="DF3" i="70"/>
  <c r="DE3" i="70"/>
  <c r="DI3" i="70" s="1"/>
  <c r="DD3" i="70"/>
  <c r="DB3" i="70"/>
  <c r="DA3" i="70"/>
  <c r="DG3" i="78"/>
  <c r="DG3" i="76"/>
  <c r="DC3" i="80" l="1"/>
  <c r="F2" i="80"/>
  <c r="H2" i="80" s="1"/>
  <c r="I2" i="80" s="1"/>
  <c r="DC3" i="70"/>
  <c r="DC3" i="76"/>
  <c r="DC3" i="78"/>
  <c r="F2" i="75"/>
  <c r="H2" i="75" s="1"/>
  <c r="I2" i="75" s="1"/>
  <c r="F2" i="78"/>
  <c r="H2" i="78" s="1"/>
  <c r="I2" i="78" s="1"/>
  <c r="DH3" i="76"/>
  <c r="F2" i="76"/>
  <c r="H2" i="76" s="1"/>
  <c r="I2" i="76" s="1"/>
  <c r="DC3" i="75"/>
  <c r="DC3" i="74"/>
  <c r="G2" i="74"/>
  <c r="F2" i="74"/>
  <c r="DC3" i="73"/>
  <c r="F2" i="73"/>
  <c r="H2" i="73" s="1"/>
  <c r="I2" i="73" s="1"/>
  <c r="G2" i="73"/>
  <c r="DC3" i="72"/>
  <c r="H2" i="72"/>
  <c r="I2" i="72" s="1"/>
  <c r="DC3" i="71"/>
  <c r="H2" i="71"/>
  <c r="I2" i="71" s="1"/>
  <c r="F2" i="70"/>
  <c r="DA4" i="70"/>
  <c r="DA2" i="70"/>
  <c r="G2" i="70"/>
  <c r="E2" i="70"/>
  <c r="DH3" i="50"/>
  <c r="DB3" i="62"/>
  <c r="DJ3" i="69"/>
  <c r="DF3" i="69"/>
  <c r="DE3" i="69"/>
  <c r="DI3" i="69" s="1"/>
  <c r="DD3" i="69"/>
  <c r="DK3" i="69"/>
  <c r="DH3" i="69"/>
  <c r="DB3" i="69"/>
  <c r="DA3" i="69"/>
  <c r="DA4" i="69" s="1"/>
  <c r="E2" i="69"/>
  <c r="DE3" i="62"/>
  <c r="DD3" i="62"/>
  <c r="DF3" i="67"/>
  <c r="DK3" i="67"/>
  <c r="DJ3" i="67"/>
  <c r="DH3" i="67"/>
  <c r="DG3" i="67"/>
  <c r="DE3" i="67"/>
  <c r="DI3" i="67" s="1"/>
  <c r="DD3" i="67"/>
  <c r="DB3" i="67"/>
  <c r="DA3" i="67"/>
  <c r="DA4" i="67" s="1"/>
  <c r="E2" i="67"/>
  <c r="C4" i="8"/>
  <c r="DF3" i="66"/>
  <c r="DH3" i="66"/>
  <c r="DB3" i="66"/>
  <c r="DJ3" i="66"/>
  <c r="DE3" i="66"/>
  <c r="DA3" i="66"/>
  <c r="DG3" i="66"/>
  <c r="H2" i="74" l="1"/>
  <c r="I2" i="74" s="1"/>
  <c r="H2" i="70"/>
  <c r="I2" i="70" s="1"/>
  <c r="G2" i="69"/>
  <c r="F2" i="69"/>
  <c r="DC3" i="69"/>
  <c r="F2" i="67"/>
  <c r="G2" i="67"/>
  <c r="DC3" i="67"/>
  <c r="DK3" i="66"/>
  <c r="DC3" i="66" s="1"/>
  <c r="F2" i="66"/>
  <c r="DD3" i="66"/>
  <c r="G2" i="66" s="1"/>
  <c r="DA4" i="66"/>
  <c r="E2" i="66"/>
  <c r="H2" i="8"/>
  <c r="G2" i="8"/>
  <c r="DK3" i="64"/>
  <c r="DJ3" i="64"/>
  <c r="DH3" i="64"/>
  <c r="DG3" i="64"/>
  <c r="DF3" i="64"/>
  <c r="DE3" i="64"/>
  <c r="F2" i="64" s="1"/>
  <c r="DD3" i="64"/>
  <c r="G2" i="64" s="1"/>
  <c r="DB3" i="64"/>
  <c r="DA2" i="64"/>
  <c r="DA3" i="64" s="1"/>
  <c r="DA4" i="64" s="1"/>
  <c r="E2" i="64"/>
  <c r="DJ4" i="38"/>
  <c r="DH4" i="38"/>
  <c r="DG4" i="38"/>
  <c r="DF4" i="38"/>
  <c r="DE4" i="38"/>
  <c r="DI4" i="38" s="1"/>
  <c r="DD4" i="38"/>
  <c r="DB4" i="38"/>
  <c r="DK3" i="38"/>
  <c r="DK4" i="38" s="1"/>
  <c r="DC4" i="38" s="1"/>
  <c r="DJ3" i="38"/>
  <c r="DH3" i="38"/>
  <c r="DF3" i="38"/>
  <c r="DE3" i="38"/>
  <c r="DI3" i="38" s="1"/>
  <c r="DD3" i="38"/>
  <c r="DB3" i="38"/>
  <c r="DA3" i="38"/>
  <c r="DA4" i="38" s="1"/>
  <c r="E2" i="38"/>
  <c r="DK3" i="37"/>
  <c r="DJ3" i="37"/>
  <c r="DG3" i="37" s="1"/>
  <c r="DH3" i="37"/>
  <c r="DF3" i="37"/>
  <c r="DE3" i="37"/>
  <c r="DI3" i="37" s="1"/>
  <c r="DD3" i="37"/>
  <c r="G2" i="37" s="1"/>
  <c r="DB3" i="37"/>
  <c r="DA3" i="37"/>
  <c r="DA4" i="37" s="1"/>
  <c r="E2" i="37"/>
  <c r="DK3" i="29"/>
  <c r="DJ3" i="29"/>
  <c r="DH3" i="29"/>
  <c r="DF3" i="29"/>
  <c r="DE3" i="29"/>
  <c r="DI3" i="29" s="1"/>
  <c r="DD3" i="29"/>
  <c r="G2" i="29" s="1"/>
  <c r="DB3" i="29"/>
  <c r="DA3" i="29"/>
  <c r="DA4" i="29" s="1"/>
  <c r="E2" i="29"/>
  <c r="DK3" i="36"/>
  <c r="DJ3" i="36"/>
  <c r="DH3" i="36"/>
  <c r="DG3" i="36"/>
  <c r="DF3" i="36"/>
  <c r="DE3" i="36"/>
  <c r="DI3" i="36" s="1"/>
  <c r="DD3" i="36"/>
  <c r="G2" i="36" s="1"/>
  <c r="DB3" i="36"/>
  <c r="DA2" i="36"/>
  <c r="DA3" i="36" s="1"/>
  <c r="DA4" i="36" s="1"/>
  <c r="E2" i="36"/>
  <c r="DK3" i="26"/>
  <c r="DJ3" i="26"/>
  <c r="DH3" i="26"/>
  <c r="DG3" i="26"/>
  <c r="DF3" i="26"/>
  <c r="DE3" i="26"/>
  <c r="DI3" i="26" s="1"/>
  <c r="DD3" i="26"/>
  <c r="G2" i="26" s="1"/>
  <c r="DB3" i="26"/>
  <c r="DA2" i="26"/>
  <c r="DA3" i="26" s="1"/>
  <c r="DA4" i="26" s="1"/>
  <c r="E2" i="26"/>
  <c r="DK3" i="33"/>
  <c r="DJ3" i="33"/>
  <c r="DH3" i="33"/>
  <c r="DG3" i="33"/>
  <c r="DF3" i="33"/>
  <c r="DE3" i="33"/>
  <c r="DI3" i="33" s="1"/>
  <c r="DD3" i="33"/>
  <c r="G2" i="33" s="1"/>
  <c r="DB3" i="33"/>
  <c r="DA3" i="33"/>
  <c r="DA4" i="33" s="1"/>
  <c r="E2" i="33"/>
  <c r="DK3" i="15"/>
  <c r="DJ3" i="15"/>
  <c r="DH3" i="15"/>
  <c r="DG3" i="15"/>
  <c r="DF3" i="15"/>
  <c r="DE3" i="15"/>
  <c r="DI3" i="15" s="1"/>
  <c r="DD3" i="15"/>
  <c r="G2" i="15" s="1"/>
  <c r="DB3" i="15"/>
  <c r="DA2" i="15"/>
  <c r="DA3" i="15" s="1"/>
  <c r="DA4" i="15" s="1"/>
  <c r="E2" i="15"/>
  <c r="DK3" i="34"/>
  <c r="DJ3" i="34"/>
  <c r="DH3" i="34"/>
  <c r="DF3" i="34"/>
  <c r="DE3" i="34"/>
  <c r="DI3" i="34" s="1"/>
  <c r="DD3" i="34"/>
  <c r="G2" i="34" s="1"/>
  <c r="DB3" i="34"/>
  <c r="DA3" i="34"/>
  <c r="DA4" i="34" s="1"/>
  <c r="E2" i="34"/>
  <c r="DK3" i="20"/>
  <c r="DJ3" i="20"/>
  <c r="DH3" i="20"/>
  <c r="DG3" i="20"/>
  <c r="DF3" i="20"/>
  <c r="DE3" i="20"/>
  <c r="DI3" i="20" s="1"/>
  <c r="DD3" i="20"/>
  <c r="G2" i="20" s="1"/>
  <c r="DB3" i="20"/>
  <c r="DA2" i="20"/>
  <c r="DA3" i="20" s="1"/>
  <c r="DA4" i="20" s="1"/>
  <c r="E2" i="20"/>
  <c r="DK3" i="61"/>
  <c r="DJ3" i="61"/>
  <c r="DF3" i="61"/>
  <c r="DE3" i="61"/>
  <c r="DI3" i="61" s="1"/>
  <c r="DD3" i="61"/>
  <c r="G2" i="61" s="1"/>
  <c r="DB3" i="61"/>
  <c r="DH3" i="61" s="1"/>
  <c r="DA3" i="61"/>
  <c r="DA4" i="61" s="1"/>
  <c r="E2" i="61"/>
  <c r="DK3" i="25"/>
  <c r="DJ3" i="25"/>
  <c r="DH3" i="25"/>
  <c r="DG3" i="25"/>
  <c r="DF3" i="25"/>
  <c r="DE3" i="25"/>
  <c r="DI3" i="25" s="1"/>
  <c r="DD3" i="25"/>
  <c r="G2" i="25" s="1"/>
  <c r="DB3" i="25"/>
  <c r="DA3" i="25"/>
  <c r="DA4" i="25" s="1"/>
  <c r="E2" i="25"/>
  <c r="DK3" i="13"/>
  <c r="DJ3" i="13"/>
  <c r="DH3" i="13"/>
  <c r="DG3" i="13"/>
  <c r="DF3" i="13"/>
  <c r="DE3" i="13"/>
  <c r="DI3" i="13" s="1"/>
  <c r="DD3" i="13"/>
  <c r="G2" i="13" s="1"/>
  <c r="DB3" i="13"/>
  <c r="DA2" i="13"/>
  <c r="DA3" i="13" s="1"/>
  <c r="DA4" i="13" s="1"/>
  <c r="E2" i="13"/>
  <c r="DK3" i="7"/>
  <c r="DJ3" i="7"/>
  <c r="DH3" i="7"/>
  <c r="DG3" i="7"/>
  <c r="DF3" i="7"/>
  <c r="DE3" i="7"/>
  <c r="DI3" i="7" s="1"/>
  <c r="DD3" i="7"/>
  <c r="G2" i="7" s="1"/>
  <c r="DB3" i="7"/>
  <c r="DA2" i="7"/>
  <c r="DA3" i="7" s="1"/>
  <c r="DA4" i="7" s="1"/>
  <c r="E2" i="7"/>
  <c r="DK3" i="31"/>
  <c r="DJ3" i="31"/>
  <c r="DH3" i="31"/>
  <c r="DF3" i="31"/>
  <c r="DE3" i="31"/>
  <c r="DI3" i="31" s="1"/>
  <c r="DD3" i="31"/>
  <c r="G2" i="31" s="1"/>
  <c r="DB3" i="31"/>
  <c r="DA2" i="31"/>
  <c r="DA3" i="31" s="1"/>
  <c r="DA4" i="31" s="1"/>
  <c r="E2" i="31"/>
  <c r="DK3" i="32"/>
  <c r="DJ3" i="32"/>
  <c r="DH3" i="32"/>
  <c r="DF3" i="32"/>
  <c r="DE3" i="32"/>
  <c r="DI3" i="32" s="1"/>
  <c r="DD3" i="32"/>
  <c r="G2" i="32" s="1"/>
  <c r="DB3" i="32"/>
  <c r="DA3" i="32"/>
  <c r="DA4" i="32" s="1"/>
  <c r="E2" i="32"/>
  <c r="DK3" i="16"/>
  <c r="DJ3" i="16"/>
  <c r="DH3" i="16"/>
  <c r="DG3" i="16"/>
  <c r="DF3" i="16"/>
  <c r="DE3" i="16"/>
  <c r="DI3" i="16" s="1"/>
  <c r="DD3" i="16"/>
  <c r="G2" i="16" s="1"/>
  <c r="DB3" i="16"/>
  <c r="DA3" i="16"/>
  <c r="DA4" i="16" s="1"/>
  <c r="E2" i="16"/>
  <c r="DK3" i="1"/>
  <c r="DJ3" i="1"/>
  <c r="DG3" i="1" s="1"/>
  <c r="DH3" i="1"/>
  <c r="DF3" i="1"/>
  <c r="DE3" i="1"/>
  <c r="DI3" i="1" s="1"/>
  <c r="DD3" i="1"/>
  <c r="G2" i="1" s="1"/>
  <c r="DB3" i="1"/>
  <c r="DA3" i="1"/>
  <c r="DA4" i="1" s="1"/>
  <c r="E2" i="1"/>
  <c r="DK3" i="54"/>
  <c r="DJ3" i="54"/>
  <c r="DH3" i="54"/>
  <c r="DG3" i="54"/>
  <c r="DF3" i="54"/>
  <c r="DE3" i="54"/>
  <c r="DI3" i="54" s="1"/>
  <c r="DD3" i="54"/>
  <c r="G2" i="54" s="1"/>
  <c r="DB3" i="54"/>
  <c r="DA3" i="54"/>
  <c r="DA4" i="54" s="1"/>
  <c r="E2" i="54"/>
  <c r="DK3" i="22"/>
  <c r="DJ3" i="22"/>
  <c r="DH3" i="22"/>
  <c r="DG3" i="22"/>
  <c r="DF3" i="22"/>
  <c r="DE3" i="22"/>
  <c r="DI3" i="22" s="1"/>
  <c r="DD3" i="22"/>
  <c r="G2" i="22" s="1"/>
  <c r="DB3" i="22"/>
  <c r="DA3" i="22"/>
  <c r="DA4" i="22" s="1"/>
  <c r="E2" i="22"/>
  <c r="DK3" i="24"/>
  <c r="DJ3" i="24"/>
  <c r="DH3" i="24"/>
  <c r="DG3" i="24"/>
  <c r="DF3" i="24"/>
  <c r="DE3" i="24"/>
  <c r="DI3" i="24" s="1"/>
  <c r="DD3" i="24"/>
  <c r="G2" i="24" s="1"/>
  <c r="DB3" i="24"/>
  <c r="DA3" i="24"/>
  <c r="DA4" i="24" s="1"/>
  <c r="E2" i="24"/>
  <c r="DK3" i="10"/>
  <c r="DJ3" i="10"/>
  <c r="DH3" i="10"/>
  <c r="DG3" i="10"/>
  <c r="DF3" i="10"/>
  <c r="DE3" i="10"/>
  <c r="DI3" i="10" s="1"/>
  <c r="DD3" i="10"/>
  <c r="G2" i="10" s="1"/>
  <c r="DB3" i="10"/>
  <c r="DA3" i="10"/>
  <c r="DA4" i="10" s="1"/>
  <c r="E2" i="10"/>
  <c r="DK3" i="11"/>
  <c r="DJ3" i="11"/>
  <c r="DG3" i="11"/>
  <c r="DF3" i="11"/>
  <c r="DE3" i="11"/>
  <c r="DI3" i="11" s="1"/>
  <c r="DD3" i="11"/>
  <c r="G2" i="11" s="1"/>
  <c r="DB3" i="11"/>
  <c r="DA2" i="11"/>
  <c r="DA3" i="11" s="1"/>
  <c r="DA4" i="11" s="1"/>
  <c r="E2" i="11"/>
  <c r="DK3" i="5"/>
  <c r="DJ3" i="5"/>
  <c r="DH3" i="5"/>
  <c r="DG3" i="5"/>
  <c r="DF3" i="5"/>
  <c r="DE3" i="5"/>
  <c r="DI3" i="5" s="1"/>
  <c r="DD3" i="5"/>
  <c r="G2" i="5" s="1"/>
  <c r="DB3" i="5"/>
  <c r="DA3" i="5"/>
  <c r="DA4" i="5" s="1"/>
  <c r="E2" i="5"/>
  <c r="DK3" i="14"/>
  <c r="DJ3" i="14"/>
  <c r="DH3" i="14"/>
  <c r="DG3" i="14"/>
  <c r="DF3" i="14"/>
  <c r="DE3" i="14"/>
  <c r="F2" i="14" s="1"/>
  <c r="DD3" i="14"/>
  <c r="G2" i="14" s="1"/>
  <c r="DB3" i="14"/>
  <c r="DA2" i="14"/>
  <c r="DA3" i="14" s="1"/>
  <c r="DA4" i="14" s="1"/>
  <c r="E2" i="14"/>
  <c r="DK3" i="9"/>
  <c r="DJ3" i="9"/>
  <c r="DH3" i="9"/>
  <c r="DG3" i="9"/>
  <c r="DF3" i="9"/>
  <c r="DE3" i="9"/>
  <c r="DI3" i="9" s="1"/>
  <c r="DD3" i="9"/>
  <c r="G2" i="9" s="1"/>
  <c r="DB3" i="9"/>
  <c r="DA2" i="9"/>
  <c r="DA3" i="9" s="1"/>
  <c r="DA4" i="9" s="1"/>
  <c r="E2" i="9"/>
  <c r="DJ4" i="19"/>
  <c r="DH4" i="19"/>
  <c r="DG4" i="19"/>
  <c r="DF4" i="19"/>
  <c r="DE4" i="19"/>
  <c r="DI4" i="19" s="1"/>
  <c r="DD4" i="19"/>
  <c r="DB4" i="19"/>
  <c r="DK3" i="19"/>
  <c r="DK4" i="19" s="1"/>
  <c r="DC4" i="19" s="1"/>
  <c r="DJ3" i="19"/>
  <c r="DG3" i="19" s="1"/>
  <c r="DH3" i="19"/>
  <c r="DF3" i="19"/>
  <c r="DE3" i="19"/>
  <c r="DI3" i="19" s="1"/>
  <c r="DD3" i="19"/>
  <c r="DB3" i="19"/>
  <c r="DA3" i="19"/>
  <c r="DA4" i="19" s="1"/>
  <c r="E2" i="19"/>
  <c r="DK3" i="62"/>
  <c r="DJ3" i="62"/>
  <c r="DH3" i="62"/>
  <c r="DG3" i="62"/>
  <c r="DF3" i="62"/>
  <c r="DI3" i="62"/>
  <c r="G2" i="62"/>
  <c r="DA3" i="62"/>
  <c r="DA4" i="62" s="1"/>
  <c r="E2" i="62"/>
  <c r="DK3" i="4"/>
  <c r="DJ3" i="4"/>
  <c r="DH3" i="4"/>
  <c r="DG3" i="4"/>
  <c r="DF3" i="4"/>
  <c r="DE3" i="4"/>
  <c r="F2" i="4" s="1"/>
  <c r="DD3" i="4"/>
  <c r="G2" i="4" s="1"/>
  <c r="DB3" i="4"/>
  <c r="DA3" i="4"/>
  <c r="DA4" i="4" s="1"/>
  <c r="E2" i="4"/>
  <c r="DL4" i="23"/>
  <c r="DK3" i="23"/>
  <c r="DJ3" i="23"/>
  <c r="DF3" i="23"/>
  <c r="DE3" i="23"/>
  <c r="DI3" i="23" s="1"/>
  <c r="DD3" i="23"/>
  <c r="G2" i="23" s="1"/>
  <c r="DB3" i="23"/>
  <c r="DA2" i="23"/>
  <c r="DA3" i="23" s="1"/>
  <c r="DA4" i="23" s="1"/>
  <c r="E2" i="23"/>
  <c r="DK3" i="6"/>
  <c r="DJ3" i="6"/>
  <c r="DH3" i="6"/>
  <c r="DF3" i="6"/>
  <c r="DE3" i="6"/>
  <c r="DI3" i="6" s="1"/>
  <c r="DD3" i="6"/>
  <c r="G2" i="6" s="1"/>
  <c r="DB3" i="6"/>
  <c r="DA3" i="6"/>
  <c r="DA4" i="6" s="1"/>
  <c r="E2" i="6"/>
  <c r="DK3" i="3"/>
  <c r="DJ3" i="3"/>
  <c r="DH3" i="3"/>
  <c r="DG3" i="3"/>
  <c r="DF3" i="3"/>
  <c r="DE3" i="3"/>
  <c r="DI3" i="3" s="1"/>
  <c r="DD3" i="3"/>
  <c r="G2" i="3" s="1"/>
  <c r="DB3" i="3"/>
  <c r="DA2" i="3"/>
  <c r="DA3" i="3" s="1"/>
  <c r="DA4" i="3" s="1"/>
  <c r="E2" i="3"/>
  <c r="DK3" i="27"/>
  <c r="DJ3" i="27"/>
  <c r="DH3" i="27"/>
  <c r="DG3" i="27"/>
  <c r="DF3" i="27"/>
  <c r="DE3" i="27"/>
  <c r="DI3" i="27" s="1"/>
  <c r="DD3" i="27"/>
  <c r="G2" i="27" s="1"/>
  <c r="DB3" i="27"/>
  <c r="DA2" i="27"/>
  <c r="DA3" i="27" s="1"/>
  <c r="DA4" i="27" s="1"/>
  <c r="E2" i="27"/>
  <c r="DK3" i="2"/>
  <c r="DJ3" i="2"/>
  <c r="DH3" i="2"/>
  <c r="DF3" i="2"/>
  <c r="DC3" i="2" s="1"/>
  <c r="DE3" i="2"/>
  <c r="DI3" i="2" s="1"/>
  <c r="DD3" i="2"/>
  <c r="G2" i="2" s="1"/>
  <c r="DA3" i="2"/>
  <c r="DA4" i="2" s="1"/>
  <c r="E2" i="2"/>
  <c r="DK3" i="58"/>
  <c r="DJ3" i="58"/>
  <c r="DH3" i="58"/>
  <c r="DF3" i="58"/>
  <c r="F2" i="58"/>
  <c r="G2" i="58"/>
  <c r="DB3" i="58"/>
  <c r="DA3" i="58"/>
  <c r="DA4" i="58" s="1"/>
  <c r="E2" i="58"/>
  <c r="DK3" i="59"/>
  <c r="DJ3" i="59"/>
  <c r="DH3" i="59"/>
  <c r="DF3" i="59"/>
  <c r="DE3" i="59"/>
  <c r="DI3" i="59" s="1"/>
  <c r="DD3" i="59"/>
  <c r="G2" i="59" s="1"/>
  <c r="DB3" i="59"/>
  <c r="DA3" i="59"/>
  <c r="DA4" i="59" s="1"/>
  <c r="E2" i="59"/>
  <c r="DK3" i="55"/>
  <c r="DJ3" i="55"/>
  <c r="DG3" i="55"/>
  <c r="DF3" i="55"/>
  <c r="DE3" i="55"/>
  <c r="DI3" i="55" s="1"/>
  <c r="DD3" i="55"/>
  <c r="G2" i="55" s="1"/>
  <c r="DB3" i="55"/>
  <c r="DH3" i="55" s="1"/>
  <c r="DA3" i="55"/>
  <c r="DA4" i="55" s="1"/>
  <c r="E2" i="55"/>
  <c r="DK3" i="46"/>
  <c r="DJ3" i="46"/>
  <c r="DG3" i="46" s="1"/>
  <c r="DF3" i="46"/>
  <c r="DE3" i="46"/>
  <c r="DI3" i="46" s="1"/>
  <c r="DD3" i="46"/>
  <c r="G2" i="46" s="1"/>
  <c r="DB3" i="46"/>
  <c r="DA3" i="46"/>
  <c r="DA4" i="46" s="1"/>
  <c r="E2" i="46"/>
  <c r="DK3" i="53"/>
  <c r="DJ3" i="53"/>
  <c r="DH3" i="53"/>
  <c r="DG3" i="53"/>
  <c r="DF3" i="53"/>
  <c r="DE3" i="53"/>
  <c r="DI3" i="53" s="1"/>
  <c r="DD3" i="53"/>
  <c r="G2" i="53" s="1"/>
  <c r="DB3" i="53"/>
  <c r="DA3" i="53"/>
  <c r="DA4" i="53" s="1"/>
  <c r="E2" i="53"/>
  <c r="DK3" i="51"/>
  <c r="DJ3" i="51"/>
  <c r="DF3" i="51"/>
  <c r="DE3" i="51"/>
  <c r="DI3" i="51" s="1"/>
  <c r="DD3" i="51"/>
  <c r="G2" i="51" s="1"/>
  <c r="DB3" i="51"/>
  <c r="DH3" i="51" s="1"/>
  <c r="DA3" i="51"/>
  <c r="DA4" i="51" s="1"/>
  <c r="E2" i="51"/>
  <c r="DK3" i="28"/>
  <c r="DJ3" i="28"/>
  <c r="DF3" i="28"/>
  <c r="DE3" i="28"/>
  <c r="DI3" i="28" s="1"/>
  <c r="DD3" i="28"/>
  <c r="G2" i="28" s="1"/>
  <c r="DB3" i="28"/>
  <c r="DH3" i="28" s="1"/>
  <c r="DA3" i="28"/>
  <c r="DA4" i="28" s="1"/>
  <c r="E2" i="28"/>
  <c r="DK3" i="47"/>
  <c r="DJ3" i="47"/>
  <c r="DG3" i="47" s="1"/>
  <c r="DH3" i="47"/>
  <c r="DF3" i="47"/>
  <c r="DE3" i="47"/>
  <c r="DI3" i="47" s="1"/>
  <c r="DD3" i="47"/>
  <c r="G2" i="47" s="1"/>
  <c r="DB3" i="47"/>
  <c r="DA3" i="47"/>
  <c r="DA4" i="47" s="1"/>
  <c r="E2" i="47"/>
  <c r="DK3" i="49"/>
  <c r="DJ3" i="49"/>
  <c r="DH3" i="49"/>
  <c r="DF3" i="49"/>
  <c r="DE3" i="49"/>
  <c r="DI3" i="49" s="1"/>
  <c r="DD3" i="49"/>
  <c r="G2" i="49" s="1"/>
  <c r="DB3" i="49"/>
  <c r="DA2" i="49"/>
  <c r="DA3" i="49" s="1"/>
  <c r="DA4" i="49" s="1"/>
  <c r="E2" i="49"/>
  <c r="DK3" i="48"/>
  <c r="DJ3" i="48"/>
  <c r="DH3" i="48"/>
  <c r="DG3" i="48"/>
  <c r="DF3" i="48"/>
  <c r="DE3" i="48"/>
  <c r="DI3" i="48" s="1"/>
  <c r="DD3" i="48"/>
  <c r="G2" i="48" s="1"/>
  <c r="DB3" i="48"/>
  <c r="DA2" i="48"/>
  <c r="DA3" i="48" s="1"/>
  <c r="DA4" i="48" s="1"/>
  <c r="E2" i="48"/>
  <c r="DK3" i="45"/>
  <c r="DJ3" i="45"/>
  <c r="DH3" i="45"/>
  <c r="DF3" i="45"/>
  <c r="DE3" i="45"/>
  <c r="DD3" i="45"/>
  <c r="G2" i="45" s="1"/>
  <c r="DB3" i="45"/>
  <c r="DA2" i="45"/>
  <c r="DA3" i="45" s="1"/>
  <c r="DA4" i="45" s="1"/>
  <c r="E2" i="45"/>
  <c r="DK3" i="63"/>
  <c r="DJ3" i="63"/>
  <c r="DH3" i="63"/>
  <c r="DF3" i="63"/>
  <c r="DE3" i="63"/>
  <c r="DI3" i="63" s="1"/>
  <c r="DD3" i="63"/>
  <c r="G2" i="63" s="1"/>
  <c r="DB3" i="63"/>
  <c r="DA2" i="63"/>
  <c r="DA3" i="63" s="1"/>
  <c r="DA4" i="63" s="1"/>
  <c r="E2" i="63"/>
  <c r="DK3" i="44"/>
  <c r="DJ3" i="44"/>
  <c r="DH3" i="44"/>
  <c r="DF3" i="44"/>
  <c r="DE3" i="44"/>
  <c r="DI3" i="44" s="1"/>
  <c r="DD3" i="44"/>
  <c r="G2" i="44" s="1"/>
  <c r="DB3" i="44"/>
  <c r="DA3" i="44"/>
  <c r="DA4" i="44" s="1"/>
  <c r="E2" i="44"/>
  <c r="DK3" i="50"/>
  <c r="DJ3" i="50"/>
  <c r="DE3" i="50"/>
  <c r="DI3" i="50" s="1"/>
  <c r="DD3" i="50"/>
  <c r="G2" i="50" s="1"/>
  <c r="DB3" i="50"/>
  <c r="DA2" i="50"/>
  <c r="DA3" i="50" s="1"/>
  <c r="DA4" i="50" s="1"/>
  <c r="E2" i="50"/>
  <c r="DK3" i="43"/>
  <c r="DJ3" i="43"/>
  <c r="DG3" i="43" s="1"/>
  <c r="DF3" i="43"/>
  <c r="DE3" i="43"/>
  <c r="F2" i="43" s="1"/>
  <c r="DD3" i="43"/>
  <c r="G2" i="43" s="1"/>
  <c r="DB3" i="43"/>
  <c r="DH3" i="43" s="1"/>
  <c r="DA3" i="43"/>
  <c r="DA4" i="43" s="1"/>
  <c r="E2" i="43"/>
  <c r="DK3" i="57"/>
  <c r="DJ3" i="57"/>
  <c r="DF3" i="57"/>
  <c r="DE3" i="57"/>
  <c r="DI3" i="57" s="1"/>
  <c r="DD3" i="57"/>
  <c r="G2" i="57" s="1"/>
  <c r="DB3" i="57"/>
  <c r="DH3" i="57" s="1"/>
  <c r="DA3" i="57"/>
  <c r="DA4" i="57" s="1"/>
  <c r="E2" i="57"/>
  <c r="DK3" i="41"/>
  <c r="DJ3" i="41"/>
  <c r="DH3" i="41"/>
  <c r="DG3" i="41"/>
  <c r="DF3" i="41"/>
  <c r="DE3" i="41"/>
  <c r="DI3" i="41" s="1"/>
  <c r="DD3" i="41"/>
  <c r="G2" i="41" s="1"/>
  <c r="DB3" i="41"/>
  <c r="DA3" i="41"/>
  <c r="DA4" i="41" s="1"/>
  <c r="E2" i="41"/>
  <c r="DK3" i="42"/>
  <c r="DJ3" i="42"/>
  <c r="DH3" i="42"/>
  <c r="DG3" i="42"/>
  <c r="DF3" i="42"/>
  <c r="DE3" i="42"/>
  <c r="DI3" i="42" s="1"/>
  <c r="DD3" i="42"/>
  <c r="G2" i="42" s="1"/>
  <c r="DB3" i="42"/>
  <c r="DA2" i="42"/>
  <c r="DA3" i="42" s="1"/>
  <c r="DA4" i="42" s="1"/>
  <c r="E2" i="42"/>
  <c r="DK3" i="60"/>
  <c r="DJ3" i="60"/>
  <c r="DG3" i="60"/>
  <c r="DF3" i="60"/>
  <c r="DE3" i="60"/>
  <c r="DI3" i="60" s="1"/>
  <c r="DD3" i="60"/>
  <c r="G2" i="60" s="1"/>
  <c r="DB3" i="60"/>
  <c r="DA3" i="60"/>
  <c r="DA4" i="60" s="1"/>
  <c r="E2" i="60"/>
  <c r="DK3" i="56"/>
  <c r="DJ3" i="56"/>
  <c r="DH3" i="56"/>
  <c r="DF3" i="56"/>
  <c r="DE3" i="56"/>
  <c r="DI3" i="56" s="1"/>
  <c r="DD3" i="56"/>
  <c r="G2" i="56" s="1"/>
  <c r="DB3" i="56"/>
  <c r="DA3" i="56"/>
  <c r="DA4" i="56" s="1"/>
  <c r="E2" i="56"/>
  <c r="DK3" i="40"/>
  <c r="DJ3" i="40"/>
  <c r="DG3" i="40"/>
  <c r="DF3" i="40"/>
  <c r="DE3" i="40"/>
  <c r="DI3" i="40" s="1"/>
  <c r="DD3" i="40"/>
  <c r="G2" i="40" s="1"/>
  <c r="DB3" i="40"/>
  <c r="DA3" i="40"/>
  <c r="DA4" i="40" s="1"/>
  <c r="E2" i="40"/>
  <c r="DG3" i="29"/>
  <c r="DG3" i="50"/>
  <c r="DG3" i="28"/>
  <c r="DG3" i="45"/>
  <c r="DG3" i="31"/>
  <c r="DG3" i="44"/>
  <c r="DG3" i="63"/>
  <c r="DG3" i="38"/>
  <c r="DG3" i="57"/>
  <c r="DG3" i="56"/>
  <c r="DH3" i="40"/>
  <c r="DG3" i="58"/>
  <c r="DG3" i="32"/>
  <c r="DG3" i="23"/>
  <c r="DG3" i="49"/>
  <c r="DG3" i="61"/>
  <c r="DG3" i="34"/>
  <c r="DG3" i="51"/>
  <c r="DG3" i="59"/>
  <c r="DG3" i="6"/>
  <c r="H2" i="69" l="1"/>
  <c r="I2" i="69" s="1"/>
  <c r="F2" i="20"/>
  <c r="H2" i="20" s="1"/>
  <c r="I2" i="20" s="1"/>
  <c r="F2" i="15"/>
  <c r="H2" i="15" s="1"/>
  <c r="I2" i="15" s="1"/>
  <c r="F2" i="24"/>
  <c r="H2" i="24" s="1"/>
  <c r="I2" i="24" s="1"/>
  <c r="F2" i="29"/>
  <c r="H2" i="29" s="1"/>
  <c r="I2" i="29" s="1"/>
  <c r="F2" i="34"/>
  <c r="H2" i="34" s="1"/>
  <c r="I2" i="34" s="1"/>
  <c r="F2" i="37"/>
  <c r="H2" i="37" s="1"/>
  <c r="I2" i="37" s="1"/>
  <c r="F2" i="53"/>
  <c r="H2" i="53" s="1"/>
  <c r="I2" i="53" s="1"/>
  <c r="F2" i="47"/>
  <c r="H2" i="47" s="1"/>
  <c r="I2" i="47" s="1"/>
  <c r="F2" i="3"/>
  <c r="H2" i="3" s="1"/>
  <c r="I2" i="3" s="1"/>
  <c r="F2" i="31"/>
  <c r="H2" i="31" s="1"/>
  <c r="I2" i="31" s="1"/>
  <c r="F2" i="11"/>
  <c r="H2" i="11" s="1"/>
  <c r="I2" i="11" s="1"/>
  <c r="F2" i="5"/>
  <c r="H2" i="5" s="1"/>
  <c r="I2" i="5" s="1"/>
  <c r="F2" i="55"/>
  <c r="H2" i="55" s="1"/>
  <c r="I2" i="55" s="1"/>
  <c r="F2" i="2"/>
  <c r="H2" i="2" s="1"/>
  <c r="I2" i="2" s="1"/>
  <c r="F2" i="54"/>
  <c r="H2" i="54" s="1"/>
  <c r="I2" i="54" s="1"/>
  <c r="F2" i="16"/>
  <c r="H2" i="16" s="1"/>
  <c r="I2" i="16" s="1"/>
  <c r="F2" i="62"/>
  <c r="H2" i="62" s="1"/>
  <c r="I2" i="62" s="1"/>
  <c r="F2" i="63"/>
  <c r="H2" i="63" s="1"/>
  <c r="I2" i="63" s="1"/>
  <c r="F2" i="57"/>
  <c r="H2" i="57" s="1"/>
  <c r="I2" i="57" s="1"/>
  <c r="F2" i="25"/>
  <c r="H2" i="25" s="1"/>
  <c r="I2" i="25" s="1"/>
  <c r="F2" i="44"/>
  <c r="H2" i="44" s="1"/>
  <c r="I2" i="44" s="1"/>
  <c r="F2" i="27"/>
  <c r="H2" i="27" s="1"/>
  <c r="I2" i="27" s="1"/>
  <c r="F2" i="49"/>
  <c r="H2" i="49" s="1"/>
  <c r="I2" i="49" s="1"/>
  <c r="F2" i="1"/>
  <c r="H2" i="1" s="1"/>
  <c r="I2" i="1" s="1"/>
  <c r="DC3" i="41"/>
  <c r="F2" i="46"/>
  <c r="H2" i="46" s="1"/>
  <c r="I2" i="46" s="1"/>
  <c r="F2" i="23"/>
  <c r="H2" i="23" s="1"/>
  <c r="I2" i="23" s="1"/>
  <c r="F2" i="48"/>
  <c r="H2" i="48" s="1"/>
  <c r="I2" i="48" s="1"/>
  <c r="DC3" i="13"/>
  <c r="G2" i="38"/>
  <c r="DC3" i="34"/>
  <c r="DI3" i="43"/>
  <c r="DC3" i="14"/>
  <c r="DC3" i="33"/>
  <c r="DC3" i="49"/>
  <c r="DC3" i="9"/>
  <c r="DC3" i="50"/>
  <c r="F2" i="50"/>
  <c r="H2" i="50" s="1"/>
  <c r="I2" i="50" s="1"/>
  <c r="DC3" i="26"/>
  <c r="H2" i="4"/>
  <c r="I2" i="4" s="1"/>
  <c r="DC3" i="22"/>
  <c r="DC3" i="36"/>
  <c r="DC3" i="53"/>
  <c r="DC3" i="6"/>
  <c r="DC3" i="10"/>
  <c r="DC3" i="32"/>
  <c r="H2" i="67"/>
  <c r="I2" i="67" s="1"/>
  <c r="DC3" i="5"/>
  <c r="DC3" i="16"/>
  <c r="DC3" i="25"/>
  <c r="H2" i="43"/>
  <c r="I2" i="43" s="1"/>
  <c r="DC3" i="44"/>
  <c r="F2" i="28"/>
  <c r="H2" i="28" s="1"/>
  <c r="I2" i="28" s="1"/>
  <c r="DC3" i="55"/>
  <c r="DC3" i="59"/>
  <c r="DC3" i="4"/>
  <c r="F2" i="19"/>
  <c r="DC3" i="54"/>
  <c r="DC3" i="1"/>
  <c r="DC3" i="29"/>
  <c r="DC3" i="42"/>
  <c r="DC3" i="45"/>
  <c r="DC3" i="62"/>
  <c r="F2" i="59"/>
  <c r="H2" i="59" s="1"/>
  <c r="I2" i="59" s="1"/>
  <c r="DC3" i="7"/>
  <c r="F2" i="61"/>
  <c r="H2" i="61" s="1"/>
  <c r="I2" i="61" s="1"/>
  <c r="DC3" i="20"/>
  <c r="F2" i="8"/>
  <c r="DC3" i="28"/>
  <c r="F2" i="40"/>
  <c r="H2" i="40" s="1"/>
  <c r="I2" i="40" s="1"/>
  <c r="F2" i="56"/>
  <c r="H2" i="56" s="1"/>
  <c r="I2" i="56" s="1"/>
  <c r="F2" i="60"/>
  <c r="H2" i="60" s="1"/>
  <c r="I2" i="60" s="1"/>
  <c r="F2" i="41"/>
  <c r="H2" i="41" s="1"/>
  <c r="I2" i="41" s="1"/>
  <c r="DC3" i="51"/>
  <c r="H2" i="58"/>
  <c r="I2" i="58" s="1"/>
  <c r="DI3" i="58"/>
  <c r="DC3" i="27"/>
  <c r="F2" i="6"/>
  <c r="H2" i="6" s="1"/>
  <c r="I2" i="6" s="1"/>
  <c r="F2" i="22"/>
  <c r="H2" i="22" s="1"/>
  <c r="I2" i="22" s="1"/>
  <c r="DC3" i="15"/>
  <c r="G2" i="19"/>
  <c r="F2" i="33"/>
  <c r="H2" i="33" s="1"/>
  <c r="I2" i="33" s="1"/>
  <c r="DC3" i="38"/>
  <c r="H2" i="64"/>
  <c r="I2" i="64" s="1"/>
  <c r="DC3" i="24"/>
  <c r="DC3" i="37"/>
  <c r="F2" i="38"/>
  <c r="DC3" i="40"/>
  <c r="DC3" i="56"/>
  <c r="DC3" i="60"/>
  <c r="F2" i="42"/>
  <c r="H2" i="42" s="1"/>
  <c r="I2" i="42" s="1"/>
  <c r="F2" i="51"/>
  <c r="H2" i="51" s="1"/>
  <c r="I2" i="51" s="1"/>
  <c r="DC3" i="58"/>
  <c r="DC3" i="3"/>
  <c r="H2" i="14"/>
  <c r="I2" i="14" s="1"/>
  <c r="F2" i="32"/>
  <c r="H2" i="32" s="1"/>
  <c r="I2" i="32" s="1"/>
  <c r="DC3" i="31"/>
  <c r="DC3" i="61"/>
  <c r="DC3" i="64"/>
  <c r="H2" i="66"/>
  <c r="I2" i="66" s="1"/>
  <c r="DI3" i="66"/>
  <c r="DH3" i="60"/>
  <c r="DI3" i="4"/>
  <c r="DC3" i="43"/>
  <c r="DC3" i="63"/>
  <c r="DI3" i="45"/>
  <c r="F2" i="45"/>
  <c r="H2" i="45" s="1"/>
  <c r="I2" i="45" s="1"/>
  <c r="DC3" i="47"/>
  <c r="DC3" i="46"/>
  <c r="DH3" i="46"/>
  <c r="DC3" i="19"/>
  <c r="DI3" i="14"/>
  <c r="DH3" i="11"/>
  <c r="DC3" i="11"/>
  <c r="F2" i="10"/>
  <c r="H2" i="10" s="1"/>
  <c r="I2" i="10" s="1"/>
  <c r="DH3" i="23"/>
  <c r="DC3" i="23"/>
  <c r="DC3" i="57"/>
  <c r="DC3" i="48"/>
  <c r="F2" i="9"/>
  <c r="H2" i="9" s="1"/>
  <c r="I2" i="9" s="1"/>
  <c r="F2" i="13"/>
  <c r="H2" i="13" s="1"/>
  <c r="I2" i="13" s="1"/>
  <c r="F2" i="26"/>
  <c r="H2" i="26" s="1"/>
  <c r="I2" i="26" s="1"/>
  <c r="DI3" i="64"/>
  <c r="F2" i="7"/>
  <c r="H2" i="7" s="1"/>
  <c r="I2" i="7" s="1"/>
  <c r="F2" i="36"/>
  <c r="H2" i="36" s="1"/>
  <c r="I2" i="36" s="1"/>
  <c r="H2" i="38" l="1"/>
  <c r="I2" i="38" s="1"/>
  <c r="H2" i="19"/>
  <c r="I2" i="19" s="1"/>
</calcChain>
</file>

<file path=xl/sharedStrings.xml><?xml version="1.0" encoding="utf-8"?>
<sst xmlns="http://schemas.openxmlformats.org/spreadsheetml/2006/main" count="5366" uniqueCount="1129">
  <si>
    <t>Entry For Import</t>
  </si>
  <si>
    <t xml:space="preserve">Import Receipt Entry </t>
  </si>
  <si>
    <t>Import Payment Entry</t>
  </si>
  <si>
    <t>Total Entry Import</t>
  </si>
  <si>
    <t>All Data Import Successfully</t>
  </si>
  <si>
    <t>Bank Name</t>
  </si>
  <si>
    <t/>
  </si>
  <si>
    <t>Vou.Dt</t>
  </si>
  <si>
    <t>Vou.No.</t>
  </si>
  <si>
    <t>Withdwol</t>
  </si>
  <si>
    <t>Diposit</t>
  </si>
  <si>
    <t>Balance</t>
  </si>
  <si>
    <t>Chq No.</t>
  </si>
  <si>
    <t>Chq Dt</t>
  </si>
  <si>
    <t>A/c.</t>
  </si>
  <si>
    <t xml:space="preserve">Narration </t>
  </si>
  <si>
    <t>Sr No</t>
  </si>
  <si>
    <t>Txn Date</t>
  </si>
  <si>
    <t>Value Date</t>
  </si>
  <si>
    <t>Description</t>
  </si>
  <si>
    <t>Ref No./Cheque No.</t>
  </si>
  <si>
    <t xml:space="preserve">        Debit</t>
  </si>
  <si>
    <t>Credit</t>
  </si>
  <si>
    <t>S.N.</t>
  </si>
  <si>
    <t>Tran. Id</t>
  </si>
  <si>
    <t>Transaction Date</t>
  </si>
  <si>
    <t>Transaction Posted Date</t>
  </si>
  <si>
    <t>Cheque. No./Ref. No.</t>
  </si>
  <si>
    <t>Transaction Remarks</t>
  </si>
  <si>
    <t>Withdrawal Amt (INR)</t>
  </si>
  <si>
    <t>Deposit Amt (INR)</t>
  </si>
  <si>
    <t>Balance (INR)</t>
  </si>
  <si>
    <t>Date</t>
  </si>
  <si>
    <t>Narration</t>
  </si>
  <si>
    <t>Chq./Ref.No.</t>
  </si>
  <si>
    <t>Value Dt</t>
  </si>
  <si>
    <t>Withdrawal Amt.</t>
  </si>
  <si>
    <t>Deposit Amt.</t>
  </si>
  <si>
    <t>Closing Balance</t>
  </si>
  <si>
    <t>Tran Date</t>
  </si>
  <si>
    <t>CHQNO</t>
  </si>
  <si>
    <t>PARTICULARS</t>
  </si>
  <si>
    <t>DR</t>
  </si>
  <si>
    <t>CR</t>
  </si>
  <si>
    <t>BAL</t>
  </si>
  <si>
    <t>SOL</t>
  </si>
  <si>
    <t>Srl</t>
  </si>
  <si>
    <t>Cheque No</t>
  </si>
  <si>
    <t>CR/DR</t>
  </si>
  <si>
    <t>CCY</t>
  </si>
  <si>
    <t>Amount (INR)</t>
  </si>
  <si>
    <t>DATE</t>
  </si>
  <si>
    <t>NARRATION</t>
  </si>
  <si>
    <t>CHQ.NO.</t>
  </si>
  <si>
    <t>WITHDRAWAL(DR)</t>
  </si>
  <si>
    <t>DEPOSIT(CR)</t>
  </si>
  <si>
    <t>BALANCE(INR)</t>
  </si>
  <si>
    <t>Total Entry</t>
  </si>
  <si>
    <t>Bank Receipt</t>
  </si>
  <si>
    <t>Bank Payment</t>
  </si>
  <si>
    <t>ICICI Bank A/c.</t>
  </si>
  <si>
    <t>Axis Bank A/c.</t>
  </si>
  <si>
    <t>IDBI Bank A/c.</t>
  </si>
  <si>
    <t>SBI Bank A/c.</t>
  </si>
  <si>
    <t>HDFC Bank A/c.</t>
  </si>
  <si>
    <t>Kotak Bank A/c.</t>
  </si>
  <si>
    <t>Bank of Baroda A/c.</t>
  </si>
  <si>
    <t>Cheque No/Reference No</t>
  </si>
  <si>
    <t>Withdrawals</t>
  </si>
  <si>
    <t>Deposits</t>
  </si>
  <si>
    <t>Running Balance</t>
  </si>
  <si>
    <t xml:space="preserve">Yesh Bank </t>
  </si>
  <si>
    <t>Post Date</t>
  </si>
  <si>
    <t>Remitter Branch</t>
  </si>
  <si>
    <t>Cheque No.</t>
  </si>
  <si>
    <t>Debit Amount</t>
  </si>
  <si>
    <t>Credit Amount</t>
  </si>
  <si>
    <t>Indian Bank</t>
  </si>
  <si>
    <t>Sl. No.</t>
  </si>
  <si>
    <t>Chq / Ref number</t>
  </si>
  <si>
    <t>Amount</t>
  </si>
  <si>
    <t>Dr / Cr</t>
  </si>
  <si>
    <r>
      <rPr>
        <b/>
        <sz val="8"/>
        <rFont val="Times New Roman"/>
        <family val="1"/>
      </rPr>
      <t>Date</t>
    </r>
  </si>
  <si>
    <r>
      <rPr>
        <b/>
        <sz val="8"/>
        <rFont val="Times New Roman"/>
        <family val="1"/>
      </rPr>
      <t>Effective Date</t>
    </r>
  </si>
  <si>
    <r>
      <rPr>
        <b/>
        <sz val="8"/>
        <rFont val="Times New Roman"/>
        <family val="1"/>
      </rPr>
      <t>Cheque/Sequence Number</t>
    </r>
  </si>
  <si>
    <r>
      <rPr>
        <b/>
        <sz val="8"/>
        <rFont val="Times New Roman"/>
        <family val="1"/>
      </rPr>
      <t>Branch</t>
    </r>
  </si>
  <si>
    <r>
      <rPr>
        <b/>
        <sz val="8"/>
        <rFont val="Times New Roman"/>
        <family val="1"/>
      </rPr>
      <t>Description</t>
    </r>
  </si>
  <si>
    <r>
      <rPr>
        <b/>
        <sz val="8"/>
        <rFont val="Times New Roman"/>
        <family val="1"/>
      </rPr>
      <t xml:space="preserve">Withdrawal
</t>
    </r>
    <r>
      <rPr>
        <b/>
        <sz val="8"/>
        <rFont val="Times New Roman"/>
        <family val="1"/>
      </rPr>
      <t>Amt.</t>
    </r>
  </si>
  <si>
    <r>
      <rPr>
        <b/>
        <sz val="8"/>
        <rFont val="Times New Roman"/>
        <family val="1"/>
      </rPr>
      <t>Deposit Amt.</t>
    </r>
  </si>
  <si>
    <r>
      <rPr>
        <b/>
        <sz val="8"/>
        <rFont val="Times New Roman"/>
        <family val="1"/>
      </rPr>
      <t>Balance</t>
    </r>
  </si>
  <si>
    <t>Bandhan Bank</t>
  </si>
  <si>
    <t>Current Account</t>
  </si>
  <si>
    <t>Savings Accounts</t>
  </si>
  <si>
    <t>Indusind Bank</t>
  </si>
  <si>
    <t>Sr.No.</t>
  </si>
  <si>
    <t>Type</t>
  </si>
  <si>
    <t xml:space="preserve"> Description</t>
  </si>
  <si>
    <t xml:space="preserve"> Debit </t>
  </si>
  <si>
    <t xml:space="preserve">Credit </t>
  </si>
  <si>
    <t>Cheque/Ref No.</t>
  </si>
  <si>
    <t>Debit</t>
  </si>
  <si>
    <t>Closing Bal</t>
  </si>
  <si>
    <t>The Varachha Co-op. Bank A/c.</t>
  </si>
  <si>
    <t>Bank of India A/c.</t>
  </si>
  <si>
    <t>No.</t>
  </si>
  <si>
    <t>ChequeNo.</t>
  </si>
  <si>
    <t>Cr/Dr</t>
  </si>
  <si>
    <t>Amount(INR)</t>
  </si>
  <si>
    <t>Balance(INR)</t>
  </si>
  <si>
    <t>Axis Bank A/c. (Cur)</t>
  </si>
  <si>
    <t>Rajkot Nagarik Sahakari Bank A/c.</t>
  </si>
  <si>
    <r>
      <rPr>
        <b/>
        <sz val="12"/>
        <color rgb="FFFF0000"/>
        <rFont val="Arial"/>
        <family val="2"/>
      </rPr>
      <t>Date</t>
    </r>
  </si>
  <si>
    <r>
      <rPr>
        <b/>
        <sz val="12"/>
        <color rgb="FFFF0000"/>
        <rFont val="Arial"/>
        <family val="2"/>
      </rPr>
      <t>Particulars</t>
    </r>
  </si>
  <si>
    <r>
      <rPr>
        <b/>
        <sz val="12"/>
        <color rgb="FFFF0000"/>
        <rFont val="Arial"/>
        <family val="2"/>
      </rPr>
      <t>Debit</t>
    </r>
  </si>
  <si>
    <r>
      <rPr>
        <b/>
        <sz val="12"/>
        <color rgb="FFFF0000"/>
        <rFont val="Arial"/>
        <family val="2"/>
      </rPr>
      <t>Credit</t>
    </r>
  </si>
  <si>
    <r>
      <rPr>
        <b/>
        <sz val="12"/>
        <color rgb="FFFF0000"/>
        <rFont val="Arial"/>
        <family val="2"/>
      </rPr>
      <t>Balance</t>
    </r>
  </si>
  <si>
    <t>RBL Bank A/c.</t>
  </si>
  <si>
    <t>Transaction Details</t>
  </si>
  <si>
    <t>Cheque ID</t>
  </si>
  <si>
    <t>Withdrawl Amt</t>
  </si>
  <si>
    <t>Deposit Amt</t>
  </si>
  <si>
    <t>Balance (₹)</t>
  </si>
  <si>
    <t>Chq / Ref No.</t>
  </si>
  <si>
    <t>IDFC First</t>
  </si>
  <si>
    <t>Instrument ID</t>
  </si>
  <si>
    <t>Remarks</t>
  </si>
  <si>
    <t>PNB A/c.</t>
  </si>
  <si>
    <r>
      <rPr>
        <sz val="9"/>
        <rFont val="Arial MT"/>
        <family val="2"/>
      </rPr>
      <t>Sr.No.</t>
    </r>
  </si>
  <si>
    <r>
      <rPr>
        <sz val="9"/>
        <rFont val="Arial MT"/>
        <family val="2"/>
      </rPr>
      <t>Date</t>
    </r>
  </si>
  <si>
    <r>
      <rPr>
        <sz val="9"/>
        <rFont val="Arial MT"/>
        <family val="2"/>
      </rPr>
      <t>Particulars</t>
    </r>
  </si>
  <si>
    <r>
      <rPr>
        <sz val="9"/>
        <rFont val="Arial MT"/>
        <family val="2"/>
      </rPr>
      <t>Chq./Ref. Number</t>
    </r>
  </si>
  <si>
    <r>
      <rPr>
        <sz val="9"/>
        <rFont val="Arial MT"/>
        <family val="2"/>
      </rPr>
      <t>Debit</t>
    </r>
  </si>
  <si>
    <r>
      <rPr>
        <sz val="9"/>
        <rFont val="Arial MT"/>
        <family val="2"/>
      </rPr>
      <t>Credit</t>
    </r>
  </si>
  <si>
    <r>
      <rPr>
        <sz val="9"/>
        <rFont val="Arial MT"/>
        <family val="2"/>
      </rPr>
      <t>Closing Balance</t>
    </r>
  </si>
  <si>
    <t>THE SURAT DISTRICT CO-OP. BANK LTD.</t>
  </si>
  <si>
    <t>S No.</t>
  </si>
  <si>
    <t>Cheque Number</t>
  </si>
  <si>
    <t>Withdrawal Amount (INR )</t>
  </si>
  <si>
    <t>Deposit Amount (INR )</t>
  </si>
  <si>
    <t>Balance (INR )</t>
  </si>
  <si>
    <t>ICICI Bank A/c. (Saving)</t>
  </si>
  <si>
    <t>Union Bank of India A/c.</t>
  </si>
  <si>
    <t>Prime Co-op. Bank A/c.</t>
  </si>
  <si>
    <t>Central Bank of India</t>
  </si>
  <si>
    <t>Branch Code</t>
  </si>
  <si>
    <t>Account Description</t>
  </si>
  <si>
    <t>Particulars</t>
  </si>
  <si>
    <t>Chq. No.</t>
  </si>
  <si>
    <t xml:space="preserve">UCO Bank </t>
  </si>
  <si>
    <t>Surat National Co-op. Bank Ltd.</t>
  </si>
  <si>
    <t>Federal Bank</t>
  </si>
  <si>
    <t>Tran Type</t>
  </si>
  <si>
    <t>Cheque Details</t>
  </si>
  <si>
    <t>Withdrawal</t>
  </si>
  <si>
    <t>Deposit</t>
  </si>
  <si>
    <t>Balance Amount</t>
  </si>
  <si>
    <t>Description/Narration</t>
  </si>
  <si>
    <t>Value date</t>
  </si>
  <si>
    <t>Chq./Ref. No.</t>
  </si>
  <si>
    <t>Debit(Dr.)</t>
  </si>
  <si>
    <t>Credit(Cr.)</t>
  </si>
  <si>
    <t>AU SMALL FINANCE BANK</t>
  </si>
  <si>
    <t>DCB Bank A/c.</t>
  </si>
  <si>
    <t>Withdrawals(INR)</t>
  </si>
  <si>
    <t>Deposits(INR)</t>
  </si>
  <si>
    <t>B6</t>
  </si>
  <si>
    <t>A18</t>
  </si>
  <si>
    <t>H</t>
  </si>
  <si>
    <t>I</t>
  </si>
  <si>
    <t>J</t>
  </si>
  <si>
    <t xml:space="preserve">Last File Path </t>
  </si>
  <si>
    <t>F</t>
  </si>
  <si>
    <t>G</t>
  </si>
  <si>
    <t>Cr.</t>
  </si>
  <si>
    <t>Dr.</t>
  </si>
  <si>
    <t>,</t>
  </si>
  <si>
    <t>Db.</t>
  </si>
  <si>
    <t>"U" "V" "W"</t>
  </si>
  <si>
    <t>B9</t>
  </si>
  <si>
    <t>A23</t>
  </si>
  <si>
    <t>E</t>
  </si>
  <si>
    <t>C:\Users\ADITYA\Desktop\Ecomm\Bank Statement\HDFC BANK.xls</t>
  </si>
  <si>
    <t>A20</t>
  </si>
  <si>
    <t>C</t>
  </si>
  <si>
    <t>C:\Users\ADITYA\Desktop\Ecomm\Bank Statement\PNB.xlsx</t>
  </si>
  <si>
    <t>A24</t>
  </si>
  <si>
    <t>C:\Users\ADITYA\Desktop\Ecomm\Bank Statement\indian .xls</t>
  </si>
  <si>
    <t>Transaction Particulars</t>
  </si>
  <si>
    <t xml:space="preserve"> Amount(INR)</t>
  </si>
  <si>
    <t>DR|CR</t>
  </si>
  <si>
    <t>Branch Name</t>
  </si>
  <si>
    <t>B14</t>
  </si>
  <si>
    <t>A12</t>
  </si>
  <si>
    <t>C:\Users\ADITYA\Desktop\Ecomm\Bank Statement\Fedral Bank .xls</t>
  </si>
  <si>
    <t>C:\Users\ADITYA\Desktop\Ecomm\Bank Statement\SNCB.xls</t>
  </si>
  <si>
    <t>A15</t>
  </si>
  <si>
    <t>D</t>
  </si>
  <si>
    <t>C:\Users\ADITYA\Desktop\Ecomm\Bank Statement\Uco Bank .xls</t>
  </si>
  <si>
    <t xml:space="preserve">Bank Name </t>
  </si>
  <si>
    <t>A21</t>
  </si>
  <si>
    <t>C7</t>
  </si>
  <si>
    <t>K</t>
  </si>
  <si>
    <t>A22</t>
  </si>
  <si>
    <t>C:\Users\ADITYA\Desktop\Ecomm\Bank Statement\yes bank cr.xls</t>
  </si>
  <si>
    <t>C:\Users\ADITYA\Desktop\Ecomm\Bank Statement\IDFCFIRST.xlsx</t>
  </si>
  <si>
    <t>B26</t>
  </si>
  <si>
    <t>C:\Users\ADITYA\Desktop\Ecomm\Bank Statement\RBL.xls</t>
  </si>
  <si>
    <t>A19</t>
  </si>
  <si>
    <t>C:\Users\ADITYA\Desktop\Ecomm\Bank Statement\BOI.xlsx</t>
  </si>
  <si>
    <t>C:\Users\ADITYA\Desktop\Ecomm\Bank Statement\prime bank.xls</t>
  </si>
  <si>
    <t>C:\Users\ADITYA\Desktop\Ecomm\Bank Statement\dcbbank.xls</t>
  </si>
  <si>
    <t>C:\Users\ADITYA\Desktop\Ecomm\Bank Statement\axis bank .xls</t>
  </si>
  <si>
    <t>B18</t>
  </si>
  <si>
    <t>\\ADITYA-TECH\All Sharing\A Party Backup\PATIDAR\Report-20240617190457.xlsx</t>
  </si>
  <si>
    <t>Saraswat Bank</t>
  </si>
  <si>
    <r>
      <rPr>
        <b/>
        <sz val="6.5"/>
        <rFont val="Arial"/>
        <family val="2"/>
      </rPr>
      <t>Value Date</t>
    </r>
  </si>
  <si>
    <r>
      <rPr>
        <b/>
        <sz val="6.5"/>
        <rFont val="Arial"/>
        <family val="2"/>
      </rPr>
      <t>Particulars</t>
    </r>
  </si>
  <si>
    <r>
      <rPr>
        <b/>
        <sz val="6.5"/>
        <rFont val="Arial"/>
        <family val="2"/>
      </rPr>
      <t>Location</t>
    </r>
  </si>
  <si>
    <r>
      <rPr>
        <b/>
        <sz val="6.5"/>
        <rFont val="Arial"/>
        <family val="2"/>
      </rPr>
      <t>Chq.No</t>
    </r>
  </si>
  <si>
    <r>
      <rPr>
        <b/>
        <sz val="6.5"/>
        <rFont val="Arial"/>
        <family val="2"/>
      </rPr>
      <t>Withdrawals</t>
    </r>
  </si>
  <si>
    <r>
      <rPr>
        <b/>
        <sz val="6.5"/>
        <rFont val="Arial"/>
        <family val="2"/>
      </rPr>
      <t>Deposits</t>
    </r>
  </si>
  <si>
    <r>
      <rPr>
        <b/>
        <sz val="6.5"/>
        <rFont val="Arial"/>
        <family val="2"/>
      </rPr>
      <t>Balance (INR)</t>
    </r>
  </si>
  <si>
    <t>N</t>
  </si>
  <si>
    <r>
      <rPr>
        <b/>
        <sz val="7"/>
        <rFont val="Arial"/>
        <family val="2"/>
      </rPr>
      <t>Srl</t>
    </r>
  </si>
  <si>
    <r>
      <rPr>
        <b/>
        <sz val="7"/>
        <rFont val="Arial"/>
        <family val="2"/>
      </rPr>
      <t>Txn Date</t>
    </r>
  </si>
  <si>
    <r>
      <rPr>
        <b/>
        <sz val="7"/>
        <rFont val="Arial"/>
        <family val="2"/>
      </rPr>
      <t>Value Date</t>
    </r>
  </si>
  <si>
    <r>
      <rPr>
        <b/>
        <sz val="7"/>
        <rFont val="Arial"/>
        <family val="2"/>
      </rPr>
      <t>Description</t>
    </r>
  </si>
  <si>
    <r>
      <rPr>
        <b/>
        <sz val="7"/>
        <rFont val="Arial"/>
        <family val="2"/>
      </rPr>
      <t>Cheque No</t>
    </r>
  </si>
  <si>
    <r>
      <rPr>
        <b/>
        <sz val="7"/>
        <rFont val="Arial"/>
        <family val="2"/>
      </rPr>
      <t>CR/DR</t>
    </r>
  </si>
  <si>
    <r>
      <rPr>
        <b/>
        <sz val="7"/>
        <rFont val="Arial"/>
        <family val="2"/>
      </rPr>
      <t>CC Y</t>
    </r>
  </si>
  <si>
    <r>
      <rPr>
        <b/>
        <sz val="7"/>
        <rFont val="Arial"/>
        <family val="2"/>
      </rPr>
      <t>Amount (INR)</t>
    </r>
  </si>
  <si>
    <r>
      <rPr>
        <b/>
        <sz val="7"/>
        <rFont val="Arial"/>
        <family val="2"/>
      </rPr>
      <t>Balance (INR)</t>
    </r>
  </si>
  <si>
    <t>L</t>
  </si>
  <si>
    <t>M</t>
  </si>
  <si>
    <t>Withdrawl</t>
  </si>
  <si>
    <r>
      <rPr>
        <sz val="10"/>
        <rFont val="Arial MT"/>
        <family val="2"/>
      </rPr>
      <t>Date</t>
    </r>
  </si>
  <si>
    <r>
      <rPr>
        <sz val="10"/>
        <rFont val="Arial MT"/>
        <family val="2"/>
      </rPr>
      <t>Narration</t>
    </r>
  </si>
  <si>
    <r>
      <rPr>
        <sz val="10"/>
        <rFont val="Arial MT"/>
        <family val="2"/>
      </rPr>
      <t>Chq/Ref No</t>
    </r>
  </si>
  <si>
    <r>
      <rPr>
        <sz val="10"/>
        <rFont val="Arial MT"/>
        <family val="2"/>
      </rPr>
      <t>Withdrawal (Dr)/ Deposit (Cr)</t>
    </r>
  </si>
  <si>
    <r>
      <rPr>
        <sz val="10"/>
        <rFont val="Arial MT"/>
        <family val="2"/>
      </rPr>
      <t>Balance</t>
    </r>
  </si>
  <si>
    <r>
      <rPr>
        <b/>
        <sz val="9"/>
        <rFont val="Arial"/>
        <family val="2"/>
      </rPr>
      <t>Txn Date</t>
    </r>
  </si>
  <si>
    <r>
      <rPr>
        <b/>
        <sz val="9"/>
        <rFont val="Arial"/>
        <family val="2"/>
      </rPr>
      <t>Value Date</t>
    </r>
  </si>
  <si>
    <r>
      <rPr>
        <b/>
        <sz val="9"/>
        <rFont val="Arial"/>
        <family val="2"/>
      </rPr>
      <t>Description</t>
    </r>
  </si>
  <si>
    <r>
      <rPr>
        <b/>
        <sz val="9"/>
        <rFont val="Arial"/>
        <family val="2"/>
      </rPr>
      <t>Ref No./Cheque No.</t>
    </r>
  </si>
  <si>
    <r>
      <rPr>
        <b/>
        <sz val="9"/>
        <rFont val="Arial"/>
        <family val="2"/>
      </rPr>
      <t>Branch Code</t>
    </r>
  </si>
  <si>
    <r>
      <rPr>
        <b/>
        <sz val="9"/>
        <rFont val="Arial"/>
        <family val="2"/>
      </rPr>
      <t>Debit</t>
    </r>
  </si>
  <si>
    <r>
      <rPr>
        <b/>
        <sz val="9"/>
        <rFont val="Arial"/>
        <family val="2"/>
      </rPr>
      <t>Credit</t>
    </r>
  </si>
  <si>
    <r>
      <rPr>
        <b/>
        <sz val="9"/>
        <rFont val="Arial"/>
        <family val="2"/>
      </rPr>
      <t>Balance</t>
    </r>
  </si>
  <si>
    <r>
      <rPr>
        <sz val="10"/>
        <rFont val="Arial MT"/>
        <family val="2"/>
      </rPr>
      <t>Tran Date</t>
    </r>
  </si>
  <si>
    <r>
      <rPr>
        <sz val="10"/>
        <rFont val="Arial MT"/>
        <family val="2"/>
      </rPr>
      <t>Value Date</t>
    </r>
  </si>
  <si>
    <r>
      <rPr>
        <sz val="8"/>
        <rFont val="Arial MT"/>
        <family val="2"/>
      </rPr>
      <t>TR-Mode- Instr.No</t>
    </r>
  </si>
  <si>
    <r>
      <rPr>
        <sz val="10"/>
        <rFont val="Arial MT"/>
        <family val="2"/>
      </rPr>
      <t>Particulars</t>
    </r>
  </si>
  <si>
    <r>
      <rPr>
        <sz val="10"/>
        <rFont val="Arial MT"/>
        <family val="2"/>
      </rPr>
      <t>Debit Amt.</t>
    </r>
  </si>
  <si>
    <r>
      <rPr>
        <sz val="10"/>
        <rFont val="Arial MT"/>
        <family val="2"/>
      </rPr>
      <t>Credit Amt.</t>
    </r>
  </si>
  <si>
    <t>B</t>
  </si>
  <si>
    <t>A</t>
  </si>
  <si>
    <r>
      <rPr>
        <sz val="12"/>
        <rFont val="Arial MT"/>
        <family val="2"/>
      </rPr>
      <t>Date</t>
    </r>
  </si>
  <si>
    <r>
      <rPr>
        <sz val="12"/>
        <rFont val="Arial MT"/>
        <family val="2"/>
      </rPr>
      <t>Description/Narration</t>
    </r>
  </si>
  <si>
    <r>
      <rPr>
        <sz val="12"/>
        <rFont val="Arial MT"/>
        <family val="2"/>
      </rPr>
      <t>Value date</t>
    </r>
  </si>
  <si>
    <r>
      <rPr>
        <sz val="12"/>
        <rFont val="Arial MT"/>
        <family val="2"/>
      </rPr>
      <t>Chq./Ref. No.</t>
    </r>
  </si>
  <si>
    <r>
      <rPr>
        <sz val="12"/>
        <rFont val="Arial MT"/>
        <family val="2"/>
      </rPr>
      <t>Debit(Dr.)</t>
    </r>
  </si>
  <si>
    <r>
      <rPr>
        <sz val="12"/>
        <rFont val="Arial MT"/>
        <family val="2"/>
      </rPr>
      <t>Credit(Cr.)</t>
    </r>
  </si>
  <si>
    <r>
      <rPr>
        <sz val="12"/>
        <rFont val="Arial MT"/>
        <family val="2"/>
      </rPr>
      <t>Balance</t>
    </r>
  </si>
  <si>
    <r>
      <rPr>
        <b/>
        <sz val="8"/>
        <rFont val="Arial"/>
        <family val="2"/>
      </rPr>
      <t>S.No</t>
    </r>
  </si>
  <si>
    <r>
      <rPr>
        <b/>
        <sz val="8"/>
        <rFont val="Arial"/>
        <family val="2"/>
      </rPr>
      <t>Txn Date</t>
    </r>
  </si>
  <si>
    <r>
      <rPr>
        <b/>
        <sz val="8"/>
        <rFont val="Arial"/>
        <family val="2"/>
      </rPr>
      <t>Value Date</t>
    </r>
  </si>
  <si>
    <r>
      <rPr>
        <b/>
        <sz val="8"/>
        <rFont val="Arial"/>
        <family val="2"/>
      </rPr>
      <t>Description</t>
    </r>
  </si>
  <si>
    <r>
      <rPr>
        <b/>
        <sz val="8"/>
        <rFont val="Arial"/>
        <family val="2"/>
      </rPr>
      <t>Cheque No</t>
    </r>
  </si>
  <si>
    <r>
      <rPr>
        <b/>
        <sz val="8"/>
        <rFont val="Arial"/>
        <family val="2"/>
      </rPr>
      <t>Withdrawals (Dr)</t>
    </r>
  </si>
  <si>
    <r>
      <rPr>
        <b/>
        <sz val="8"/>
        <rFont val="Arial"/>
        <family val="2"/>
      </rPr>
      <t>Deposits (Cr)</t>
    </r>
  </si>
  <si>
    <r>
      <rPr>
        <b/>
        <sz val="8"/>
        <rFont val="Arial"/>
        <family val="2"/>
      </rPr>
      <t>Balance (INR)</t>
    </r>
  </si>
  <si>
    <r>
      <rPr>
        <b/>
        <i/>
        <sz val="9"/>
        <rFont val="Calibri"/>
        <family val="1"/>
      </rPr>
      <t>SI</t>
    </r>
  </si>
  <si>
    <r>
      <rPr>
        <b/>
        <i/>
        <sz val="9"/>
        <rFont val="Calibri"/>
        <family val="1"/>
      </rPr>
      <t>Date</t>
    </r>
  </si>
  <si>
    <r>
      <rPr>
        <b/>
        <i/>
        <sz val="9"/>
        <rFont val="Calibri"/>
        <family val="1"/>
      </rPr>
      <t>Particulars</t>
    </r>
  </si>
  <si>
    <r>
      <rPr>
        <b/>
        <i/>
        <sz val="9"/>
        <rFont val="Calibri"/>
        <family val="1"/>
      </rPr>
      <t>Chq Num</t>
    </r>
  </si>
  <si>
    <r>
      <rPr>
        <b/>
        <i/>
        <sz val="9"/>
        <rFont val="Calibri"/>
        <family val="1"/>
      </rPr>
      <t>Withdrawal</t>
    </r>
  </si>
  <si>
    <r>
      <rPr>
        <b/>
        <i/>
        <sz val="9"/>
        <rFont val="Calibri"/>
        <family val="1"/>
      </rPr>
      <t>Deposit</t>
    </r>
  </si>
  <si>
    <r>
      <rPr>
        <b/>
        <i/>
        <sz val="9"/>
        <rFont val="Calibri"/>
        <family val="1"/>
      </rPr>
      <t>Balance</t>
    </r>
  </si>
  <si>
    <t>Sr No.</t>
  </si>
  <si>
    <t xml:space="preserve">Union Bank </t>
  </si>
  <si>
    <r>
      <rPr>
        <sz val="6.5"/>
        <rFont val="Arial"/>
        <family val="2"/>
      </rPr>
      <t>Date</t>
    </r>
  </si>
  <si>
    <r>
      <rPr>
        <sz val="6.5"/>
        <rFont val="Arial"/>
        <family val="2"/>
      </rPr>
      <t>Narration</t>
    </r>
  </si>
  <si>
    <r>
      <rPr>
        <sz val="6.5"/>
        <rFont val="Arial"/>
        <family val="2"/>
      </rPr>
      <t>Cheque No./Ref.No</t>
    </r>
  </si>
  <si>
    <r>
      <rPr>
        <sz val="6.5"/>
        <rFont val="Arial"/>
        <family val="2"/>
      </rPr>
      <t>Withdrawal</t>
    </r>
  </si>
  <si>
    <r>
      <rPr>
        <sz val="6.5"/>
        <rFont val="Arial"/>
        <family val="2"/>
      </rPr>
      <t>Deposit</t>
    </r>
  </si>
  <si>
    <r>
      <rPr>
        <sz val="6.5"/>
        <rFont val="Arial"/>
        <family val="2"/>
      </rPr>
      <t>Balance</t>
    </r>
  </si>
  <si>
    <t xml:space="preserve">The Varachha Co.Op. Bank </t>
  </si>
  <si>
    <t>B15</t>
  </si>
  <si>
    <t>C:\Users\ADITYA\Desktop\Ecomm\Bank Statement\Union Saving Excle .xls</t>
  </si>
  <si>
    <t>Tran Id</t>
  </si>
  <si>
    <t>UTR Number</t>
  </si>
  <si>
    <t>Instr. Id</t>
  </si>
  <si>
    <t>TRANSACTION</t>
  </si>
  <si>
    <t>TRANSACTION DETAILS</t>
  </si>
  <si>
    <t>CHQ / REF NO.</t>
  </si>
  <si>
    <t>DEBIT(₹)</t>
  </si>
  <si>
    <t>CREDIT(₹)</t>
  </si>
  <si>
    <t>BALANCE(₹)</t>
  </si>
  <si>
    <t>Sr</t>
  </si>
  <si>
    <t>Chq.No.</t>
  </si>
  <si>
    <t>Autosweep</t>
  </si>
  <si>
    <t>Reverse Sweep</t>
  </si>
  <si>
    <r>
      <rPr>
        <b/>
        <sz val="8"/>
        <rFont val="Arial"/>
        <family val="2"/>
      </rPr>
      <t>Tran Date</t>
    </r>
  </si>
  <si>
    <r>
      <rPr>
        <b/>
        <sz val="8"/>
        <rFont val="Arial"/>
        <family val="2"/>
      </rPr>
      <t>Value  Date</t>
    </r>
  </si>
  <si>
    <r>
      <rPr>
        <b/>
        <sz val="8"/>
        <rFont val="Arial"/>
        <family val="2"/>
      </rPr>
      <t>Transaction Details</t>
    </r>
  </si>
  <si>
    <r>
      <rPr>
        <b/>
        <sz val="8"/>
        <rFont val="Arial"/>
        <family val="2"/>
      </rPr>
      <t>Chq. No.</t>
    </r>
  </si>
  <si>
    <r>
      <rPr>
        <b/>
        <sz val="8"/>
        <rFont val="Arial"/>
        <family val="2"/>
      </rPr>
      <t>Amount (In Rs.)</t>
    </r>
  </si>
  <si>
    <r>
      <rPr>
        <b/>
        <sz val="8"/>
        <rFont val="Arial"/>
        <family val="2"/>
      </rPr>
      <t>Dr/Cr</t>
    </r>
  </si>
  <si>
    <r>
      <rPr>
        <b/>
        <sz val="8"/>
        <rFont val="Arial"/>
        <family val="2"/>
      </rPr>
      <t>Balance (In Rs.)</t>
    </r>
  </si>
  <si>
    <r>
      <rPr>
        <b/>
        <sz val="8"/>
        <rFont val="Arial"/>
        <family val="2"/>
      </rPr>
      <t xml:space="preserve">Branch  Name </t>
    </r>
  </si>
  <si>
    <t>CENTRAL BANK OF INDIA</t>
  </si>
  <si>
    <r>
      <rPr>
        <sz val="11"/>
        <rFont val="Arial MT"/>
        <family val="2"/>
      </rPr>
      <t>Post Date</t>
    </r>
  </si>
  <si>
    <r>
      <rPr>
        <sz val="11"/>
        <rFont val="Arial MT"/>
        <family val="2"/>
      </rPr>
      <t>Value Date</t>
    </r>
  </si>
  <si>
    <r>
      <rPr>
        <sz val="11"/>
        <rFont val="Arial MT"/>
        <family val="2"/>
      </rPr>
      <t>Branch Code</t>
    </r>
  </si>
  <si>
    <r>
      <rPr>
        <sz val="11"/>
        <rFont val="Arial MT"/>
        <family val="2"/>
      </rPr>
      <t>Cheque Number</t>
    </r>
  </si>
  <si>
    <r>
      <rPr>
        <sz val="11"/>
        <rFont val="Arial MT"/>
        <family val="2"/>
      </rPr>
      <t>Account Description</t>
    </r>
  </si>
  <si>
    <r>
      <rPr>
        <sz val="11"/>
        <rFont val="Arial MT"/>
        <family val="2"/>
      </rPr>
      <t>Debit</t>
    </r>
  </si>
  <si>
    <r>
      <rPr>
        <sz val="11"/>
        <rFont val="Arial MT"/>
        <family val="2"/>
      </rPr>
      <t>Credit</t>
    </r>
  </si>
  <si>
    <r>
      <rPr>
        <sz val="11"/>
        <rFont val="Arial MT"/>
        <family val="2"/>
      </rPr>
      <t>Balance</t>
    </r>
  </si>
  <si>
    <r>
      <rPr>
        <b/>
        <sz val="9"/>
        <rFont val="Arial"/>
        <family val="2"/>
      </rPr>
      <t>Narration</t>
    </r>
  </si>
  <si>
    <r>
      <rPr>
        <b/>
        <sz val="9"/>
        <rFont val="Arial"/>
        <family val="2"/>
      </rPr>
      <t>Chq/Ref No.</t>
    </r>
  </si>
  <si>
    <r>
      <rPr>
        <b/>
        <sz val="9"/>
        <rFont val="Arial"/>
        <family val="2"/>
      </rPr>
      <t>Withdrawal (Dr)</t>
    </r>
  </si>
  <si>
    <r>
      <rPr>
        <b/>
        <sz val="9"/>
        <rFont val="Arial"/>
        <family val="2"/>
      </rPr>
      <t>Deposit (Cr)</t>
    </r>
  </si>
  <si>
    <t>Tran ID</t>
  </si>
  <si>
    <t>Cheque no/  RefNo</t>
  </si>
  <si>
    <t>Withdrawl (Dr)</t>
  </si>
  <si>
    <t>Deposit (Cr)</t>
  </si>
  <si>
    <t>Txn No.</t>
  </si>
  <si>
    <t>Dr Amount</t>
  </si>
  <si>
    <t>Cr Amount</t>
  </si>
  <si>
    <t>KIMS Remarks</t>
  </si>
  <si>
    <t>SRL NO</t>
  </si>
  <si>
    <t>C:\Users\ADITYA\Desktop\Ecomm\Bank Statement\axis 2.xls</t>
  </si>
  <si>
    <t xml:space="preserve">City Union Bank </t>
  </si>
  <si>
    <t>C:\Users\ADITYA\Desktop\Ecomm\Bank Statement\SBI.xlsx</t>
  </si>
  <si>
    <t>Reference No. / Cheque No.</t>
  </si>
  <si>
    <r>
      <t xml:space="preserve">Withdrawal
</t>
    </r>
    <r>
      <rPr>
        <b/>
        <sz val="10"/>
        <color rgb="FF000000"/>
        <rFont val="Arial"/>
        <family val="2"/>
      </rPr>
      <t>INR</t>
    </r>
  </si>
  <si>
    <r>
      <t xml:space="preserve">Deposit
</t>
    </r>
    <r>
      <rPr>
        <b/>
        <sz val="10"/>
        <color rgb="FF000000"/>
        <rFont val="Arial"/>
        <family val="2"/>
      </rPr>
      <t>INR</t>
    </r>
  </si>
  <si>
    <r>
      <t xml:space="preserve">ClosingBalance
</t>
    </r>
    <r>
      <rPr>
        <b/>
        <sz val="10"/>
        <color rgb="FF000000"/>
        <rFont val="Arial"/>
        <family val="2"/>
      </rPr>
      <t>INR</t>
    </r>
  </si>
  <si>
    <t>B20</t>
  </si>
  <si>
    <t>C:\Users\ADITYA\Desktop\Ecomm\EQUITAS-BANK COPY(1).xlsx</t>
  </si>
  <si>
    <t>Equitas Small Finance Bank</t>
  </si>
  <si>
    <t>ICICI(C) (P)</t>
  </si>
  <si>
    <t>ICICI(S) (P)</t>
  </si>
  <si>
    <t>ICICI(C)2 (P)</t>
  </si>
  <si>
    <t>HDFC (P)</t>
  </si>
  <si>
    <t>Axis(S) (P)</t>
  </si>
  <si>
    <t>Axis(C) (P)</t>
  </si>
  <si>
    <t>IDBI (P)</t>
  </si>
  <si>
    <t>IDBI(S) (P)</t>
  </si>
  <si>
    <t>IDFC (P)</t>
  </si>
  <si>
    <t>CityUni (P)</t>
  </si>
  <si>
    <t>indusind (P)</t>
  </si>
  <si>
    <t>Kalupur (P)</t>
  </si>
  <si>
    <t>AU (P)</t>
  </si>
  <si>
    <t>SBI (P)</t>
  </si>
  <si>
    <t>Union (P)</t>
  </si>
  <si>
    <t>Union2 (P)</t>
  </si>
  <si>
    <t>Varachha (P)</t>
  </si>
  <si>
    <t>Kotak (P)</t>
  </si>
  <si>
    <t>Kotak2 (P)</t>
  </si>
  <si>
    <t>Kotak3 (P)</t>
  </si>
  <si>
    <t>CBI (P)</t>
  </si>
  <si>
    <t>ICICI(C)</t>
  </si>
  <si>
    <t>ICICI(S)</t>
  </si>
  <si>
    <t>HDFC</t>
  </si>
  <si>
    <t>Kotak(C)</t>
  </si>
  <si>
    <t>Kotak(S)</t>
  </si>
  <si>
    <t>Axis(S)</t>
  </si>
  <si>
    <t>Axis(S) (2)</t>
  </si>
  <si>
    <t>Axis(C)</t>
  </si>
  <si>
    <t>Yes</t>
  </si>
  <si>
    <t>indusind</t>
  </si>
  <si>
    <t>IDBI</t>
  </si>
  <si>
    <t>Bandhan</t>
  </si>
  <si>
    <t>Indian</t>
  </si>
  <si>
    <t>IDFC</t>
  </si>
  <si>
    <t>RBL</t>
  </si>
  <si>
    <t>Union</t>
  </si>
  <si>
    <t>SBI</t>
  </si>
  <si>
    <t>BOI</t>
  </si>
  <si>
    <t>UCO</t>
  </si>
  <si>
    <t>CBI</t>
  </si>
  <si>
    <t>BOB(C)</t>
  </si>
  <si>
    <t>BOB(S)</t>
  </si>
  <si>
    <t>PNB</t>
  </si>
  <si>
    <t>PNB (2)</t>
  </si>
  <si>
    <t>RNSBE</t>
  </si>
  <si>
    <t>Federal</t>
  </si>
  <si>
    <t>Varachha</t>
  </si>
  <si>
    <t>SNCB</t>
  </si>
  <si>
    <t>SDCB</t>
  </si>
  <si>
    <t>AU</t>
  </si>
  <si>
    <t>Prime</t>
  </si>
  <si>
    <t>DCB</t>
  </si>
  <si>
    <t>Saraswat</t>
  </si>
  <si>
    <t>Help</t>
  </si>
  <si>
    <t>Master</t>
  </si>
  <si>
    <t>Customer ID</t>
  </si>
  <si>
    <t>Party Name</t>
  </si>
  <si>
    <t>Mobile Number</t>
  </si>
  <si>
    <t>PC/Mac ID</t>
  </si>
  <si>
    <t>Com Name</t>
  </si>
  <si>
    <t>Registration Date</t>
  </si>
  <si>
    <t>Expiry Date</t>
  </si>
  <si>
    <t>Status</t>
  </si>
  <si>
    <t xml:space="preserve">Status </t>
  </si>
  <si>
    <t>Equitas</t>
  </si>
  <si>
    <t>Accepted</t>
  </si>
  <si>
    <t>Bank Excle Licance</t>
  </si>
  <si>
    <r>
      <rPr>
        <b/>
        <sz val="9"/>
        <rFont val="Arial"/>
        <family val="2"/>
      </rPr>
      <t>Post Date</t>
    </r>
  </si>
  <si>
    <r>
      <rPr>
        <b/>
        <sz val="9"/>
        <rFont val="Arial"/>
        <family val="2"/>
      </rPr>
      <t>Cheque Details</t>
    </r>
  </si>
  <si>
    <t>SDCB (P)</t>
  </si>
  <si>
    <t>Com Name :</t>
  </si>
  <si>
    <t>C:\Users\ADITYA\Desktop\Ecomm\Bank Statement\IDBI BANK - ACURA.xls</t>
  </si>
  <si>
    <t>Group Name</t>
  </si>
  <si>
    <t>South Indian Bank</t>
  </si>
  <si>
    <t>A2</t>
  </si>
  <si>
    <t>SIB</t>
  </si>
  <si>
    <t>\\ADITYA-TECH\All Sharing\Ecom Setup\Devlop\ecomm statment\AccountStatement_XXXXXXXXXXXX1634_17332906901539985683.xlsx</t>
  </si>
  <si>
    <t>3107/0/1</t>
  </si>
  <si>
    <t>87735668940</t>
  </si>
  <si>
    <t>BIL/000877356689/ICICI BANK CREDIT CA/403562069555</t>
  </si>
  <si>
    <t>3009/0/2</t>
  </si>
  <si>
    <t>13870150957</t>
  </si>
  <si>
    <t>138701509571:Int.Pd:30-06-2024 to 29-09-2024</t>
  </si>
  <si>
    <t>JISHA ENTERPRISE PRIVATE LIMITED</t>
  </si>
  <si>
    <t>24AAFCJ9230K1ZF</t>
  </si>
  <si>
    <t>Canara Bank</t>
  </si>
  <si>
    <t>Trasnaction ID</t>
  </si>
  <si>
    <t>Canara</t>
  </si>
  <si>
    <t>\\ADITYA-TECH\All Sharing\Ecom Setup\Devlop\ecomm statment\bank statement\canarabank .xls</t>
  </si>
  <si>
    <t>225 - KETAN JOGANI</t>
  </si>
  <si>
    <r>
      <rPr>
        <b/>
        <sz val="11"/>
        <rFont val="Arial"/>
        <family val="2"/>
      </rPr>
      <t>Serial
No</t>
    </r>
  </si>
  <si>
    <r>
      <rPr>
        <b/>
        <sz val="11"/>
        <rFont val="Arial"/>
        <family val="2"/>
      </rPr>
      <t>Transaction
Date</t>
    </r>
  </si>
  <si>
    <r>
      <rPr>
        <b/>
        <sz val="11"/>
        <rFont val="Arial"/>
        <family val="2"/>
      </rPr>
      <t>Value
Date</t>
    </r>
  </si>
  <si>
    <r>
      <rPr>
        <b/>
        <sz val="11"/>
        <rFont val="Arial"/>
        <family val="2"/>
      </rPr>
      <t>Description                                                                       Cheque
Number</t>
    </r>
  </si>
  <si>
    <t>New India Co-Op. Bank Ltd</t>
  </si>
  <si>
    <t>Tran. Date</t>
  </si>
  <si>
    <t>Inst. No.</t>
  </si>
  <si>
    <t>Transaction Particular</t>
  </si>
  <si>
    <t>BOB(P)</t>
  </si>
  <si>
    <t>NEWINDIA(P)</t>
  </si>
  <si>
    <t>31/01/2025</t>
  </si>
  <si>
    <t>02332</t>
  </si>
  <si>
    <t>000910</t>
  </si>
  <si>
    <t>BY CLEARING / CHEQUE/SHREE RADHE KRISHNA SARE  BANK OF BARODA(BOB)/PRATIKSHA ART                           0000201293</t>
  </si>
  <si>
    <t xml:space="preserve">            </t>
  </si>
  <si>
    <t xml:space="preserve">            30451.00</t>
  </si>
  <si>
    <t xml:space="preserve">             217889.70 CR</t>
  </si>
  <si>
    <t>30/01/2025</t>
  </si>
  <si>
    <t>02684</t>
  </si>
  <si>
    <t xml:space="preserve"> </t>
  </si>
  <si>
    <t>BY TRANSFER/NEFT SOS FASHIONS       /XUTR/ICIN403051329856</t>
  </si>
  <si>
    <t xml:space="preserve">            36190.00</t>
  </si>
  <si>
    <t xml:space="preserve">             187438.70 CR</t>
  </si>
  <si>
    <t>04946</t>
  </si>
  <si>
    <t>ATM WDL/ATM|Q04M49461S| SARTHANA SURAT GJIN</t>
  </si>
  <si>
    <t xml:space="preserve">            10000.00</t>
  </si>
  <si>
    <t xml:space="preserve">             151248.70 CR</t>
  </si>
  <si>
    <t xml:space="preserve">             1100.00</t>
  </si>
  <si>
    <t xml:space="preserve">             161248.70 CR</t>
  </si>
  <si>
    <t>037326</t>
  </si>
  <si>
    <t>BY CLEARING / CHEQUE/RAVI                      ICICI BANKING CORPN LTD./PRATIKSHA ART                           0000500702</t>
  </si>
  <si>
    <t xml:space="preserve">            49710.00</t>
  </si>
  <si>
    <t xml:space="preserve">             162348.70 CR</t>
  </si>
  <si>
    <t>28/01/2025</t>
  </si>
  <si>
    <t>04947</t>
  </si>
  <si>
    <t>ATM WDL/ATM|TCDN494711| DUMBHAL SURAT GJIN</t>
  </si>
  <si>
    <t xml:space="preserve">            20000.00</t>
  </si>
  <si>
    <t xml:space="preserve">             112638.70 CR</t>
  </si>
  <si>
    <t>26/01/2025</t>
  </si>
  <si>
    <t xml:space="preserve">             132638.70 CR</t>
  </si>
  <si>
    <t>24/01/2025</t>
  </si>
  <si>
    <t>BY TRANSFER/NEFT SOS FASHIONS       /XUTR/ICIN402456336838</t>
  </si>
  <si>
    <t xml:space="preserve">            35000.00</t>
  </si>
  <si>
    <t xml:space="preserve">             152638.70 CR</t>
  </si>
  <si>
    <t>23/01/2025</t>
  </si>
  <si>
    <t>TO TRANSFER/PC:SMS CHARGES+GST:DEC 2024</t>
  </si>
  <si>
    <t xml:space="preserve">               23.60</t>
  </si>
  <si>
    <t xml:space="preserve">             117638.70 CR</t>
  </si>
  <si>
    <t>22/01/2025</t>
  </si>
  <si>
    <t>BY TRANSFER/NEFT SHALIMAR FASHIONS  /XUTR/HDFCH00018779194</t>
  </si>
  <si>
    <t xml:space="preserve">            50000.00</t>
  </si>
  <si>
    <t xml:space="preserve">             117662.30 CR</t>
  </si>
  <si>
    <t>255420</t>
  </si>
  <si>
    <t>CASH CHEQUE/Paid to self</t>
  </si>
  <si>
    <t xml:space="preserve">              67662.30 CR</t>
  </si>
  <si>
    <t>BY TRANSFER/NEFT SHALIMAR FASHIONS  /XUTR/HDFCH00017418353</t>
  </si>
  <si>
    <t xml:space="preserve">             102662.30 CR</t>
  </si>
  <si>
    <t>21/01/2025</t>
  </si>
  <si>
    <t xml:space="preserve">            15000.00</t>
  </si>
  <si>
    <t xml:space="preserve">              52662.30 CR</t>
  </si>
  <si>
    <t>BY TRANSFER/NEFT RAVI FASHION       /XUTR/ICIN402155291052</t>
  </si>
  <si>
    <t>16/01/2025</t>
  </si>
  <si>
    <t>05002</t>
  </si>
  <si>
    <t>ATM WDL/ATM|BSUBH144|SMC Sarthana Surat Gujarat GJIN</t>
  </si>
  <si>
    <t xml:space="preserve">              17662.30 CR</t>
  </si>
  <si>
    <t xml:space="preserve">              27662.30 CR</t>
  </si>
  <si>
    <t xml:space="preserve">              37662.30 CR</t>
  </si>
  <si>
    <t>14/01/2025</t>
  </si>
  <si>
    <t>ATM WDL/ATM|CN206201| MAHINDA NAGAR LASKANA SURAT GJI</t>
  </si>
  <si>
    <t xml:space="preserve">             2000.00</t>
  </si>
  <si>
    <t xml:space="preserve">              47662.30 CR</t>
  </si>
  <si>
    <t>255410</t>
  </si>
  <si>
    <t>CAS PRES CHQ/255410GAURAV FABRICS      H D F C BANK LTD</t>
  </si>
  <si>
    <t xml:space="preserve">            72954.00</t>
  </si>
  <si>
    <t xml:space="preserve">              49662.30 CR</t>
  </si>
  <si>
    <t>13/01/2025</t>
  </si>
  <si>
    <t>255419</t>
  </si>
  <si>
    <t>CAS PRES CHQ/255419VAR LAXMI           KOTAK MAHINDRA BANK LTD</t>
  </si>
  <si>
    <t xml:space="preserve">            83475.00</t>
  </si>
  <si>
    <t xml:space="preserve">             122616.30 CR</t>
  </si>
  <si>
    <t>BY TRANSFER/NEFT RAVI FASHION       ICICN42025011351195568</t>
  </si>
  <si>
    <t xml:space="preserve">            30000.00</t>
  </si>
  <si>
    <t xml:space="preserve">             206091.30 CR</t>
  </si>
  <si>
    <t>000890</t>
  </si>
  <si>
    <t xml:space="preserve">           101850.00</t>
  </si>
  <si>
    <t xml:space="preserve">             176091.30 CR</t>
  </si>
  <si>
    <t>10/01/2025</t>
  </si>
  <si>
    <t>TO TRANSFER/HDFC BANK LTD        CBIN0000000010145712</t>
  </si>
  <si>
    <t xml:space="preserve">            30317.00</t>
  </si>
  <si>
    <t xml:space="preserve">              74241.30 CR</t>
  </si>
  <si>
    <t>06/01/2025</t>
  </si>
  <si>
    <t>04982</t>
  </si>
  <si>
    <t>BY TRANSFER/UPI/RRN 500604177305/AULT|Sent using Paytm UPI_PRA</t>
  </si>
  <si>
    <t xml:space="preserve">             104558.30 CR</t>
  </si>
  <si>
    <t>03/01/2025</t>
  </si>
  <si>
    <t>255417</t>
  </si>
  <si>
    <t>CAS PRES CHQ/255417S M ENTERPRISE      AXIS BANK LTD.</t>
  </si>
  <si>
    <t xml:space="preserve">            16205.00</t>
  </si>
  <si>
    <t xml:space="preserve">              74558.30 CR</t>
  </si>
  <si>
    <t>02/01/2025</t>
  </si>
  <si>
    <t>08103</t>
  </si>
  <si>
    <t>BY TRANSFER/IMPSP2A500221128740 KHUSBU TRADERS</t>
  </si>
  <si>
    <t xml:space="preserve">            27641.00</t>
  </si>
  <si>
    <t xml:space="preserve">              90763.30 CR</t>
  </si>
  <si>
    <t>255418</t>
  </si>
  <si>
    <t xml:space="preserve">            60000.00</t>
  </si>
  <si>
    <t xml:space="preserve">              63122.30 CR</t>
  </si>
  <si>
    <t>01/01/2025</t>
  </si>
  <si>
    <t>255416</t>
  </si>
  <si>
    <t>CAS PRES CHQ/255416PRATIKSHA FASHION   VAR THE VARACHHA CO- ADA</t>
  </si>
  <si>
    <t xml:space="preserve">             123122.30 CR</t>
  </si>
  <si>
    <t>000392</t>
  </si>
  <si>
    <t>BY CLEARING / CHEQUE/GURU KRIPA                KOTAK MAHINDRA BANK LTD./PRATIKSHA ART                           0000003474</t>
  </si>
  <si>
    <t xml:space="preserve">            38588.00</t>
  </si>
  <si>
    <t xml:space="preserve">             173122.30 CR</t>
  </si>
  <si>
    <t>255408</t>
  </si>
  <si>
    <t>CAS PRES CHQ/255408SIYA FASHION        H D F C BANK LTD</t>
  </si>
  <si>
    <t xml:space="preserve">             8269.00</t>
  </si>
  <si>
    <t xml:space="preserve">             134534.30 CR</t>
  </si>
  <si>
    <t>31/12/2024</t>
  </si>
  <si>
    <t>255415</t>
  </si>
  <si>
    <t>CAS PRES CHQ/255415PRATIKSHA FASHION   VAR THE VARACHHA CO- ADA</t>
  </si>
  <si>
    <t xml:space="preserve">           100000.00</t>
  </si>
  <si>
    <t xml:space="preserve">             142803.30 CR</t>
  </si>
  <si>
    <t>30/12/2024</t>
  </si>
  <si>
    <t>BY TRANSFER/NEFT SAGAR FABMARK      /XUTR/N365243479987168</t>
  </si>
  <si>
    <t xml:space="preserve">             242803.30 CR</t>
  </si>
  <si>
    <t>28/12/2024</t>
  </si>
  <si>
    <t xml:space="preserve">             7000.00</t>
  </si>
  <si>
    <t>27/12/2024</t>
  </si>
  <si>
    <t>255407</t>
  </si>
  <si>
    <t>CAS PRES CHQ/255407SHREE SYNTHETICS    KOTAK MAHINDRA BANK LTD</t>
  </si>
  <si>
    <t xml:space="preserve">            23514.00</t>
  </si>
  <si>
    <t xml:space="preserve">             149803.30 CR</t>
  </si>
  <si>
    <t>26/12/2024</t>
  </si>
  <si>
    <t>BY TRANSFER/NEFT SOS FASHIONS          38732356781DC</t>
  </si>
  <si>
    <t xml:space="preserve">            71016.00</t>
  </si>
  <si>
    <t xml:space="preserve">             173317.30 CR</t>
  </si>
  <si>
    <t>24/12/2024</t>
  </si>
  <si>
    <t>BY TRANSFER/NEFT SHALIMAR FASHIONS     N359243471649445</t>
  </si>
  <si>
    <t xml:space="preserve">            41700.00</t>
  </si>
  <si>
    <t xml:space="preserve">             102301.30 CR</t>
  </si>
  <si>
    <t>ATM WDL/ATM|6NPASODA|HINDUSTAN PETROLIUM SURAT GJIN</t>
  </si>
  <si>
    <t xml:space="preserve">             3000.00</t>
  </si>
  <si>
    <t xml:space="preserve">              60601.30 CR</t>
  </si>
  <si>
    <t>21/12/2024</t>
  </si>
  <si>
    <t xml:space="preserve">              63601.30 CR</t>
  </si>
  <si>
    <t>17/12/2024</t>
  </si>
  <si>
    <t>255406</t>
  </si>
  <si>
    <t>CAS PRES CHQ/255406KUSHAL TEX          ICICI</t>
  </si>
  <si>
    <t xml:space="preserve">             9555.00</t>
  </si>
  <si>
    <t xml:space="preserve">              66601.30 CR</t>
  </si>
  <si>
    <t>000900</t>
  </si>
  <si>
    <t>BY CLEARING / CHEQUE/SHREE RADHE  KRISHNA SAR  BANK OF BARODA(BOB)/PRATIKSHA ART                           0000201293</t>
  </si>
  <si>
    <t xml:space="preserve">            36015.00</t>
  </si>
  <si>
    <t xml:space="preserve">              76156.30 CR</t>
  </si>
  <si>
    <t>16/12/2024</t>
  </si>
  <si>
    <t>255405</t>
  </si>
  <si>
    <t>CHEQUE WDL/SHREE BRAHMANI PACKAGING</t>
  </si>
  <si>
    <t xml:space="preserve">            25079.00</t>
  </si>
  <si>
    <t xml:space="preserve">              40141.30 CR</t>
  </si>
  <si>
    <t>12/12/2024</t>
  </si>
  <si>
    <t>255402</t>
  </si>
  <si>
    <t>CAS PRES CHQ/255402SHREE AMBEY TEXTILE H D F C BANK LTD</t>
  </si>
  <si>
    <t xml:space="preserve">            44289.00</t>
  </si>
  <si>
    <t xml:space="preserve">              65220.30 CR</t>
  </si>
  <si>
    <t>11/12/2024</t>
  </si>
  <si>
    <t>255404</t>
  </si>
  <si>
    <t xml:space="preserve">            70000.00</t>
  </si>
  <si>
    <t xml:space="preserve">             109509.30 CR</t>
  </si>
  <si>
    <t>10/12/2024</t>
  </si>
  <si>
    <t>255403</t>
  </si>
  <si>
    <t xml:space="preserve">            54000.00</t>
  </si>
  <si>
    <t xml:space="preserve">             179509.30 CR</t>
  </si>
  <si>
    <t>BY TRANSFER/NEFT SOS FASHIONS          38565244541DC</t>
  </si>
  <si>
    <t xml:space="preserve">            40000.00</t>
  </si>
  <si>
    <t xml:space="preserve">             233509.30 CR</t>
  </si>
  <si>
    <t xml:space="preserve">             193509.30 CR</t>
  </si>
  <si>
    <t>07/12/2024</t>
  </si>
  <si>
    <t>000639</t>
  </si>
  <si>
    <t>BY CLEARING / CHEQUE/SIYA CREATION/PRATIKSHA ART                           0000007812</t>
  </si>
  <si>
    <t xml:space="preserve">            36855.00</t>
  </si>
  <si>
    <t xml:space="preserve">             223826.30 CR</t>
  </si>
  <si>
    <t>989152</t>
  </si>
  <si>
    <t>BY CLEARING / CHEQUE/JAI RAM SAREE             STATE BANK OF INDIA(SBI)/PRATIKSHA ART                           0000000666</t>
  </si>
  <si>
    <t xml:space="preserve">            43659.00</t>
  </si>
  <si>
    <t xml:space="preserve">             186971.30 CR</t>
  </si>
  <si>
    <t>000652</t>
  </si>
  <si>
    <t xml:space="preserve">            45360.00</t>
  </si>
  <si>
    <t xml:space="preserve">             143312.30 CR</t>
  </si>
  <si>
    <t>05/12/2024</t>
  </si>
  <si>
    <t>255401</t>
  </si>
  <si>
    <t>CAS PRES CHQ/255401RAMNIKBHAI CHHAGANB VAR THE VARACHHA CO- ADA</t>
  </si>
  <si>
    <t xml:space="preserve">              97952.30 CR</t>
  </si>
  <si>
    <t>03/12/2024</t>
  </si>
  <si>
    <t>BY TRANSFER/NEFT SHALIMAR FASHIONS     N338243430517898</t>
  </si>
  <si>
    <t xml:space="preserve">            27563.00</t>
  </si>
  <si>
    <t xml:space="preserve">             117952.30 CR</t>
  </si>
  <si>
    <t>30/11/2024</t>
  </si>
  <si>
    <t>246049</t>
  </si>
  <si>
    <t>CAS PRES CHQ/246049PRATIKSHA FASHION   VAR THE VARACHHA CO- ADA</t>
  </si>
  <si>
    <t xml:space="preserve">              90389.30 CR</t>
  </si>
  <si>
    <t>29/11/2024</t>
  </si>
  <si>
    <t>246050</t>
  </si>
  <si>
    <t xml:space="preserve">             190389.30 CR</t>
  </si>
  <si>
    <t>246048</t>
  </si>
  <si>
    <t>CAS PRES CHQ/246048RINZAI TRENDZ       ICICI</t>
  </si>
  <si>
    <t xml:space="preserve">            77420.00</t>
  </si>
  <si>
    <t xml:space="preserve">             200389.30 CR</t>
  </si>
  <si>
    <t>28/11/2024</t>
  </si>
  <si>
    <t>BY TRANSFER/NEFT SHARMA ODHANI PALACE  N333243420267457</t>
  </si>
  <si>
    <t xml:space="preserve">            37485.00</t>
  </si>
  <si>
    <t xml:space="preserve">             277809.30 CR</t>
  </si>
  <si>
    <t>BY TRANSFER/NEFT RAVI FASHION          38418140081DC</t>
  </si>
  <si>
    <t xml:space="preserve">            45560.00</t>
  </si>
  <si>
    <t xml:space="preserve">             240324.30 CR</t>
  </si>
  <si>
    <t>27/11/2024</t>
  </si>
  <si>
    <t>BY TRANSFER/NEFT SHALIMAR FASHIONS     N332243418639932</t>
  </si>
  <si>
    <t xml:space="preserve">            12700.00</t>
  </si>
  <si>
    <t xml:space="preserve">             194764.30 CR</t>
  </si>
  <si>
    <t>26/11/2024</t>
  </si>
  <si>
    <t>000894</t>
  </si>
  <si>
    <t xml:space="preserve">            51850.00</t>
  </si>
  <si>
    <t xml:space="preserve">             182064.30 CR</t>
  </si>
  <si>
    <t>21/11/2024</t>
  </si>
  <si>
    <t>DR BATCH/TRICKLE FEE/DR:ATM CARD ISSUNACE FEE      PC 87</t>
  </si>
  <si>
    <t xml:space="preserve">              354.00</t>
  </si>
  <si>
    <t xml:space="preserve">             130214.30 CR</t>
  </si>
  <si>
    <t>19/11/2024</t>
  </si>
  <si>
    <t>246047</t>
  </si>
  <si>
    <t xml:space="preserve">            49000.00</t>
  </si>
  <si>
    <t xml:space="preserve">             130568.30 CR</t>
  </si>
  <si>
    <t>14/11/2024</t>
  </si>
  <si>
    <t>246046</t>
  </si>
  <si>
    <t>CASH CHEQUE/Paid to ASHOKBHAI GAJERA</t>
  </si>
  <si>
    <t xml:space="preserve">             179568.30 CR</t>
  </si>
  <si>
    <t>13/11/2024</t>
  </si>
  <si>
    <t>BY TRANSFER/NEFT SOS FASHIONS          38274949401DC</t>
  </si>
  <si>
    <t xml:space="preserve">             199568.30 CR</t>
  </si>
  <si>
    <t>12/11/2024</t>
  </si>
  <si>
    <t>246045</t>
  </si>
  <si>
    <t>CASH CHEQUE/Paid to SELF</t>
  </si>
  <si>
    <t xml:space="preserve">             149568.30 CR</t>
  </si>
  <si>
    <t>000374</t>
  </si>
  <si>
    <t xml:space="preserve">            41895.00</t>
  </si>
  <si>
    <t xml:space="preserve">             198568.30 CR</t>
  </si>
  <si>
    <t>10/11/2024</t>
  </si>
  <si>
    <t xml:space="preserve">             156673.30 CR</t>
  </si>
  <si>
    <t>30/10/2024</t>
  </si>
  <si>
    <t>BY TRANSFER/NEFT SAGAR FABMARK         N304243364879181</t>
  </si>
  <si>
    <t xml:space="preserve">             186990.30 CR</t>
  </si>
  <si>
    <t>246044</t>
  </si>
  <si>
    <t xml:space="preserve">             136990.30 CR</t>
  </si>
  <si>
    <t>29/10/2024</t>
  </si>
  <si>
    <t>BY TRANSFER/NEFT SHALIMAR FASHIONS     N303243361708033</t>
  </si>
  <si>
    <t xml:space="preserve">             185990.30 CR</t>
  </si>
  <si>
    <t>28/10/2024</t>
  </si>
  <si>
    <t>05500</t>
  </si>
  <si>
    <t>BY TRANSFER/NEFT SOS FASHIONS          38094950791DC</t>
  </si>
  <si>
    <t xml:space="preserve">             150990.30 CR</t>
  </si>
  <si>
    <t>BY TRANSFER/NEFT SOS FASHIONS          38094866281DC</t>
  </si>
  <si>
    <t xml:space="preserve">            12770.00</t>
  </si>
  <si>
    <t xml:space="preserve">             120990.30 CR</t>
  </si>
  <si>
    <t>246042</t>
  </si>
  <si>
    <t>CASH CHEQUE/Paid to SELRF</t>
  </si>
  <si>
    <t xml:space="preserve">           200000.00</t>
  </si>
  <si>
    <t xml:space="preserve">             108220.30 CR</t>
  </si>
  <si>
    <t>26/10/2024</t>
  </si>
  <si>
    <t>BY TRANSFER/NEFT SOS FASHIONS          38073168411DC</t>
  </si>
  <si>
    <t xml:space="preserve">             308220.30 CR</t>
  </si>
  <si>
    <t>25/10/2024</t>
  </si>
  <si>
    <t>676556</t>
  </si>
  <si>
    <t>BY CLEARING / CHEQUE/JAI RAM                   STATE BANK OF INDIA(SBI)/PRATIKSHA ART                           0000000666</t>
  </si>
  <si>
    <t xml:space="preserve">            58354.00</t>
  </si>
  <si>
    <t xml:space="preserve">             258220.30 CR</t>
  </si>
  <si>
    <t>676555</t>
  </si>
  <si>
    <t xml:space="preserve">            36225.00</t>
  </si>
  <si>
    <t xml:space="preserve">             199866.30 CR</t>
  </si>
  <si>
    <t>24/10/2024</t>
  </si>
  <si>
    <t>000891</t>
  </si>
  <si>
    <t>BY CLEARING / CHEQUE/SHREE RADHA               BANK OF BARODA(BOB)/PRATIKSHA ART                           0000201293</t>
  </si>
  <si>
    <t xml:space="preserve">             163641.30 CR</t>
  </si>
  <si>
    <t>22/10/2024</t>
  </si>
  <si>
    <t>246040</t>
  </si>
  <si>
    <t>CAS PRES CHQ/246040VAR LAXMI           KOTAK MAHINDRA BANK LTD</t>
  </si>
  <si>
    <t xml:space="preserve">            55646.00</t>
  </si>
  <si>
    <t xml:space="preserve">             113641.30 CR</t>
  </si>
  <si>
    <t>246041</t>
  </si>
  <si>
    <t>CAS PRES CHQ/246041PRATIKSHA FASHION   VAR THE VARACHHA CO- ADA</t>
  </si>
  <si>
    <t xml:space="preserve">             169287.30 CR</t>
  </si>
  <si>
    <t>21/10/2024</t>
  </si>
  <si>
    <t>TO TRANSFER/PC:SMS CHARGES+GST:Jul_Sep 202</t>
  </si>
  <si>
    <t xml:space="preserve">             369287.30 CR</t>
  </si>
  <si>
    <t>19/10/2024</t>
  </si>
  <si>
    <t>BY TRANSFER/NEFT SOS FASHIONS          37997928881DC</t>
  </si>
  <si>
    <t xml:space="preserve">             369310.90 CR</t>
  </si>
  <si>
    <t>GST</t>
  </si>
  <si>
    <t xml:space="preserve">               72.00</t>
  </si>
  <si>
    <t xml:space="preserve">             319310.90 CR</t>
  </si>
  <si>
    <t>CHQ BK ISSUE CHGS</t>
  </si>
  <si>
    <t xml:space="preserve">              400.00</t>
  </si>
  <si>
    <t xml:space="preserve">             319382.90 CR</t>
  </si>
  <si>
    <t>246039</t>
  </si>
  <si>
    <t xml:space="preserve">             319782.90 CR</t>
  </si>
  <si>
    <t>246038</t>
  </si>
  <si>
    <t>CAS PRES CHQ/246038SAVALIYA JITUBEN HA BANK OF BARODA (BOB)</t>
  </si>
  <si>
    <t xml:space="preserve">             4788.00</t>
  </si>
  <si>
    <t xml:space="preserve">             359782.90 CR</t>
  </si>
  <si>
    <t>17/10/2024</t>
  </si>
  <si>
    <t>BY TRANSFER/NEFT SHALIMAR FASHION      N291241030539721</t>
  </si>
  <si>
    <t xml:space="preserve">             364570.90 CR</t>
  </si>
  <si>
    <t>246037</t>
  </si>
  <si>
    <t xml:space="preserve">             334570.90 CR</t>
  </si>
  <si>
    <t>246035</t>
  </si>
  <si>
    <t>CAS PRES CHQ/246035SAI CREATION        KOTAK MAHINDRA BANK LTD</t>
  </si>
  <si>
    <t xml:space="preserve">            10800.00</t>
  </si>
  <si>
    <t xml:space="preserve">             383570.90 CR</t>
  </si>
  <si>
    <t>16/10/2024</t>
  </si>
  <si>
    <t>000474</t>
  </si>
  <si>
    <t>BY CLEARING / CHEQUE/PRIY TANUSHREE            ICICI BANKING CORPN LTD./PRATIKSHA ART                           0000758121</t>
  </si>
  <si>
    <t xml:space="preserve">           150000.00</t>
  </si>
  <si>
    <t xml:space="preserve">             394370.90 CR</t>
  </si>
  <si>
    <t>246036</t>
  </si>
  <si>
    <t>CAS PRES CHQ/246036PRATIKSHA FASHION   VAR THE VARACHHA CO- ADA</t>
  </si>
  <si>
    <t xml:space="preserve">             244370.90 CR</t>
  </si>
  <si>
    <t>3101/217889.70/1</t>
  </si>
  <si>
    <t>217889.70</t>
  </si>
  <si>
    <t>Suspance Receipt</t>
  </si>
  <si>
    <t>3001/187438.70/2</t>
  </si>
  <si>
    <t>187438.70</t>
  </si>
  <si>
    <t>3001/151248.70/3</t>
  </si>
  <si>
    <t>151248.70</t>
  </si>
  <si>
    <t>Suspance Payment</t>
  </si>
  <si>
    <t>3001/161248.70/4</t>
  </si>
  <si>
    <t>161248.70</t>
  </si>
  <si>
    <t>3001/162348.70/5</t>
  </si>
  <si>
    <t>162348.70</t>
  </si>
  <si>
    <t>2801/112638.70/6</t>
  </si>
  <si>
    <t>112638.70</t>
  </si>
  <si>
    <t>2601/132638.70/7</t>
  </si>
  <si>
    <t>132638.70</t>
  </si>
  <si>
    <t>2401/152638.70/8</t>
  </si>
  <si>
    <t>152638.70</t>
  </si>
  <si>
    <t>2301/117638.70/9</t>
  </si>
  <si>
    <t>117638.70</t>
  </si>
  <si>
    <t>2201/117662.30/10</t>
  </si>
  <si>
    <t>117662.30</t>
  </si>
  <si>
    <t>2201/67662.30/11</t>
  </si>
  <si>
    <t>67662.30</t>
  </si>
  <si>
    <t>2201/102662.30/12</t>
  </si>
  <si>
    <t>102662.30</t>
  </si>
  <si>
    <t>2101/52662.30/13</t>
  </si>
  <si>
    <t>52662.30</t>
  </si>
  <si>
    <t>2101/67662.30/14</t>
  </si>
  <si>
    <t>1601/17662.30/15</t>
  </si>
  <si>
    <t>17662.30</t>
  </si>
  <si>
    <t>1601/27662.30/16</t>
  </si>
  <si>
    <t>27662.30</t>
  </si>
  <si>
    <t>1601/37662.30/17</t>
  </si>
  <si>
    <t>37662.30</t>
  </si>
  <si>
    <t>1401/47662.30/18</t>
  </si>
  <si>
    <t>47662.30</t>
  </si>
  <si>
    <t>1401/49662.30/19</t>
  </si>
  <si>
    <t>49662.30</t>
  </si>
  <si>
    <t>1301/122616.30/20</t>
  </si>
  <si>
    <t>122616.30</t>
  </si>
  <si>
    <t>1301/206091.30/21</t>
  </si>
  <si>
    <t>206091.30</t>
  </si>
  <si>
    <t>1301/176091.30/22</t>
  </si>
  <si>
    <t>176091.30</t>
  </si>
  <si>
    <t>1001/74241.30/23</t>
  </si>
  <si>
    <t>74241.30</t>
  </si>
  <si>
    <t>601/104558.30/24</t>
  </si>
  <si>
    <t>104558.30</t>
  </si>
  <si>
    <t>301/74558.30/25</t>
  </si>
  <si>
    <t>74558.30</t>
  </si>
  <si>
    <t>201/90763.30/26</t>
  </si>
  <si>
    <t>90763.30</t>
  </si>
  <si>
    <t>201/63122.30/27</t>
  </si>
  <si>
    <t>63122.30</t>
  </si>
  <si>
    <t>101/123122.30/28</t>
  </si>
  <si>
    <t>123122.30</t>
  </si>
  <si>
    <t>101/173122.30/29</t>
  </si>
  <si>
    <t>173122.30</t>
  </si>
  <si>
    <t>101/134534.30/30</t>
  </si>
  <si>
    <t>134534.30</t>
  </si>
  <si>
    <t>3112/142803.30/31</t>
  </si>
  <si>
    <t>142803.30</t>
  </si>
  <si>
    <t>3012/242803.30/32</t>
  </si>
  <si>
    <t>242803.30</t>
  </si>
  <si>
    <t>2812/142803.30/33</t>
  </si>
  <si>
    <t>2712/149803.30/34</t>
  </si>
  <si>
    <t>149803.30</t>
  </si>
  <si>
    <t>2612/173317.30/35</t>
  </si>
  <si>
    <t>173317.30</t>
  </si>
  <si>
    <t>2412/102301.30/36</t>
  </si>
  <si>
    <t>102301.30</t>
  </si>
  <si>
    <t>2412/60601.30/37</t>
  </si>
  <si>
    <t>60601.30</t>
  </si>
  <si>
    <t>2112/63601.30/38</t>
  </si>
  <si>
    <t>63601.30</t>
  </si>
  <si>
    <t>1712/66601.30/39</t>
  </si>
  <si>
    <t>66601.30</t>
  </si>
  <si>
    <t>1712/76156.30/40</t>
  </si>
  <si>
    <t>76156.30</t>
  </si>
  <si>
    <t>1612/40141.30/41</t>
  </si>
  <si>
    <t>40141.30</t>
  </si>
  <si>
    <t>1212/65220.30/42</t>
  </si>
  <si>
    <t>65220.30</t>
  </si>
  <si>
    <t>1112/109509.30/43</t>
  </si>
  <si>
    <t>109509.30</t>
  </si>
  <si>
    <t>1012/179509.30/44</t>
  </si>
  <si>
    <t>179509.30</t>
  </si>
  <si>
    <t>1012/233509.30/45</t>
  </si>
  <si>
    <t>233509.30</t>
  </si>
  <si>
    <t>1012/193509.30/46</t>
  </si>
  <si>
    <t>193509.30</t>
  </si>
  <si>
    <t>712/223826.30/47</t>
  </si>
  <si>
    <t>223826.30</t>
  </si>
  <si>
    <t>712/186971.30/48</t>
  </si>
  <si>
    <t>186971.30</t>
  </si>
  <si>
    <t>712/143312.30/49</t>
  </si>
  <si>
    <t>143312.30</t>
  </si>
  <si>
    <t>512/97952.30/50</t>
  </si>
  <si>
    <t>97952.30</t>
  </si>
  <si>
    <t>312/117952.30/51</t>
  </si>
  <si>
    <t>117952.30</t>
  </si>
  <si>
    <t>3011/90389.30/52</t>
  </si>
  <si>
    <t>90389.30</t>
  </si>
  <si>
    <t>2911/190389.30/53</t>
  </si>
  <si>
    <t>190389.30</t>
  </si>
  <si>
    <t>2911/200389.30/54</t>
  </si>
  <si>
    <t>200389.30</t>
  </si>
  <si>
    <t>2811/277809.30/55</t>
  </si>
  <si>
    <t>277809.30</t>
  </si>
  <si>
    <t>2811/240324.30/56</t>
  </si>
  <si>
    <t>240324.30</t>
  </si>
  <si>
    <t>2711/194764.30/57</t>
  </si>
  <si>
    <t>194764.30</t>
  </si>
  <si>
    <t>2611/182064.30/58</t>
  </si>
  <si>
    <t>182064.30</t>
  </si>
  <si>
    <t>2111/130214.30/59</t>
  </si>
  <si>
    <t>130214.30</t>
  </si>
  <si>
    <t>1911/130568.30/60</t>
  </si>
  <si>
    <t>130568.30</t>
  </si>
  <si>
    <t>1411/179568.30/61</t>
  </si>
  <si>
    <t>179568.30</t>
  </si>
  <si>
    <t>1311/199568.30/62</t>
  </si>
  <si>
    <t>199568.30</t>
  </si>
  <si>
    <t>1211/149568.30/63</t>
  </si>
  <si>
    <t>149568.30</t>
  </si>
  <si>
    <t>1211/198568.30/64</t>
  </si>
  <si>
    <t>198568.30</t>
  </si>
  <si>
    <t>1011/156673.30/65</t>
  </si>
  <si>
    <t>156673.30</t>
  </si>
  <si>
    <t>3010/186990.30/66</t>
  </si>
  <si>
    <t>186990.30</t>
  </si>
  <si>
    <t>3010/136990.30/67</t>
  </si>
  <si>
    <t>136990.30</t>
  </si>
  <si>
    <t>2910/185990.30/68</t>
  </si>
  <si>
    <t>185990.30</t>
  </si>
  <si>
    <t>2910/150990.30/69</t>
  </si>
  <si>
    <t>150990.30</t>
  </si>
  <si>
    <t>2910/120990.30/70</t>
  </si>
  <si>
    <t>120990.30</t>
  </si>
  <si>
    <t>2810/108220.30/71</t>
  </si>
  <si>
    <t>108220.30</t>
  </si>
  <si>
    <t>2610/308220.30/72</t>
  </si>
  <si>
    <t>308220.30</t>
  </si>
  <si>
    <t>2510/258220.30/73</t>
  </si>
  <si>
    <t>258220.30</t>
  </si>
  <si>
    <t>2510/199866.30/74</t>
  </si>
  <si>
    <t>199866.30</t>
  </si>
  <si>
    <t>2410/163641.30/75</t>
  </si>
  <si>
    <t>163641.30</t>
  </si>
  <si>
    <t>2210/113641.30/76</t>
  </si>
  <si>
    <t>113641.30</t>
  </si>
  <si>
    <t>2210/169287.30/77</t>
  </si>
  <si>
    <t>169287.30</t>
  </si>
  <si>
    <t>2110/369287.30/78</t>
  </si>
  <si>
    <t>369287.30</t>
  </si>
  <si>
    <t>1910/369310.90/79</t>
  </si>
  <si>
    <t>369310.90</t>
  </si>
  <si>
    <t>1910/319310.90/80</t>
  </si>
  <si>
    <t>319310.90</t>
  </si>
  <si>
    <t>1910/319382.90/81</t>
  </si>
  <si>
    <t>319382.90</t>
  </si>
  <si>
    <t>1910/319782.90/82</t>
  </si>
  <si>
    <t>319782.90</t>
  </si>
  <si>
    <t>1910/359782.90/83</t>
  </si>
  <si>
    <t>359782.90</t>
  </si>
  <si>
    <t>1710/364570.90/84</t>
  </si>
  <si>
    <t>364570.90</t>
  </si>
  <si>
    <t>1710/334570.90/85</t>
  </si>
  <si>
    <t>334570.90</t>
  </si>
  <si>
    <t>1710/383570.90/86</t>
  </si>
  <si>
    <t>383570.90</t>
  </si>
  <si>
    <t>1610/394370.90/87</t>
  </si>
  <si>
    <t>394370.90</t>
  </si>
  <si>
    <t>1610/244370.90/88</t>
  </si>
  <si>
    <t>244370.90</t>
  </si>
  <si>
    <t>0000201293</t>
  </si>
  <si>
    <t>NEFT ICIN403051329856</t>
  </si>
  <si>
    <t>ATM Q04M49461S</t>
  </si>
  <si>
    <t>0000500702</t>
  </si>
  <si>
    <t>ATM TCDN494711</t>
  </si>
  <si>
    <t>NEFT ICIN402456336838</t>
  </si>
  <si>
    <t>CHARGES 2024</t>
  </si>
  <si>
    <t>NEFT HDFCH00018779194</t>
  </si>
  <si>
    <t>CASH</t>
  </si>
  <si>
    <t>NEFT HDFCH00017418353</t>
  </si>
  <si>
    <t>NEFT ICIN402155291052</t>
  </si>
  <si>
    <t>ATM BSUBH144</t>
  </si>
  <si>
    <t>ATM CN206201</t>
  </si>
  <si>
    <t>CHQ 255410GAURAV</t>
  </si>
  <si>
    <t>CHQ 255419VAR</t>
  </si>
  <si>
    <t>NEFT ICICN42025011351195568</t>
  </si>
  <si>
    <t>CBIN0000000010145712</t>
  </si>
  <si>
    <t>UPI 500604177305</t>
  </si>
  <si>
    <t>CHQ 255417S</t>
  </si>
  <si>
    <t>IMPS IMPSP2A500221128740</t>
  </si>
  <si>
    <t>CHQ 255416PRATIKSHA</t>
  </si>
  <si>
    <t>0000003474</t>
  </si>
  <si>
    <t>CHQ 255408SIYA</t>
  </si>
  <si>
    <t>CHQ 255415PRATIKSHA</t>
  </si>
  <si>
    <t>NEFT N365243479987168</t>
  </si>
  <si>
    <t>CHQ 255407SHREE</t>
  </si>
  <si>
    <t>NEFT 38732356781DC</t>
  </si>
  <si>
    <t>NEFT N359243471649445</t>
  </si>
  <si>
    <t>ATM</t>
  </si>
  <si>
    <t>CHQ 255406KUSHAL</t>
  </si>
  <si>
    <t>CHQ 255402SHREE</t>
  </si>
  <si>
    <t>NEFT 38565244541DC</t>
  </si>
  <si>
    <t>0000007812</t>
  </si>
  <si>
    <t>0000000666</t>
  </si>
  <si>
    <t>CHQ 255401RAMNIKBHAI</t>
  </si>
  <si>
    <t>NEFT N338243430517898</t>
  </si>
  <si>
    <t>CHQ 246049PRATIKSHA</t>
  </si>
  <si>
    <t>CHQ 246048RINZAI</t>
  </si>
  <si>
    <t>NEFT N333243420267457</t>
  </si>
  <si>
    <t>NEFT 38418140081DC</t>
  </si>
  <si>
    <t>NEFT N332243418639932</t>
  </si>
  <si>
    <t>NEFT 38274949401DC</t>
  </si>
  <si>
    <t>NEFT N304243364879181</t>
  </si>
  <si>
    <t>NEFT N303243361708033</t>
  </si>
  <si>
    <t>NEFT 38094950791DC</t>
  </si>
  <si>
    <t>NEFT 38094866281DC</t>
  </si>
  <si>
    <t>NEFT 38073168411DC</t>
  </si>
  <si>
    <t>CHQ 246040VAR</t>
  </si>
  <si>
    <t>CHQ 246041PRATIKSHA</t>
  </si>
  <si>
    <t>CHARGES 202</t>
  </si>
  <si>
    <t>NEFT 37997928881DC</t>
  </si>
  <si>
    <t>CHQ</t>
  </si>
  <si>
    <t>CHQ 246038SAVALIYA</t>
  </si>
  <si>
    <t>NEFT N291241030539721</t>
  </si>
  <si>
    <t>CHQ 246035SAI</t>
  </si>
  <si>
    <t>0000758121</t>
  </si>
  <si>
    <t>CHQ 246036PRATIKSHA</t>
  </si>
  <si>
    <t>3101/217889.7/1</t>
  </si>
  <si>
    <t>3001/187438.7/2</t>
  </si>
  <si>
    <t>3001/151248.7/3</t>
  </si>
  <si>
    <t>3001/161248.7/4</t>
  </si>
  <si>
    <t>3001/162348.7/5</t>
  </si>
  <si>
    <t>2801/112638.7/6</t>
  </si>
  <si>
    <t>2601/132638.7/7</t>
  </si>
  <si>
    <t>2401/152638.7/8</t>
  </si>
  <si>
    <t>2301/117638.7/9</t>
  </si>
  <si>
    <t>2201/117662.3/10</t>
  </si>
  <si>
    <t>2201/67662.3/11</t>
  </si>
  <si>
    <t>2201/102662.3/12</t>
  </si>
  <si>
    <t>2101/52662.3/13</t>
  </si>
  <si>
    <t>2101/67662.3/14</t>
  </si>
  <si>
    <t>1601/17662.3/15</t>
  </si>
  <si>
    <t>1601/27662.3/16</t>
  </si>
  <si>
    <t>1601/37662.3/17</t>
  </si>
  <si>
    <t>1401/47662.3/18</t>
  </si>
  <si>
    <t>1401/49662.3/19</t>
  </si>
  <si>
    <t>1301/122616.3/20</t>
  </si>
  <si>
    <t>1301/206091.3/21</t>
  </si>
  <si>
    <t>1301/176091.3/22</t>
  </si>
  <si>
    <t>1001/74241.3/23</t>
  </si>
  <si>
    <t>601/104558.3/24</t>
  </si>
  <si>
    <t>301/74558.3/25</t>
  </si>
  <si>
    <t>201/90763.3/26</t>
  </si>
  <si>
    <t>201/63122.3/27</t>
  </si>
  <si>
    <t>101/123122.3/28</t>
  </si>
  <si>
    <t>101/173122.3/29</t>
  </si>
  <si>
    <t>101/134534.3/30</t>
  </si>
  <si>
    <t>3112/142803.3/31</t>
  </si>
  <si>
    <t>3012/242803.3/32</t>
  </si>
  <si>
    <t>2812/142803.3/33</t>
  </si>
  <si>
    <t>2712/149803.3/34</t>
  </si>
  <si>
    <t>2612/173317.3/35</t>
  </si>
  <si>
    <t>2412/102301.3/36</t>
  </si>
  <si>
    <t>2412/60601.3/37</t>
  </si>
  <si>
    <t>2112/63601.3/38</t>
  </si>
  <si>
    <t>1712/66601.3/39</t>
  </si>
  <si>
    <t>1712/76156.3/40</t>
  </si>
  <si>
    <t>1612/40141.3/41</t>
  </si>
  <si>
    <t>1212/65220.3/42</t>
  </si>
  <si>
    <t>1112/109509.3/43</t>
  </si>
  <si>
    <t>1012/179509.3/44</t>
  </si>
  <si>
    <t>1012/233509.3/45</t>
  </si>
  <si>
    <t>1012/193509.3/46</t>
  </si>
  <si>
    <t>712/223826.3/47</t>
  </si>
  <si>
    <t>712/186971.3/48</t>
  </si>
  <si>
    <t>712/143312.3/49</t>
  </si>
  <si>
    <t>512/97952.3/50</t>
  </si>
  <si>
    <t>312/117952.3/51</t>
  </si>
  <si>
    <t>3011/90389.3/52</t>
  </si>
  <si>
    <t>2911/190389.3/53</t>
  </si>
  <si>
    <t>2911/200389.3/54</t>
  </si>
  <si>
    <t>2811/277809.3/55</t>
  </si>
  <si>
    <t>2811/240324.3/56</t>
  </si>
  <si>
    <t>2711/194764.3/57</t>
  </si>
  <si>
    <t>2611/182064.3/58</t>
  </si>
  <si>
    <t>2111/130214.3/59</t>
  </si>
  <si>
    <t>1911/130568.3/60</t>
  </si>
  <si>
    <t>1411/179568.3/61</t>
  </si>
  <si>
    <t>1311/199568.3/62</t>
  </si>
  <si>
    <t>1211/149568.3/63</t>
  </si>
  <si>
    <t>1211/198568.3/64</t>
  </si>
  <si>
    <t>1011/156673.3/65</t>
  </si>
  <si>
    <t>3010/186990.3/66</t>
  </si>
  <si>
    <t>3010/136990.3/67</t>
  </si>
  <si>
    <t>2910/185990.3/68</t>
  </si>
  <si>
    <t>2810/150990.3/69</t>
  </si>
  <si>
    <t>2810/120990.3/70</t>
  </si>
  <si>
    <t>2810/108220.3/71</t>
  </si>
  <si>
    <t>2610/308220.3/72</t>
  </si>
  <si>
    <t>2510/258220.3/73</t>
  </si>
  <si>
    <t>2510/199866.3/74</t>
  </si>
  <si>
    <t>2410/163641.3/75</t>
  </si>
  <si>
    <t>2210/113641.3/76</t>
  </si>
  <si>
    <t>2210/169287.3/77</t>
  </si>
  <si>
    <t>2110/369287.3/78</t>
  </si>
  <si>
    <t>1910/369310.9/79</t>
  </si>
  <si>
    <t>1910/319310.9/80</t>
  </si>
  <si>
    <t>1910/319382.9/81</t>
  </si>
  <si>
    <t>1910/319782.9/82</t>
  </si>
  <si>
    <t>1910/359782.9/83</t>
  </si>
  <si>
    <t>1710/364570.9/84</t>
  </si>
  <si>
    <t>1710/334570.9/85</t>
  </si>
  <si>
    <t>1710/383570.9/86</t>
  </si>
  <si>
    <t>1610/394370.9/87</t>
  </si>
  <si>
    <t>1610/244370.9/88</t>
  </si>
  <si>
    <t>C:\Users\AT\Downloads\DetailedStatement(1).xlsx</t>
  </si>
  <si>
    <t>The Sutex Co-op. Bank A/c.</t>
  </si>
  <si>
    <t>BOI (P)</t>
  </si>
  <si>
    <t>SCOPB (P)</t>
  </si>
  <si>
    <r>
      <rPr>
        <b/>
        <sz val="11"/>
        <rFont val="Arial MT"/>
        <family val="2"/>
      </rPr>
      <t>Sr No</t>
    </r>
  </si>
  <si>
    <r>
      <rPr>
        <b/>
        <sz val="11"/>
        <rFont val="Arial MT"/>
        <family val="2"/>
      </rPr>
      <t>Date</t>
    </r>
  </si>
  <si>
    <r>
      <rPr>
        <b/>
        <sz val="11"/>
        <rFont val="Arial MT"/>
        <family val="2"/>
      </rPr>
      <t>Remarks</t>
    </r>
  </si>
  <si>
    <r>
      <rPr>
        <b/>
        <sz val="11"/>
        <rFont val="Arial MT"/>
        <family val="2"/>
      </rPr>
      <t>Debit</t>
    </r>
  </si>
  <si>
    <r>
      <rPr>
        <b/>
        <sz val="11"/>
        <rFont val="Arial MT"/>
        <family val="2"/>
      </rPr>
      <t>Credit</t>
    </r>
  </si>
  <si>
    <r>
      <rPr>
        <b/>
        <sz val="11"/>
        <rFont val="Arial MT"/>
        <family val="2"/>
      </rPr>
      <t>Balance</t>
    </r>
  </si>
  <si>
    <t xml:space="preserve">Bank of India </t>
  </si>
  <si>
    <r>
      <rPr>
        <sz val="9.5"/>
        <rFont val="Times New Roman"/>
        <family val="1"/>
      </rPr>
      <t>Tran Date</t>
    </r>
  </si>
  <si>
    <r>
      <rPr>
        <sz val="9.5"/>
        <rFont val="Times New Roman"/>
        <family val="1"/>
      </rPr>
      <t>Chq No</t>
    </r>
  </si>
  <si>
    <r>
      <rPr>
        <b/>
        <sz val="9.5"/>
        <rFont val="Times New Roman"/>
        <family val="1"/>
      </rPr>
      <t>Particulars</t>
    </r>
  </si>
  <si>
    <r>
      <rPr>
        <b/>
        <sz val="9.5"/>
        <rFont val="Times New Roman"/>
        <family val="1"/>
      </rPr>
      <t>Debit</t>
    </r>
  </si>
  <si>
    <r>
      <rPr>
        <sz val="9.5"/>
        <rFont val="Times New Roman"/>
        <family val="1"/>
      </rPr>
      <t>Credit</t>
    </r>
  </si>
  <si>
    <r>
      <rPr>
        <b/>
        <sz val="9.5"/>
        <rFont val="Times New Roman"/>
        <family val="1"/>
      </rPr>
      <t>Balance</t>
    </r>
  </si>
  <si>
    <r>
      <rPr>
        <b/>
        <sz val="9.5"/>
        <rFont val="Times New Roman"/>
        <family val="1"/>
      </rPr>
      <t xml:space="preserve">Init.
</t>
    </r>
    <r>
      <rPr>
        <sz val="9.5"/>
        <rFont val="Times New Roman"/>
        <family val="1"/>
      </rPr>
      <t>Br</t>
    </r>
  </si>
  <si>
    <t>Axis (P)</t>
  </si>
  <si>
    <r>
      <rPr>
        <b/>
        <sz val="10"/>
        <color rgb="FFFFFFFF"/>
        <rFont val="Arial"/>
        <family val="2"/>
      </rPr>
      <t>TRAN DATE</t>
    </r>
  </si>
  <si>
    <r>
      <rPr>
        <b/>
        <sz val="10"/>
        <color rgb="FFFFFFFF"/>
        <rFont val="Arial"/>
        <family val="2"/>
      </rPr>
      <t>VALUE DATE</t>
    </r>
  </si>
  <si>
    <r>
      <rPr>
        <b/>
        <sz val="10"/>
        <color rgb="FFFFFFFF"/>
        <rFont val="Arial"/>
        <family val="2"/>
      </rPr>
      <t>NARRATION</t>
    </r>
  </si>
  <si>
    <r>
      <rPr>
        <b/>
        <sz val="10"/>
        <color rgb="FFFFFFFF"/>
        <rFont val="Arial"/>
        <family val="2"/>
      </rPr>
      <t>CHQ.NO.</t>
    </r>
  </si>
  <si>
    <r>
      <rPr>
        <b/>
        <sz val="10"/>
        <color rgb="FFFFFFFF"/>
        <rFont val="Arial"/>
        <family val="2"/>
      </rPr>
      <t>WITHDRAWAL(DR)</t>
    </r>
  </si>
  <si>
    <r>
      <rPr>
        <b/>
        <sz val="10"/>
        <color rgb="FFFFFFFF"/>
        <rFont val="Arial"/>
        <family val="2"/>
      </rPr>
      <t>DEPOSIT(CR)</t>
    </r>
  </si>
  <si>
    <r>
      <rPr>
        <b/>
        <sz val="10"/>
        <color rgb="FFFFFFFF"/>
        <rFont val="Arial"/>
        <family val="2"/>
      </rPr>
      <t>BALANCE(INR)</t>
    </r>
  </si>
  <si>
    <t>BOB(P) (2)</t>
  </si>
  <si>
    <t>Transactio n ID</t>
  </si>
  <si>
    <t>Txn Posted Date</t>
  </si>
  <si>
    <t>Transaction Amount(INR)</t>
  </si>
  <si>
    <r>
      <rPr>
        <b/>
        <sz val="12"/>
        <rFont val="Arial"/>
        <family val="2"/>
      </rPr>
      <t>Available Balance(INR
)</t>
    </r>
  </si>
  <si>
    <t>ICICI 3 (P)</t>
  </si>
  <si>
    <r>
      <rPr>
        <b/>
        <sz val="7.5"/>
        <rFont val="Times New Roman"/>
        <family val="1"/>
      </rPr>
      <t>Value Date</t>
    </r>
  </si>
  <si>
    <r>
      <rPr>
        <b/>
        <sz val="7.5"/>
        <rFont val="Times New Roman"/>
        <family val="1"/>
      </rPr>
      <t>Particulars</t>
    </r>
  </si>
  <si>
    <r>
      <rPr>
        <b/>
        <sz val="7.5"/>
        <rFont val="Times New Roman"/>
        <family val="1"/>
      </rPr>
      <t>Tran Type</t>
    </r>
  </si>
  <si>
    <r>
      <rPr>
        <b/>
        <sz val="7.5"/>
        <rFont val="Times New Roman"/>
        <family val="1"/>
      </rPr>
      <t>Tran ID</t>
    </r>
  </si>
  <si>
    <r>
      <rPr>
        <b/>
        <sz val="7.5"/>
        <rFont val="Times New Roman"/>
        <family val="1"/>
      </rPr>
      <t>Cheque Details</t>
    </r>
  </si>
  <si>
    <r>
      <rPr>
        <b/>
        <sz val="7.5"/>
        <rFont val="Times New Roman"/>
        <family val="1"/>
      </rPr>
      <t>Withdrawals</t>
    </r>
  </si>
  <si>
    <r>
      <rPr>
        <b/>
        <sz val="7.5"/>
        <rFont val="Times New Roman"/>
        <family val="1"/>
      </rPr>
      <t>Deposits</t>
    </r>
  </si>
  <si>
    <r>
      <rPr>
        <b/>
        <sz val="7.5"/>
        <rFont val="Times New Roman"/>
        <family val="1"/>
      </rPr>
      <t>Balance</t>
    </r>
  </si>
  <si>
    <r>
      <rPr>
        <b/>
        <sz val="7.5"/>
        <rFont val="Times New Roman"/>
        <family val="1"/>
      </rPr>
      <t xml:space="preserve">DR
</t>
    </r>
    <r>
      <rPr>
        <b/>
        <sz val="7.5"/>
        <rFont val="Times New Roman"/>
        <family val="1"/>
      </rPr>
      <t>/CR</t>
    </r>
  </si>
  <si>
    <t>Federal (P)</t>
  </si>
  <si>
    <t>ADITYA TECHNOLOGIES</t>
  </si>
  <si>
    <t>D8:43:AE:E3:62:D1</t>
  </si>
  <si>
    <t>KETAN</t>
  </si>
  <si>
    <t>500 - KETAN</t>
  </si>
  <si>
    <t>PNB (L)</t>
  </si>
  <si>
    <t>Amount Type</t>
  </si>
  <si>
    <t>PNB A/c. Loan</t>
  </si>
  <si>
    <t>PNB (L) : 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</si>
</sst>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;[Red]0.00"/>
    <numFmt numFmtId="165" formatCode="dd/mm/yyyy;@"/>
    <numFmt numFmtId="166" formatCode="mm/dd/yyyy"/>
  </numFmts>
  <fonts count="8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indexed="8"/>
      <name val="Arial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1"/>
      <color theme="0"/>
      <name val="Calibri"/>
      <family val="2"/>
      <scheme val="minor"/>
    </font>
    <font>
      <sz val="10"/>
      <color theme="0"/>
      <name val="SansSerif"/>
    </font>
    <font>
      <b/>
      <sz val="7"/>
      <color indexed="72"/>
      <name val="Arial"/>
      <family val="2"/>
    </font>
    <font>
      <sz val="10"/>
      <color indexed="72"/>
      <name val="SansSerif"/>
    </font>
    <font>
      <b/>
      <sz val="10"/>
      <color indexed="9"/>
      <name val="Arial"/>
      <family val="2"/>
    </font>
    <font>
      <b/>
      <sz val="10"/>
      <color theme="1"/>
      <name val="Verdana"/>
      <family val="2"/>
    </font>
    <font>
      <sz val="10"/>
      <color theme="1"/>
      <name val="Verdana"/>
      <family val="2"/>
    </font>
    <font>
      <b/>
      <sz val="11"/>
      <color theme="1"/>
      <name val="Verdana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name val="Verdana"/>
      <family val="2"/>
    </font>
    <font>
      <b/>
      <sz val="10"/>
      <name val="Arial"/>
      <family val="2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b/>
      <sz val="8"/>
      <name val="Times New Roman"/>
      <family val="1"/>
    </font>
    <font>
      <sz val="10"/>
      <color rgb="FF000000"/>
      <name val="Times New Roman"/>
      <family val="1"/>
    </font>
    <font>
      <sz val="10"/>
      <color indexed="8"/>
      <name val="Calibri"/>
      <family val="2"/>
    </font>
    <font>
      <b/>
      <sz val="11"/>
      <name val="Calibri"/>
      <family val="2"/>
      <scheme val="minor"/>
    </font>
    <font>
      <b/>
      <sz val="12"/>
      <color rgb="FFFF0000"/>
      <name val="Arial"/>
      <family val="2"/>
    </font>
    <font>
      <sz val="9"/>
      <name val="Arial MT"/>
      <family val="2"/>
    </font>
    <font>
      <b/>
      <sz val="11"/>
      <color theme="2" tint="-0.749992370372631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8"/>
      <color indexed="72"/>
      <name val="SansSerif"/>
    </font>
    <font>
      <b/>
      <sz val="9"/>
      <color theme="1"/>
      <name val="Verdana"/>
      <family val="2"/>
    </font>
    <font>
      <b/>
      <sz val="12"/>
      <color indexed="8"/>
      <name val="Arial"/>
      <family val="2"/>
    </font>
    <font>
      <b/>
      <sz val="13"/>
      <color indexed="72"/>
      <name val="Arial"/>
      <family val="2"/>
    </font>
    <font>
      <sz val="8"/>
      <name val="Calibri"/>
      <family val="2"/>
      <scheme val="minor"/>
    </font>
    <font>
      <b/>
      <sz val="10"/>
      <color indexed="8"/>
      <name val="Calibri"/>
      <family val="2"/>
    </font>
    <font>
      <sz val="13"/>
      <color indexed="72"/>
      <name val="Arial"/>
      <family val="2"/>
    </font>
    <font>
      <sz val="11"/>
      <color rgb="FFFFFFFF"/>
      <name val="Calibri"/>
      <family val="2"/>
      <scheme val="minor"/>
    </font>
    <font>
      <b/>
      <sz val="6.5"/>
      <name val="Arial"/>
      <family val="2"/>
    </font>
    <font>
      <sz val="10"/>
      <color rgb="FFFF0000"/>
      <name val="SansSerif"/>
    </font>
    <font>
      <sz val="11"/>
      <color rgb="FFF8F8F8"/>
      <name val="Calibri"/>
      <family val="2"/>
      <scheme val="minor"/>
    </font>
    <font>
      <sz val="10"/>
      <color rgb="FFF8F8F8"/>
      <name val="SansSerif"/>
    </font>
    <font>
      <b/>
      <sz val="7"/>
      <name val="Arial"/>
      <family val="2"/>
    </font>
    <font>
      <sz val="8"/>
      <name val="Arial MT"/>
      <family val="2"/>
    </font>
    <font>
      <b/>
      <sz val="9"/>
      <name val="Arial"/>
      <family val="2"/>
    </font>
    <font>
      <sz val="10"/>
      <name val="Arial MT"/>
    </font>
    <font>
      <sz val="10"/>
      <name val="Arial MT"/>
      <family val="2"/>
    </font>
    <font>
      <sz val="10"/>
      <color rgb="FFFFFFFF"/>
      <name val="SansSerif"/>
    </font>
    <font>
      <sz val="12"/>
      <name val="Arial MT"/>
    </font>
    <font>
      <sz val="12"/>
      <name val="Arial MT"/>
      <family val="2"/>
    </font>
    <font>
      <b/>
      <sz val="8"/>
      <name val="Arial"/>
      <family val="2"/>
    </font>
    <font>
      <b/>
      <i/>
      <sz val="9"/>
      <name val="Calibri"/>
      <family val="2"/>
    </font>
    <font>
      <b/>
      <i/>
      <sz val="9"/>
      <name val="Calibri"/>
      <family val="1"/>
    </font>
    <font>
      <sz val="6.5"/>
      <name val="Arial"/>
      <family val="2"/>
    </font>
    <font>
      <b/>
      <sz val="10"/>
      <color indexed="72"/>
      <name val="SansSerif"/>
    </font>
    <font>
      <b/>
      <sz val="10"/>
      <color indexed="72"/>
      <name val="Arial"/>
      <family val="2"/>
    </font>
    <font>
      <sz val="7"/>
      <color theme="1"/>
      <name val="Roboto Lt"/>
    </font>
    <font>
      <sz val="8"/>
      <name val="Arial MT"/>
    </font>
    <font>
      <sz val="11"/>
      <name val="Arial MT"/>
    </font>
    <font>
      <sz val="11"/>
      <name val="Arial MT"/>
      <family val="2"/>
    </font>
    <font>
      <b/>
      <sz val="16"/>
      <color indexed="72"/>
      <name val="SansSerif"/>
    </font>
    <font>
      <b/>
      <sz val="10"/>
      <color rgb="FF000000"/>
      <name val="Arial"/>
      <family val="2"/>
    </font>
    <font>
      <b/>
      <sz val="17"/>
      <color theme="1"/>
      <name val="Calibri"/>
      <family val="2"/>
      <scheme val="minor"/>
    </font>
    <font>
      <sz val="10"/>
      <name val="SansSerif"/>
    </font>
    <font>
      <sz val="7"/>
      <color indexed="72"/>
      <name val="Arial"/>
      <family val="2"/>
    </font>
    <font>
      <sz val="11"/>
      <color rgb="FF000000"/>
      <name val="Calibri"/>
      <family val="2"/>
    </font>
    <font>
      <b/>
      <sz val="11"/>
      <name val="Arial"/>
      <family val="2"/>
    </font>
    <font>
      <sz val="10"/>
      <name val="Roboto Lt"/>
    </font>
    <font>
      <b/>
      <sz val="11"/>
      <color indexed="8"/>
      <name val="Calibri"/>
      <family val="2"/>
    </font>
    <font>
      <b/>
      <sz val="11"/>
      <name val="Arial MT"/>
      <family val="2"/>
    </font>
    <font>
      <sz val="9.5"/>
      <name val="Times New Roman"/>
      <family val="1"/>
    </font>
    <font>
      <b/>
      <sz val="9.5"/>
      <name val="Times New Roman"/>
      <family val="1"/>
    </font>
    <font>
      <b/>
      <sz val="10"/>
      <color rgb="FFFFFFFF"/>
      <name val="Arial"/>
      <family val="2"/>
    </font>
    <font>
      <b/>
      <sz val="12"/>
      <name val="Arial"/>
      <family val="2"/>
    </font>
    <font>
      <b/>
      <sz val="7.5"/>
      <name val="Times New Roman"/>
      <family val="1"/>
    </font>
    <font>
      <b/>
      <sz val="10"/>
      <name val="Calibri Light"/>
      <family val="2"/>
      <scheme val="major"/>
    </font>
    <font>
      <sz val="8"/>
      <color rgb="FF000000"/>
      <name val="Segoe UI"/>
      <family val="2"/>
    </font>
  </fonts>
  <fills count="56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BFE0FF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2B38C"/>
      </patternFill>
    </fill>
    <fill>
      <patternFill patternType="solid">
        <fgColor rgb="FF98C5D9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indexed="31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E5E5E5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6400"/>
      </left>
      <right style="thin">
        <color rgb="FF006400"/>
      </right>
      <top style="thin">
        <color rgb="FF006400"/>
      </top>
      <bottom style="thin">
        <color rgb="FF006400"/>
      </bottom>
      <diagonal/>
    </border>
    <border>
      <left style="thin">
        <color rgb="FF006400"/>
      </left>
      <right/>
      <top style="thin">
        <color rgb="FF006400"/>
      </top>
      <bottom style="thin">
        <color rgb="FF006400"/>
      </bottom>
      <diagonal/>
    </border>
    <border>
      <left/>
      <right style="thin">
        <color rgb="FF006400"/>
      </right>
      <top style="thin">
        <color rgb="FF006400"/>
      </top>
      <bottom style="thin">
        <color rgb="FF006400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57"/>
      </left>
      <right style="thin">
        <color indexed="57"/>
      </right>
      <top/>
      <bottom style="hair">
        <color indexed="57"/>
      </bottom>
      <diagonal/>
    </border>
    <border>
      <left style="thin">
        <color rgb="FFCCCCCC"/>
      </left>
      <right/>
      <top/>
      <bottom/>
      <diagonal/>
    </border>
    <border>
      <left/>
      <right style="thin">
        <color rgb="FFCCCCCC"/>
      </right>
      <top/>
      <bottom/>
      <diagonal/>
    </border>
    <border>
      <left/>
      <right/>
      <top/>
      <bottom style="thin">
        <color rgb="FFFFA500"/>
      </bottom>
      <diagonal/>
    </border>
    <border>
      <left style="thin">
        <color rgb="FFDFE0E1"/>
      </left>
      <right/>
      <top style="thin">
        <color rgb="FFDFE0E1"/>
      </top>
      <bottom style="thin">
        <color rgb="FFDFE0E1"/>
      </bottom>
      <diagonal/>
    </border>
    <border>
      <left/>
      <right/>
      <top style="thin">
        <color rgb="FFDFE0E1"/>
      </top>
      <bottom style="thin">
        <color rgb="FFDFE0E1"/>
      </bottom>
      <diagonal/>
    </border>
    <border>
      <left/>
      <right style="thin">
        <color rgb="FFDFE0E1"/>
      </right>
      <top style="thin">
        <color rgb="FFDFE0E1"/>
      </top>
      <bottom style="thin">
        <color rgb="FFDFE0E1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medium">
        <color indexed="8"/>
      </bottom>
      <diagonal/>
    </border>
  </borders>
  <cellStyleXfs count="49">
    <xf numFmtId="0" fontId="0" fillId="0" borderId="0"/>
    <xf numFmtId="0" fontId="4" fillId="0" borderId="0" applyNumberFormat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" applyNumberFormat="0" applyFill="0" applyAlignment="0" applyProtection="0"/>
    <xf numFmtId="0" fontId="16" fillId="0" borderId="6" applyNumberFormat="0" applyFill="0" applyAlignment="0" applyProtection="0"/>
    <xf numFmtId="0" fontId="17" fillId="0" borderId="7" applyNumberFormat="0" applyFill="0" applyAlignment="0" applyProtection="0"/>
    <xf numFmtId="0" fontId="17" fillId="0" borderId="0" applyNumberFormat="0" applyFill="0" applyBorder="0" applyAlignment="0" applyProtection="0"/>
    <xf numFmtId="0" fontId="18" fillId="16" borderId="0" applyNumberFormat="0" applyBorder="0" applyAlignment="0" applyProtection="0"/>
    <xf numFmtId="0" fontId="19" fillId="17" borderId="0" applyNumberFormat="0" applyBorder="0" applyAlignment="0" applyProtection="0"/>
    <xf numFmtId="0" fontId="20" fillId="18" borderId="0" applyNumberFormat="0" applyBorder="0" applyAlignment="0" applyProtection="0"/>
    <xf numFmtId="0" fontId="21" fillId="19" borderId="8" applyNumberFormat="0" applyAlignment="0" applyProtection="0"/>
    <xf numFmtId="0" fontId="22" fillId="20" borderId="9" applyNumberFormat="0" applyAlignment="0" applyProtection="0"/>
    <xf numFmtId="0" fontId="23" fillId="20" borderId="8" applyNumberFormat="0" applyAlignment="0" applyProtection="0"/>
    <xf numFmtId="0" fontId="24" fillId="0" borderId="10" applyNumberFormat="0" applyFill="0" applyAlignment="0" applyProtection="0"/>
    <xf numFmtId="0" fontId="25" fillId="21" borderId="11" applyNumberFormat="0" applyAlignment="0" applyProtection="0"/>
    <xf numFmtId="0" fontId="26" fillId="0" borderId="0" applyNumberFormat="0" applyFill="0" applyBorder="0" applyAlignment="0" applyProtection="0"/>
    <xf numFmtId="0" fontId="13" fillId="22" borderId="12" applyNumberFormat="0" applyFont="0" applyAlignment="0" applyProtection="0"/>
    <xf numFmtId="0" fontId="27" fillId="0" borderId="0" applyNumberFormat="0" applyFill="0" applyBorder="0" applyAlignment="0" applyProtection="0"/>
    <xf numFmtId="0" fontId="1" fillId="0" borderId="13" applyNumberFormat="0" applyFill="0" applyAlignment="0" applyProtection="0"/>
    <xf numFmtId="0" fontId="5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5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5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5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13" fillId="38" borderId="0" applyNumberFormat="0" applyBorder="0" applyAlignment="0" applyProtection="0"/>
    <xf numFmtId="0" fontId="5" fillId="39" borderId="0" applyNumberFormat="0" applyBorder="0" applyAlignment="0" applyProtection="0"/>
    <xf numFmtId="0" fontId="13" fillId="40" borderId="0" applyNumberFormat="0" applyBorder="0" applyAlignment="0" applyProtection="0"/>
    <xf numFmtId="0" fontId="13" fillId="41" borderId="0" applyNumberFormat="0" applyBorder="0" applyAlignment="0" applyProtection="0"/>
    <xf numFmtId="0" fontId="13" fillId="42" borderId="0" applyNumberFormat="0" applyBorder="0" applyAlignment="0" applyProtection="0"/>
    <xf numFmtId="0" fontId="5" fillId="43" borderId="0" applyNumberFormat="0" applyBorder="0" applyAlignment="0" applyProtection="0"/>
    <xf numFmtId="0" fontId="13" fillId="44" borderId="0" applyNumberFormat="0" applyBorder="0" applyAlignment="0" applyProtection="0"/>
    <xf numFmtId="0" fontId="13" fillId="45" borderId="0" applyNumberFormat="0" applyBorder="0" applyAlignment="0" applyProtection="0"/>
    <xf numFmtId="0" fontId="13" fillId="46" borderId="0" applyNumberFormat="0" applyBorder="0" applyAlignment="0" applyProtection="0"/>
    <xf numFmtId="0" fontId="30" fillId="0" borderId="0"/>
    <xf numFmtId="0" fontId="33" fillId="0" borderId="0"/>
    <xf numFmtId="0" fontId="3" fillId="0" borderId="0"/>
    <xf numFmtId="0" fontId="39" fillId="0" borderId="0"/>
    <xf numFmtId="0" fontId="4" fillId="0" borderId="0"/>
    <xf numFmtId="0" fontId="75" fillId="0" borderId="0"/>
  </cellStyleXfs>
  <cellXfs count="348">
    <xf numFmtId="0" fontId="0" fillId="0" borderId="0" xfId="0"/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Protection="1">
      <protection hidden="1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6" borderId="0" xfId="0" applyFill="1" applyProtection="1">
      <protection locked="0"/>
    </xf>
    <xf numFmtId="0" fontId="0" fillId="0" borderId="0" xfId="0" applyAlignment="1" applyProtection="1">
      <alignment horizontal="left"/>
      <protection locked="0"/>
    </xf>
    <xf numFmtId="0" fontId="2" fillId="7" borderId="1" xfId="0" quotePrefix="1" applyFont="1" applyFill="1" applyBorder="1" applyAlignment="1" applyProtection="1">
      <alignment horizontal="center"/>
      <protection locked="0"/>
    </xf>
    <xf numFmtId="0" fontId="3" fillId="8" borderId="1" xfId="0" applyFont="1" applyFill="1" applyBorder="1" applyAlignment="1" applyProtection="1">
      <alignment horizontal="center" vertical="center"/>
      <protection hidden="1"/>
    </xf>
    <xf numFmtId="0" fontId="3" fillId="9" borderId="1" xfId="0" applyFont="1" applyFill="1" applyBorder="1" applyAlignment="1" applyProtection="1">
      <alignment horizontal="center" vertical="center"/>
      <protection hidden="1"/>
    </xf>
    <xf numFmtId="0" fontId="3" fillId="10" borderId="1" xfId="0" applyFont="1" applyFill="1" applyBorder="1" applyAlignment="1" applyProtection="1">
      <alignment horizontal="center" vertical="center"/>
      <protection hidden="1"/>
    </xf>
    <xf numFmtId="0" fontId="2" fillId="7" borderId="1" xfId="0" applyFont="1" applyFill="1" applyBorder="1" applyAlignment="1" applyProtection="1">
      <alignment horizontal="center"/>
      <protection locked="0"/>
    </xf>
    <xf numFmtId="164" fontId="2" fillId="7" borderId="1" xfId="0" applyNumberFormat="1" applyFont="1" applyFill="1" applyBorder="1" applyAlignment="1" applyProtection="1">
      <alignment horizontal="center"/>
      <protection locked="0"/>
    </xf>
    <xf numFmtId="0" fontId="2" fillId="7" borderId="1" xfId="0" applyFont="1" applyFill="1" applyBorder="1" applyAlignment="1" applyProtection="1">
      <alignment horizontal="left"/>
      <protection locked="0"/>
    </xf>
    <xf numFmtId="0" fontId="2" fillId="7" borderId="1" xfId="0" quotePrefix="1" applyFont="1" applyFill="1" applyBorder="1" applyAlignment="1" applyProtection="1">
      <alignment horizontal="center"/>
      <protection hidden="1"/>
    </xf>
    <xf numFmtId="0" fontId="0" fillId="11" borderId="1" xfId="0" applyFill="1" applyBorder="1" applyProtection="1">
      <protection locked="0"/>
    </xf>
    <xf numFmtId="0" fontId="0" fillId="11" borderId="1" xfId="0" applyFill="1" applyBorder="1" applyAlignment="1" applyProtection="1">
      <alignment horizontal="center" vertical="center"/>
      <protection locked="0"/>
    </xf>
    <xf numFmtId="0" fontId="0" fillId="11" borderId="1" xfId="0" applyFill="1" applyBorder="1" applyAlignment="1" applyProtection="1">
      <alignment horizontal="center"/>
      <protection locked="0"/>
    </xf>
    <xf numFmtId="165" fontId="0" fillId="11" borderId="1" xfId="0" applyNumberFormat="1" applyFill="1" applyBorder="1" applyAlignment="1" applyProtection="1">
      <alignment horizontal="right"/>
      <protection locked="0"/>
    </xf>
    <xf numFmtId="0" fontId="0" fillId="11" borderId="1" xfId="0" applyFill="1" applyBorder="1" applyAlignment="1" applyProtection="1">
      <alignment horizontal="right"/>
      <protection locked="0"/>
    </xf>
    <xf numFmtId="0" fontId="2" fillId="7" borderId="2" xfId="0" quotePrefix="1" applyFont="1" applyFill="1" applyBorder="1" applyAlignment="1" applyProtection="1">
      <alignment horizontal="center"/>
      <protection hidden="1"/>
    </xf>
    <xf numFmtId="0" fontId="5" fillId="0" borderId="0" xfId="0" applyFont="1" applyAlignment="1" applyProtection="1">
      <alignment vertical="center"/>
      <protection hidden="1"/>
    </xf>
    <xf numFmtId="165" fontId="5" fillId="0" borderId="0" xfId="0" applyNumberFormat="1" applyFont="1" applyAlignment="1" applyProtection="1">
      <alignment horizontal="center" vertical="center"/>
      <protection hidden="1"/>
    </xf>
    <xf numFmtId="0" fontId="5" fillId="0" borderId="0" xfId="0" applyFont="1" applyAlignment="1" applyProtection="1">
      <alignment horizontal="center" vertical="center"/>
      <protection hidden="1"/>
    </xf>
    <xf numFmtId="164" fontId="5" fillId="0" borderId="0" xfId="0" applyNumberFormat="1" applyFont="1" applyAlignment="1" applyProtection="1">
      <alignment horizontal="right" vertical="center"/>
      <protection hidden="1"/>
    </xf>
    <xf numFmtId="1" fontId="6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5" fillId="0" borderId="0" xfId="0" quotePrefix="1" applyNumberFormat="1" applyFont="1" applyAlignment="1" applyProtection="1">
      <alignment vertical="center"/>
      <protection hidden="1"/>
    </xf>
    <xf numFmtId="165" fontId="5" fillId="0" borderId="0" xfId="0" applyNumberFormat="1" applyFont="1" applyAlignment="1" applyProtection="1">
      <alignment horizontal="left" vertical="center"/>
      <protection hidden="1"/>
    </xf>
    <xf numFmtId="0" fontId="5" fillId="0" borderId="0" xfId="0" quotePrefix="1" applyFont="1" applyAlignment="1" applyProtection="1">
      <alignment vertical="center"/>
      <protection hidden="1"/>
    </xf>
    <xf numFmtId="0" fontId="5" fillId="0" borderId="0" xfId="0" applyFont="1" applyProtection="1">
      <protection hidden="1"/>
    </xf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1" fillId="4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/>
      <protection locked="0"/>
    </xf>
    <xf numFmtId="0" fontId="1" fillId="5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quotePrefix="1" applyProtection="1">
      <protection locked="0"/>
    </xf>
    <xf numFmtId="0" fontId="5" fillId="0" borderId="0" xfId="0" applyFont="1" applyProtection="1">
      <protection locked="0"/>
    </xf>
    <xf numFmtId="0" fontId="5" fillId="0" borderId="0" xfId="0" applyFont="1" applyAlignment="1" applyProtection="1">
      <alignment horizontal="left" vertical="center"/>
      <protection hidden="1"/>
    </xf>
    <xf numFmtId="0" fontId="9" fillId="12" borderId="4" xfId="0" applyFont="1" applyFill="1" applyBorder="1" applyAlignment="1" applyProtection="1">
      <alignment horizontal="left" vertical="center" wrapText="1"/>
      <protection locked="0"/>
    </xf>
    <xf numFmtId="0" fontId="8" fillId="12" borderId="4" xfId="0" applyFont="1" applyFill="1" applyBorder="1" applyAlignment="1" applyProtection="1">
      <alignment horizontal="left" vertical="top" wrapText="1"/>
      <protection locked="0"/>
    </xf>
    <xf numFmtId="165" fontId="6" fillId="0" borderId="0" xfId="1" applyNumberFormat="1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9" fillId="12" borderId="4" xfId="0" applyFont="1" applyFill="1" applyBorder="1" applyAlignment="1" applyProtection="1">
      <alignment vertical="center" wrapText="1"/>
      <protection locked="0"/>
    </xf>
    <xf numFmtId="0" fontId="9" fillId="12" borderId="4" xfId="0" applyFont="1" applyFill="1" applyBorder="1" applyAlignment="1" applyProtection="1">
      <alignment horizontal="center" vertical="center" wrapText="1"/>
      <protection locked="0"/>
    </xf>
    <xf numFmtId="0" fontId="8" fillId="12" borderId="4" xfId="0" applyFont="1" applyFill="1" applyBorder="1" applyAlignment="1" applyProtection="1">
      <alignment horizontal="center" vertical="top" wrapText="1"/>
      <protection locked="0"/>
    </xf>
    <xf numFmtId="0" fontId="5" fillId="0" borderId="0" xfId="0" applyFont="1" applyAlignment="1" applyProtection="1">
      <alignment horizontal="center"/>
      <protection locked="0"/>
    </xf>
    <xf numFmtId="0" fontId="34" fillId="12" borderId="14" xfId="0" applyFont="1" applyFill="1" applyBorder="1" applyProtection="1">
      <protection locked="0"/>
    </xf>
    <xf numFmtId="164" fontId="26" fillId="0" borderId="0" xfId="0" applyNumberFormat="1" applyFont="1" applyAlignment="1" applyProtection="1">
      <alignment horizontal="right" vertical="center"/>
      <protection hidden="1"/>
    </xf>
    <xf numFmtId="0" fontId="0" fillId="47" borderId="0" xfId="0" applyFill="1"/>
    <xf numFmtId="164" fontId="5" fillId="0" borderId="0" xfId="0" applyNumberFormat="1" applyFont="1" applyProtection="1">
      <protection hidden="1"/>
    </xf>
    <xf numFmtId="0" fontId="1" fillId="0" borderId="0" xfId="0" applyFont="1" applyProtection="1">
      <protection locked="0"/>
    </xf>
    <xf numFmtId="2" fontId="5" fillId="0" borderId="0" xfId="0" applyNumberFormat="1" applyFont="1" applyAlignment="1" applyProtection="1">
      <alignment horizontal="right" vertical="center"/>
      <protection hidden="1"/>
    </xf>
    <xf numFmtId="0" fontId="0" fillId="11" borderId="15" xfId="0" applyFill="1" applyBorder="1" applyProtection="1"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/>
      <protection locked="0"/>
    </xf>
    <xf numFmtId="165" fontId="0" fillId="11" borderId="15" xfId="0" applyNumberFormat="1" applyFill="1" applyBorder="1" applyAlignment="1" applyProtection="1">
      <alignment horizontal="right"/>
      <protection locked="0"/>
    </xf>
    <xf numFmtId="0" fontId="0" fillId="11" borderId="15" xfId="0" applyFill="1" applyBorder="1" applyAlignment="1" applyProtection="1">
      <alignment horizontal="right"/>
      <protection locked="0"/>
    </xf>
    <xf numFmtId="0" fontId="0" fillId="7" borderId="16" xfId="0" applyFill="1" applyBorder="1" applyProtection="1">
      <protection locked="0"/>
    </xf>
    <xf numFmtId="0" fontId="0" fillId="7" borderId="17" xfId="0" applyFill="1" applyBorder="1" applyProtection="1">
      <protection locked="0"/>
    </xf>
    <xf numFmtId="0" fontId="0" fillId="7" borderId="18" xfId="0" applyFill="1" applyBorder="1" applyProtection="1">
      <protection locked="0"/>
    </xf>
    <xf numFmtId="0" fontId="38" fillId="13" borderId="3" xfId="0" applyFont="1" applyFill="1" applyBorder="1" applyAlignment="1" applyProtection="1">
      <alignment horizontal="center" vertical="center"/>
      <protection locked="0"/>
    </xf>
    <xf numFmtId="0" fontId="12" fillId="14" borderId="19" xfId="0" applyFont="1" applyFill="1" applyBorder="1" applyAlignment="1">
      <alignment horizontal="center" vertical="center"/>
    </xf>
    <xf numFmtId="0" fontId="1" fillId="48" borderId="1" xfId="0" applyFont="1" applyFill="1" applyBorder="1" applyProtection="1">
      <protection locked="0"/>
    </xf>
    <xf numFmtId="165" fontId="5" fillId="0" borderId="0" xfId="0" quotePrefix="1" applyNumberFormat="1" applyFont="1" applyAlignment="1" applyProtection="1">
      <alignment horizontal="center" vertical="center"/>
      <protection hidden="1"/>
    </xf>
    <xf numFmtId="0" fontId="31" fillId="7" borderId="1" xfId="0" applyFont="1" applyFill="1" applyBorder="1" applyProtection="1">
      <protection locked="0"/>
    </xf>
    <xf numFmtId="0" fontId="12" fillId="48" borderId="20" xfId="0" applyFont="1" applyFill="1" applyBorder="1" applyAlignment="1">
      <alignment horizontal="center" vertical="center"/>
    </xf>
    <xf numFmtId="0" fontId="11" fillId="14" borderId="1" xfId="0" applyFont="1" applyFill="1" applyBorder="1" applyAlignment="1" applyProtection="1">
      <alignment horizontal="center" vertical="center"/>
      <protection hidden="1"/>
    </xf>
    <xf numFmtId="0" fontId="11" fillId="15" borderId="1" xfId="0" applyFont="1" applyFill="1" applyBorder="1" applyAlignment="1" applyProtection="1">
      <alignment horizontal="center" vertical="center"/>
      <protection hidden="1"/>
    </xf>
    <xf numFmtId="0" fontId="12" fillId="48" borderId="24" xfId="0" applyFont="1" applyFill="1" applyBorder="1" applyAlignment="1">
      <alignment horizontal="center" vertical="center"/>
    </xf>
    <xf numFmtId="0" fontId="12" fillId="48" borderId="25" xfId="0" applyFont="1" applyFill="1" applyBorder="1" applyAlignment="1">
      <alignment horizontal="center" vertical="center"/>
    </xf>
    <xf numFmtId="0" fontId="10" fillId="8" borderId="26" xfId="0" applyFont="1" applyFill="1" applyBorder="1" applyAlignment="1" applyProtection="1">
      <alignment horizontal="center" vertical="center"/>
      <protection hidden="1"/>
    </xf>
    <xf numFmtId="0" fontId="10" fillId="4" borderId="26" xfId="0" applyFont="1" applyFill="1" applyBorder="1" applyAlignment="1" applyProtection="1">
      <alignment horizontal="center" vertical="center"/>
      <protection hidden="1"/>
    </xf>
    <xf numFmtId="0" fontId="0" fillId="48" borderId="27" xfId="0" applyFill="1" applyBorder="1" applyProtection="1">
      <protection locked="0"/>
    </xf>
    <xf numFmtId="0" fontId="41" fillId="48" borderId="28" xfId="0" applyFont="1" applyFill="1" applyBorder="1" applyAlignment="1">
      <alignment vertical="center" wrapText="1"/>
    </xf>
    <xf numFmtId="0" fontId="41" fillId="48" borderId="0" xfId="0" applyFont="1" applyFill="1" applyAlignment="1">
      <alignment horizontal="left" vertical="center"/>
    </xf>
    <xf numFmtId="0" fontId="41" fillId="48" borderId="0" xfId="0" applyFont="1" applyFill="1" applyAlignment="1">
      <alignment vertical="center" wrapText="1"/>
    </xf>
    <xf numFmtId="0" fontId="0" fillId="48" borderId="29" xfId="0" applyFill="1" applyBorder="1" applyProtection="1">
      <protection locked="0"/>
    </xf>
    <xf numFmtId="0" fontId="12" fillId="48" borderId="28" xfId="0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42" fillId="13" borderId="22" xfId="0" applyFont="1" applyFill="1" applyBorder="1" applyAlignment="1">
      <alignment vertical="center" wrapText="1"/>
    </xf>
    <xf numFmtId="0" fontId="42" fillId="13" borderId="23" xfId="0" applyFont="1" applyFill="1" applyBorder="1" applyAlignment="1">
      <alignment vertical="center" wrapText="1"/>
    </xf>
    <xf numFmtId="0" fontId="42" fillId="13" borderId="21" xfId="0" applyFont="1" applyFill="1" applyBorder="1" applyAlignment="1">
      <alignment vertical="center" wrapText="1"/>
    </xf>
    <xf numFmtId="0" fontId="43" fillId="7" borderId="23" xfId="0" applyFont="1" applyFill="1" applyBorder="1" applyAlignment="1">
      <alignment vertical="top" wrapText="1"/>
    </xf>
    <xf numFmtId="0" fontId="1" fillId="2" borderId="1" xfId="0" applyFont="1" applyFill="1" applyBorder="1" applyAlignment="1" applyProtection="1">
      <alignment horizontal="center" vertical="center"/>
      <protection hidden="1"/>
    </xf>
    <xf numFmtId="0" fontId="1" fillId="3" borderId="1" xfId="0" applyFont="1" applyFill="1" applyBorder="1" applyAlignment="1" applyProtection="1">
      <alignment horizontal="center" vertical="center"/>
      <protection hidden="1"/>
    </xf>
    <xf numFmtId="0" fontId="1" fillId="4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 applyProtection="1">
      <alignment horizontal="center" vertical="center"/>
      <protection hidden="1"/>
    </xf>
    <xf numFmtId="0" fontId="1" fillId="5" borderId="1" xfId="0" applyFont="1" applyFill="1" applyBorder="1" applyAlignment="1" applyProtection="1">
      <alignment horizontal="center" vertical="center" wrapText="1"/>
      <protection hidden="1"/>
    </xf>
    <xf numFmtId="0" fontId="0" fillId="0" borderId="0" xfId="0" quotePrefix="1" applyAlignment="1" applyProtection="1">
      <alignment horizontal="center" vertical="center"/>
      <protection hidden="1"/>
    </xf>
    <xf numFmtId="0" fontId="0" fillId="49" borderId="1" xfId="0" applyFill="1" applyBorder="1" applyAlignment="1" applyProtection="1">
      <alignment horizontal="center" vertical="center"/>
      <protection hidden="1"/>
    </xf>
    <xf numFmtId="0" fontId="2" fillId="7" borderId="1" xfId="0" quotePrefix="1" applyFont="1" applyFill="1" applyBorder="1" applyAlignment="1" applyProtection="1">
      <alignment horizontal="left"/>
      <protection hidden="1"/>
    </xf>
    <xf numFmtId="0" fontId="0" fillId="11" borderId="1" xfId="0" applyFill="1" applyBorder="1" applyAlignment="1" applyProtection="1">
      <alignment horizontal="left"/>
      <protection locked="0"/>
    </xf>
    <xf numFmtId="0" fontId="0" fillId="11" borderId="1" xfId="0" applyFill="1" applyBorder="1" applyAlignment="1" applyProtection="1">
      <alignment horizontal="left" vertical="center"/>
      <protection locked="0"/>
    </xf>
    <xf numFmtId="0" fontId="0" fillId="7" borderId="3" xfId="0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hidden="1"/>
    </xf>
    <xf numFmtId="0" fontId="45" fillId="7" borderId="14" xfId="0" applyFont="1" applyFill="1" applyBorder="1"/>
    <xf numFmtId="0" fontId="0" fillId="49" borderId="1" xfId="0" quotePrefix="1" applyFill="1" applyBorder="1" applyAlignment="1" applyProtection="1">
      <alignment horizontal="center" vertical="center"/>
      <protection hidden="1"/>
    </xf>
    <xf numFmtId="0" fontId="0" fillId="7" borderId="21" xfId="0" applyFill="1" applyBorder="1" applyProtection="1">
      <protection locked="0"/>
    </xf>
    <xf numFmtId="0" fontId="0" fillId="7" borderId="22" xfId="0" applyFill="1" applyBorder="1" applyProtection="1">
      <protection locked="0"/>
    </xf>
    <xf numFmtId="0" fontId="0" fillId="7" borderId="23" xfId="0" applyFill="1" applyBorder="1" applyProtection="1">
      <protection locked="0"/>
    </xf>
    <xf numFmtId="0" fontId="7" fillId="7" borderId="21" xfId="0" applyFont="1" applyFill="1" applyBorder="1" applyAlignment="1" applyProtection="1">
      <alignment horizontal="center" vertical="center" wrapText="1"/>
      <protection locked="0"/>
    </xf>
    <xf numFmtId="0" fontId="7" fillId="7" borderId="22" xfId="0" applyFont="1" applyFill="1" applyBorder="1" applyAlignment="1" applyProtection="1">
      <alignment horizontal="center" vertical="center" wrapText="1"/>
      <protection locked="0"/>
    </xf>
    <xf numFmtId="0" fontId="7" fillId="7" borderId="23" xfId="0" applyFont="1" applyFill="1" applyBorder="1" applyAlignment="1" applyProtection="1">
      <alignment horizontal="center" vertical="center" wrapText="1"/>
      <protection locked="0"/>
    </xf>
    <xf numFmtId="0" fontId="29" fillId="7" borderId="14" xfId="0" applyFont="1" applyFill="1" applyBorder="1" applyAlignment="1">
      <alignment horizontal="center"/>
    </xf>
    <xf numFmtId="0" fontId="46" fillId="7" borderId="21" xfId="0" applyFont="1" applyFill="1" applyBorder="1" applyAlignment="1">
      <alignment horizontal="left" vertical="top" wrapText="1"/>
    </xf>
    <xf numFmtId="0" fontId="46" fillId="7" borderId="22" xfId="0" applyFont="1" applyFill="1" applyBorder="1" applyAlignment="1">
      <alignment vertical="top" wrapText="1"/>
    </xf>
    <xf numFmtId="0" fontId="0" fillId="7" borderId="22" xfId="0" applyFill="1" applyBorder="1"/>
    <xf numFmtId="0" fontId="46" fillId="7" borderId="22" xfId="0" applyFont="1" applyFill="1" applyBorder="1" applyAlignment="1">
      <alignment horizontal="left" vertical="top" wrapText="1"/>
    </xf>
    <xf numFmtId="0" fontId="40" fillId="7" borderId="21" xfId="0" applyFont="1" applyFill="1" applyBorder="1" applyAlignment="1">
      <alignment horizontal="center" vertical="center" wrapText="1"/>
    </xf>
    <xf numFmtId="0" fontId="40" fillId="7" borderId="22" xfId="0" applyFont="1" applyFill="1" applyBorder="1" applyAlignment="1">
      <alignment horizontal="center" vertical="center" wrapText="1"/>
    </xf>
    <xf numFmtId="0" fontId="40" fillId="7" borderId="23" xfId="0" applyFont="1" applyFill="1" applyBorder="1" applyAlignment="1">
      <alignment horizontal="center" vertical="center" wrapText="1"/>
    </xf>
    <xf numFmtId="0" fontId="34" fillId="7" borderId="21" xfId="0" applyFont="1" applyFill="1" applyBorder="1" applyProtection="1">
      <protection locked="0"/>
    </xf>
    <xf numFmtId="0" fontId="34" fillId="7" borderId="22" xfId="0" applyFont="1" applyFill="1" applyBorder="1" applyProtection="1">
      <protection locked="0"/>
    </xf>
    <xf numFmtId="0" fontId="34" fillId="7" borderId="23" xfId="0" applyFont="1" applyFill="1" applyBorder="1" applyProtection="1">
      <protection locked="0"/>
    </xf>
    <xf numFmtId="0" fontId="28" fillId="7" borderId="21" xfId="0" applyFont="1" applyFill="1" applyBorder="1" applyAlignment="1">
      <alignment wrapText="1"/>
    </xf>
    <xf numFmtId="0" fontId="28" fillId="7" borderId="22" xfId="0" applyFont="1" applyFill="1" applyBorder="1" applyAlignment="1">
      <alignment wrapText="1"/>
    </xf>
    <xf numFmtId="0" fontId="28" fillId="7" borderId="23" xfId="0" applyFont="1" applyFill="1" applyBorder="1" applyAlignment="1">
      <alignment wrapText="1"/>
    </xf>
    <xf numFmtId="0" fontId="8" fillId="7" borderId="21" xfId="0" applyFont="1" applyFill="1" applyBorder="1" applyAlignment="1">
      <alignment horizontal="left" vertical="center" wrapText="1"/>
    </xf>
    <xf numFmtId="0" fontId="8" fillId="7" borderId="22" xfId="0" applyFont="1" applyFill="1" applyBorder="1" applyAlignment="1">
      <alignment horizontal="left" vertical="top" wrapText="1"/>
    </xf>
    <xf numFmtId="0" fontId="8" fillId="7" borderId="22" xfId="0" applyFont="1" applyFill="1" applyBorder="1" applyAlignment="1">
      <alignment horizontal="left" vertical="center" wrapText="1"/>
    </xf>
    <xf numFmtId="0" fontId="8" fillId="7" borderId="23" xfId="0" applyFont="1" applyFill="1" applyBorder="1" applyAlignment="1">
      <alignment horizontal="left" vertical="center" wrapText="1"/>
    </xf>
    <xf numFmtId="0" fontId="35" fillId="7" borderId="21" xfId="0" applyFont="1" applyFill="1" applyBorder="1" applyAlignment="1" applyProtection="1">
      <alignment horizontal="center" vertical="center"/>
      <protection locked="0"/>
    </xf>
    <xf numFmtId="0" fontId="35" fillId="7" borderId="22" xfId="0" applyFont="1" applyFill="1" applyBorder="1" applyAlignment="1" applyProtection="1">
      <alignment horizontal="center" vertical="center"/>
      <protection locked="0"/>
    </xf>
    <xf numFmtId="0" fontId="35" fillId="7" borderId="23" xfId="0" applyFon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0" fontId="10" fillId="13" borderId="26" xfId="0" applyFont="1" applyFill="1" applyBorder="1" applyAlignment="1" applyProtection="1">
      <alignment horizontal="center" vertical="center"/>
      <protection hidden="1"/>
    </xf>
    <xf numFmtId="0" fontId="11" fillId="48" borderId="1" xfId="0" applyFont="1" applyFill="1" applyBorder="1" applyAlignment="1" applyProtection="1">
      <alignment horizontal="center" vertical="center"/>
      <protection hidden="1"/>
    </xf>
    <xf numFmtId="2" fontId="47" fillId="0" borderId="0" xfId="0" applyNumberFormat="1" applyFont="1" applyAlignment="1" applyProtection="1">
      <alignment horizontal="right" vertical="center"/>
      <protection hidden="1"/>
    </xf>
    <xf numFmtId="164" fontId="47" fillId="0" borderId="0" xfId="0" applyNumberFormat="1" applyFont="1" applyAlignment="1" applyProtection="1">
      <alignment horizontal="right" vertical="center"/>
      <protection hidden="1"/>
    </xf>
    <xf numFmtId="0" fontId="0" fillId="50" borderId="21" xfId="0" applyFill="1" applyBorder="1" applyAlignment="1" applyProtection="1">
      <alignment horizontal="center"/>
      <protection locked="0"/>
    </xf>
    <xf numFmtId="0" fontId="0" fillId="50" borderId="22" xfId="0" applyFill="1" applyBorder="1" applyAlignment="1" applyProtection="1">
      <alignment horizontal="center"/>
      <protection locked="0"/>
    </xf>
    <xf numFmtId="0" fontId="0" fillId="50" borderId="23" xfId="0" applyFill="1" applyBorder="1" applyAlignment="1" applyProtection="1">
      <alignment horizontal="center"/>
      <protection locked="0"/>
    </xf>
    <xf numFmtId="164" fontId="5" fillId="0" borderId="0" xfId="0" applyNumberFormat="1" applyFont="1" applyAlignment="1" applyProtection="1">
      <alignment horizontal="center" vertical="center"/>
      <protection hidden="1"/>
    </xf>
    <xf numFmtId="0" fontId="5" fillId="0" borderId="0" xfId="0" quotePrefix="1" applyFont="1" applyAlignment="1" applyProtection="1">
      <alignment horizontal="center" vertical="center"/>
      <protection hidden="1"/>
    </xf>
    <xf numFmtId="0" fontId="0" fillId="7" borderId="0" xfId="0" applyFill="1" applyProtection="1">
      <protection locked="0"/>
    </xf>
    <xf numFmtId="0" fontId="48" fillId="7" borderId="3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vertical="center"/>
      <protection hidden="1"/>
    </xf>
    <xf numFmtId="165" fontId="26" fillId="0" borderId="0" xfId="0" applyNumberFormat="1" applyFont="1" applyAlignment="1" applyProtection="1">
      <alignment horizontal="center" vertical="center"/>
      <protection hidden="1"/>
    </xf>
    <xf numFmtId="0" fontId="26" fillId="0" borderId="0" xfId="0" applyFont="1" applyAlignment="1" applyProtection="1">
      <alignment horizontal="center" vertical="center"/>
      <protection hidden="1"/>
    </xf>
    <xf numFmtId="1" fontId="49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26" fillId="0" borderId="0" xfId="0" quotePrefix="1" applyNumberFormat="1" applyFont="1" applyAlignment="1" applyProtection="1">
      <alignment vertical="center"/>
      <protection hidden="1"/>
    </xf>
    <xf numFmtId="0" fontId="26" fillId="0" borderId="0" xfId="0" quotePrefix="1" applyFont="1" applyAlignment="1" applyProtection="1">
      <alignment vertical="center"/>
      <protection hidden="1"/>
    </xf>
    <xf numFmtId="0" fontId="50" fillId="0" borderId="0" xfId="0" applyFont="1" applyAlignment="1" applyProtection="1">
      <alignment vertical="center"/>
      <protection hidden="1"/>
    </xf>
    <xf numFmtId="165" fontId="50" fillId="0" borderId="0" xfId="0" applyNumberFormat="1" applyFont="1" applyAlignment="1" applyProtection="1">
      <alignment horizontal="center" vertical="center"/>
      <protection hidden="1"/>
    </xf>
    <xf numFmtId="0" fontId="50" fillId="0" borderId="0" xfId="0" applyFont="1" applyAlignment="1" applyProtection="1">
      <alignment horizontal="center" vertical="center"/>
      <protection hidden="1"/>
    </xf>
    <xf numFmtId="164" fontId="50" fillId="0" borderId="0" xfId="0" applyNumberFormat="1" applyFont="1" applyAlignment="1" applyProtection="1">
      <alignment horizontal="right" vertical="center"/>
      <protection hidden="1"/>
    </xf>
    <xf numFmtId="1" fontId="51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50" fillId="0" borderId="0" xfId="0" quotePrefix="1" applyNumberFormat="1" applyFont="1" applyAlignment="1" applyProtection="1">
      <alignment horizontal="center" vertical="center"/>
      <protection hidden="1"/>
    </xf>
    <xf numFmtId="165" fontId="50" fillId="0" borderId="0" xfId="0" quotePrefix="1" applyNumberFormat="1" applyFont="1" applyAlignment="1" applyProtection="1">
      <alignment vertical="center"/>
      <protection hidden="1"/>
    </xf>
    <xf numFmtId="165" fontId="50" fillId="0" borderId="0" xfId="0" applyNumberFormat="1" applyFont="1" applyAlignment="1" applyProtection="1">
      <alignment horizontal="left" vertical="center"/>
      <protection hidden="1"/>
    </xf>
    <xf numFmtId="0" fontId="50" fillId="0" borderId="0" xfId="0" quotePrefix="1" applyFont="1" applyAlignment="1" applyProtection="1">
      <alignment vertical="center"/>
      <protection hidden="1"/>
    </xf>
    <xf numFmtId="0" fontId="1" fillId="7" borderId="22" xfId="0" applyFont="1" applyFill="1" applyBorder="1" applyProtection="1">
      <protection locked="0"/>
    </xf>
    <xf numFmtId="0" fontId="26" fillId="0" borderId="0" xfId="0" applyFont="1" applyAlignment="1" applyProtection="1">
      <alignment horizontal="left" vertical="center"/>
      <protection hidden="1"/>
    </xf>
    <xf numFmtId="0" fontId="54" fillId="7" borderId="31" xfId="0" applyFont="1" applyFill="1" applyBorder="1" applyAlignment="1">
      <alignment horizontal="center" vertical="top" wrapText="1"/>
    </xf>
    <xf numFmtId="0" fontId="54" fillId="7" borderId="31" xfId="0" applyFont="1" applyFill="1" applyBorder="1" applyAlignment="1">
      <alignment horizontal="left" vertical="top" wrapText="1" indent="6"/>
    </xf>
    <xf numFmtId="0" fontId="54" fillId="7" borderId="31" xfId="0" applyFont="1" applyFill="1" applyBorder="1" applyAlignment="1">
      <alignment horizontal="left" vertical="top" wrapText="1" indent="2"/>
    </xf>
    <xf numFmtId="0" fontId="54" fillId="7" borderId="31" xfId="0" applyFont="1" applyFill="1" applyBorder="1" applyAlignment="1">
      <alignment horizontal="left" vertical="top" wrapText="1" indent="3"/>
    </xf>
    <xf numFmtId="0" fontId="55" fillId="7" borderId="16" xfId="0" applyFont="1" applyFill="1" applyBorder="1" applyAlignment="1">
      <alignment horizontal="left" vertical="center" wrapText="1"/>
    </xf>
    <xf numFmtId="0" fontId="55" fillId="7" borderId="17" xfId="0" applyFont="1" applyFill="1" applyBorder="1" applyAlignment="1">
      <alignment horizontal="center" vertical="center" wrapText="1"/>
    </xf>
    <xf numFmtId="0" fontId="55" fillId="7" borderId="17" xfId="0" applyFont="1" applyFill="1" applyBorder="1" applyAlignment="1">
      <alignment horizontal="left" vertical="center" wrapText="1"/>
    </xf>
    <xf numFmtId="0" fontId="55" fillId="7" borderId="18" xfId="0" applyFont="1" applyFill="1" applyBorder="1" applyAlignment="1">
      <alignment horizontal="left" vertical="center" wrapText="1"/>
    </xf>
    <xf numFmtId="0" fontId="47" fillId="0" borderId="0" xfId="0" applyFont="1" applyAlignment="1" applyProtection="1">
      <alignment vertical="center"/>
      <protection hidden="1"/>
    </xf>
    <xf numFmtId="165" fontId="47" fillId="0" borderId="0" xfId="0" applyNumberFormat="1" applyFont="1" applyAlignment="1" applyProtection="1">
      <alignment horizontal="center" vertical="center"/>
      <protection hidden="1"/>
    </xf>
    <xf numFmtId="0" fontId="47" fillId="0" borderId="0" xfId="0" applyFont="1" applyAlignment="1" applyProtection="1">
      <alignment horizontal="center" vertical="center"/>
      <protection hidden="1"/>
    </xf>
    <xf numFmtId="1" fontId="57" fillId="0" borderId="0" xfId="1" applyNumberFormat="1" applyFont="1" applyFill="1" applyBorder="1" applyAlignment="1" applyProtection="1">
      <alignment horizontal="center" vertical="center" wrapText="1"/>
      <protection hidden="1"/>
    </xf>
    <xf numFmtId="165" fontId="47" fillId="0" borderId="0" xfId="0" quotePrefix="1" applyNumberFormat="1" applyFont="1" applyAlignment="1" applyProtection="1">
      <alignment vertical="center"/>
      <protection hidden="1"/>
    </xf>
    <xf numFmtId="0" fontId="47" fillId="0" borderId="0" xfId="0" applyFont="1" applyAlignment="1" applyProtection="1">
      <alignment horizontal="left" vertical="center"/>
      <protection hidden="1"/>
    </xf>
    <xf numFmtId="0" fontId="47" fillId="0" borderId="0" xfId="0" quotePrefix="1" applyFont="1" applyAlignment="1" applyProtection="1">
      <alignment vertical="center"/>
      <protection hidden="1"/>
    </xf>
    <xf numFmtId="0" fontId="54" fillId="7" borderId="30" xfId="0" applyFont="1" applyFill="1" applyBorder="1" applyAlignment="1">
      <alignment horizontal="left" vertical="top" wrapText="1"/>
    </xf>
    <xf numFmtId="0" fontId="54" fillId="7" borderId="30" xfId="0" applyFont="1" applyFill="1" applyBorder="1" applyAlignment="1">
      <alignment horizontal="right" vertical="top" wrapText="1"/>
    </xf>
    <xf numFmtId="165" fontId="47" fillId="0" borderId="0" xfId="0" applyNumberFormat="1" applyFont="1" applyAlignment="1" applyProtection="1">
      <alignment horizontal="left" vertical="center"/>
      <protection hidden="1"/>
    </xf>
    <xf numFmtId="0" fontId="0" fillId="0" borderId="0" xfId="0" applyAlignment="1" applyProtection="1">
      <alignment horizontal="left" vertical="top"/>
      <protection locked="0"/>
    </xf>
    <xf numFmtId="0" fontId="1" fillId="0" borderId="0" xfId="0" applyFont="1"/>
    <xf numFmtId="0" fontId="58" fillId="13" borderId="32" xfId="0" applyFont="1" applyFill="1" applyBorder="1" applyAlignment="1">
      <alignment horizontal="center" vertical="top" wrapText="1"/>
    </xf>
    <xf numFmtId="0" fontId="58" fillId="13" borderId="33" xfId="0" applyFont="1" applyFill="1" applyBorder="1" applyAlignment="1">
      <alignment horizontal="left" vertical="top" wrapText="1" indent="2"/>
    </xf>
    <xf numFmtId="0" fontId="0" fillId="13" borderId="33" xfId="0" applyFill="1" applyBorder="1" applyAlignment="1">
      <alignment horizontal="left" vertical="center" wrapText="1"/>
    </xf>
    <xf numFmtId="0" fontId="58" fillId="13" borderId="33" xfId="0" applyFont="1" applyFill="1" applyBorder="1" applyAlignment="1">
      <alignment horizontal="left" vertical="top" wrapText="1" indent="3"/>
    </xf>
    <xf numFmtId="0" fontId="58" fillId="13" borderId="33" xfId="0" applyFont="1" applyFill="1" applyBorder="1" applyAlignment="1">
      <alignment horizontal="left" vertical="top" wrapText="1" indent="5"/>
    </xf>
    <xf numFmtId="0" fontId="58" fillId="13" borderId="33" xfId="0" applyFont="1" applyFill="1" applyBorder="1" applyAlignment="1">
      <alignment horizontal="center" vertical="top" wrapText="1"/>
    </xf>
    <xf numFmtId="0" fontId="58" fillId="13" borderId="34" xfId="0" applyFont="1" applyFill="1" applyBorder="1" applyAlignment="1">
      <alignment horizontal="right" vertical="top" wrapText="1" indent="3"/>
    </xf>
    <xf numFmtId="0" fontId="60" fillId="7" borderId="35" xfId="0" applyFont="1" applyFill="1" applyBorder="1" applyAlignment="1">
      <alignment horizontal="center" vertical="top" wrapText="1"/>
    </xf>
    <xf numFmtId="0" fontId="60" fillId="7" borderId="35" xfId="0" applyFont="1" applyFill="1" applyBorder="1" applyAlignment="1">
      <alignment horizontal="left" vertical="top" wrapText="1" indent="1"/>
    </xf>
    <xf numFmtId="0" fontId="60" fillId="7" borderId="35" xfId="0" applyFont="1" applyFill="1" applyBorder="1" applyAlignment="1">
      <alignment horizontal="left" vertical="top" wrapText="1" indent="2"/>
    </xf>
    <xf numFmtId="0" fontId="61" fillId="51" borderId="1" xfId="0" applyFont="1" applyFill="1" applyBorder="1" applyAlignment="1">
      <alignment horizontal="center" vertical="top" wrapText="1"/>
    </xf>
    <xf numFmtId="0" fontId="61" fillId="51" borderId="1" xfId="0" applyFont="1" applyFill="1" applyBorder="1" applyAlignment="1">
      <alignment vertical="top" wrapText="1"/>
    </xf>
    <xf numFmtId="14" fontId="0" fillId="0" borderId="1" xfId="0" applyNumberFormat="1" applyBorder="1" applyAlignment="1" applyProtection="1">
      <alignment horizontal="center" vertical="center"/>
      <protection hidden="1"/>
    </xf>
    <xf numFmtId="14" fontId="2" fillId="7" borderId="1" xfId="0" quotePrefix="1" applyNumberFormat="1" applyFont="1" applyFill="1" applyBorder="1" applyAlignment="1" applyProtection="1">
      <alignment horizontal="left"/>
      <protection hidden="1"/>
    </xf>
    <xf numFmtId="14" fontId="0" fillId="11" borderId="15" xfId="0" applyNumberFormat="1" applyFill="1" applyBorder="1" applyAlignment="1" applyProtection="1">
      <alignment horizontal="center" vertical="center"/>
      <protection locked="0"/>
    </xf>
    <xf numFmtId="14" fontId="61" fillId="51" borderId="1" xfId="0" applyNumberFormat="1" applyFont="1" applyFill="1" applyBorder="1" applyAlignment="1">
      <alignment vertical="top" wrapText="1"/>
    </xf>
    <xf numFmtId="14" fontId="0" fillId="0" borderId="0" xfId="0" applyNumberFormat="1" applyProtection="1">
      <protection locked="0"/>
    </xf>
    <xf numFmtId="0" fontId="55" fillId="7" borderId="16" xfId="0" applyFont="1" applyFill="1" applyBorder="1" applyAlignment="1">
      <alignment horizontal="center" vertical="center" wrapText="1"/>
    </xf>
    <xf numFmtId="0" fontId="55" fillId="7" borderId="18" xfId="0" applyFont="1" applyFill="1" applyBorder="1" applyAlignment="1">
      <alignment horizontal="center" vertical="center" wrapText="1"/>
    </xf>
    <xf numFmtId="0" fontId="0" fillId="7" borderId="21" xfId="0" applyFill="1" applyBorder="1" applyAlignment="1" applyProtection="1">
      <alignment horizontal="center"/>
      <protection locked="0"/>
    </xf>
    <xf numFmtId="0" fontId="0" fillId="7" borderId="22" xfId="0" applyFill="1" applyBorder="1" applyAlignment="1" applyProtection="1">
      <alignment horizontal="center"/>
      <protection locked="0"/>
    </xf>
    <xf numFmtId="0" fontId="64" fillId="7" borderId="14" xfId="0" applyFont="1" applyFill="1" applyBorder="1" applyAlignment="1">
      <alignment horizontal="center" vertical="top" wrapText="1"/>
    </xf>
    <xf numFmtId="0" fontId="65" fillId="7" borderId="14" xfId="0" applyFont="1" applyFill="1" applyBorder="1" applyAlignment="1">
      <alignment horizontal="center" vertical="top" wrapText="1"/>
    </xf>
    <xf numFmtId="0" fontId="66" fillId="7" borderId="21" xfId="0" applyFont="1" applyFill="1" applyBorder="1" applyAlignment="1">
      <alignment horizontal="left" vertical="center" wrapText="1" indent="1"/>
    </xf>
    <xf numFmtId="0" fontId="66" fillId="7" borderId="22" xfId="0" applyFont="1" applyFill="1" applyBorder="1" applyAlignment="1">
      <alignment horizontal="left" vertical="center" wrapText="1"/>
    </xf>
    <xf numFmtId="0" fontId="66" fillId="7" borderId="22" xfId="0" applyFont="1" applyFill="1" applyBorder="1" applyAlignment="1">
      <alignment horizontal="right" vertical="center" wrapText="1" indent="1"/>
    </xf>
    <xf numFmtId="0" fontId="66" fillId="7" borderId="22" xfId="0" applyFont="1" applyFill="1" applyBorder="1" applyAlignment="1">
      <alignment horizontal="right" vertical="center" wrapText="1"/>
    </xf>
    <xf numFmtId="0" fontId="66" fillId="7" borderId="23" xfId="0" applyFont="1" applyFill="1" applyBorder="1" applyAlignment="1">
      <alignment horizontal="right" vertical="center" wrapText="1" indent="1"/>
    </xf>
    <xf numFmtId="0" fontId="0" fillId="11" borderId="15" xfId="0" applyFill="1" applyBorder="1" applyAlignment="1" applyProtection="1">
      <alignment horizontal="left"/>
      <protection locked="0"/>
    </xf>
    <xf numFmtId="0" fontId="0" fillId="11" borderId="15" xfId="0" applyFill="1" applyBorder="1" applyAlignment="1" applyProtection="1">
      <alignment horizontal="left" vertical="center"/>
      <protection locked="0"/>
    </xf>
    <xf numFmtId="0" fontId="67" fillId="52" borderId="21" xfId="0" applyFont="1" applyFill="1" applyBorder="1" applyAlignment="1">
      <alignment horizontal="center" vertical="center" wrapText="1"/>
    </xf>
    <xf numFmtId="0" fontId="67" fillId="52" borderId="22" xfId="0" applyFont="1" applyFill="1" applyBorder="1" applyAlignment="1">
      <alignment horizontal="center" vertical="center" wrapText="1"/>
    </xf>
    <xf numFmtId="0" fontId="67" fillId="52" borderId="23" xfId="0" applyFont="1" applyFill="1" applyBorder="1" applyAlignment="1">
      <alignment horizontal="center" vertical="center" wrapText="1"/>
    </xf>
    <xf numFmtId="0" fontId="60" fillId="13" borderId="21" xfId="0" applyFont="1" applyFill="1" applyBorder="1" applyAlignment="1">
      <alignment horizontal="center" vertical="center" wrapText="1"/>
    </xf>
    <xf numFmtId="0" fontId="60" fillId="13" borderId="22" xfId="0" applyFont="1" applyFill="1" applyBorder="1" applyAlignment="1">
      <alignment horizontal="center" vertical="center" wrapText="1"/>
    </xf>
    <xf numFmtId="0" fontId="60" fillId="13" borderId="23" xfId="0" applyFont="1" applyFill="1" applyBorder="1" applyAlignment="1">
      <alignment horizontal="center" vertical="center" wrapText="1"/>
    </xf>
    <xf numFmtId="0" fontId="68" fillId="13" borderId="21" xfId="0" applyFont="1" applyFill="1" applyBorder="1" applyAlignment="1">
      <alignment horizontal="center" vertical="top"/>
    </xf>
    <xf numFmtId="0" fontId="68" fillId="13" borderId="22" xfId="0" applyFont="1" applyFill="1" applyBorder="1" applyAlignment="1">
      <alignment horizontal="left" vertical="top"/>
    </xf>
    <xf numFmtId="0" fontId="68" fillId="13" borderId="22" xfId="0" applyFont="1" applyFill="1" applyBorder="1" applyAlignment="1">
      <alignment horizontal="center" vertical="top"/>
    </xf>
    <xf numFmtId="0" fontId="68" fillId="13" borderId="23" xfId="0" applyFont="1" applyFill="1" applyBorder="1" applyAlignment="1">
      <alignment horizontal="left" vertical="top"/>
    </xf>
    <xf numFmtId="0" fontId="54" fillId="13" borderId="21" xfId="0" applyFont="1" applyFill="1" applyBorder="1" applyAlignment="1">
      <alignment horizontal="center" vertical="center"/>
    </xf>
    <xf numFmtId="0" fontId="54" fillId="13" borderId="22" xfId="0" applyFont="1" applyFill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0" fillId="13" borderId="3" xfId="0" applyFill="1" applyBorder="1" applyAlignment="1" applyProtection="1">
      <alignment horizontal="center" vertical="center"/>
      <protection locked="0"/>
    </xf>
    <xf numFmtId="0" fontId="0" fillId="13" borderId="18" xfId="0" applyFill="1" applyBorder="1" applyProtection="1">
      <protection locked="0"/>
    </xf>
    <xf numFmtId="0" fontId="5" fillId="6" borderId="0" xfId="0" applyFont="1" applyFill="1" applyAlignment="1" applyProtection="1">
      <alignment vertical="center"/>
      <protection hidden="1"/>
    </xf>
    <xf numFmtId="165" fontId="5" fillId="6" borderId="0" xfId="0" applyNumberFormat="1" applyFont="1" applyFill="1" applyAlignment="1" applyProtection="1">
      <alignment horizontal="center" vertical="center"/>
      <protection hidden="1"/>
    </xf>
    <xf numFmtId="0" fontId="5" fillId="6" borderId="0" xfId="0" applyFont="1" applyFill="1" applyAlignment="1" applyProtection="1">
      <alignment horizontal="center" vertical="center"/>
      <protection hidden="1"/>
    </xf>
    <xf numFmtId="164" fontId="5" fillId="6" borderId="0" xfId="0" applyNumberFormat="1" applyFont="1" applyFill="1" applyAlignment="1" applyProtection="1">
      <alignment horizontal="right" vertical="center"/>
      <protection hidden="1"/>
    </xf>
    <xf numFmtId="1" fontId="6" fillId="6" borderId="0" xfId="1" applyNumberFormat="1" applyFont="1" applyFill="1" applyBorder="1" applyAlignment="1" applyProtection="1">
      <alignment horizontal="center" vertical="center" wrapText="1"/>
      <protection hidden="1"/>
    </xf>
    <xf numFmtId="165" fontId="5" fillId="6" borderId="0" xfId="0" quotePrefix="1" applyNumberFormat="1" applyFont="1" applyFill="1" applyAlignment="1" applyProtection="1">
      <alignment vertical="center"/>
      <protection hidden="1"/>
    </xf>
    <xf numFmtId="0" fontId="5" fillId="6" borderId="0" xfId="0" applyFont="1" applyFill="1" applyAlignment="1" applyProtection="1">
      <alignment horizontal="left" vertical="center"/>
      <protection hidden="1"/>
    </xf>
    <xf numFmtId="0" fontId="5" fillId="6" borderId="0" xfId="0" quotePrefix="1" applyFont="1" applyFill="1" applyAlignment="1" applyProtection="1">
      <alignment vertical="center"/>
      <protection hidden="1"/>
    </xf>
    <xf numFmtId="0" fontId="70" fillId="7" borderId="22" xfId="0" applyFont="1" applyFill="1" applyBorder="1" applyAlignment="1">
      <alignment horizontal="center" vertical="center" wrapText="1"/>
    </xf>
    <xf numFmtId="0" fontId="70" fillId="7" borderId="22" xfId="0" applyFont="1" applyFill="1" applyBorder="1" applyAlignment="1">
      <alignment horizontal="left" vertical="center" wrapText="1"/>
    </xf>
    <xf numFmtId="0" fontId="70" fillId="7" borderId="23" xfId="0" applyFont="1" applyFill="1" applyBorder="1" applyAlignment="1">
      <alignment horizontal="center" vertical="center" wrapText="1"/>
    </xf>
    <xf numFmtId="166" fontId="0" fillId="0" borderId="1" xfId="0" applyNumberFormat="1" applyBorder="1" applyAlignment="1" applyProtection="1">
      <alignment horizontal="center" vertical="center"/>
      <protection hidden="1"/>
    </xf>
    <xf numFmtId="166" fontId="2" fillId="7" borderId="1" xfId="0" quotePrefix="1" applyNumberFormat="1" applyFont="1" applyFill="1" applyBorder="1" applyAlignment="1" applyProtection="1">
      <alignment horizontal="left"/>
      <protection hidden="1"/>
    </xf>
    <xf numFmtId="166" fontId="0" fillId="11" borderId="15" xfId="0" applyNumberFormat="1" applyFill="1" applyBorder="1" applyProtection="1">
      <protection locked="0"/>
    </xf>
    <xf numFmtId="166" fontId="70" fillId="7" borderId="21" xfId="0" applyNumberFormat="1" applyFont="1" applyFill="1" applyBorder="1" applyAlignment="1">
      <alignment horizontal="center" vertical="center" wrapText="1"/>
    </xf>
    <xf numFmtId="166" fontId="0" fillId="0" borderId="0" xfId="0" applyNumberFormat="1" applyProtection="1">
      <protection locked="0"/>
    </xf>
    <xf numFmtId="0" fontId="0" fillId="13" borderId="21" xfId="0" applyFill="1" applyBorder="1" applyProtection="1">
      <protection locked="0"/>
    </xf>
    <xf numFmtId="0" fontId="0" fillId="13" borderId="22" xfId="0" applyFill="1" applyBorder="1" applyProtection="1">
      <protection locked="0"/>
    </xf>
    <xf numFmtId="0" fontId="0" fillId="13" borderId="23" xfId="0" applyFill="1" applyBorder="1" applyProtection="1">
      <protection locked="0"/>
    </xf>
    <xf numFmtId="0" fontId="0" fillId="8" borderId="1" xfId="0" applyFill="1" applyBorder="1" applyProtection="1">
      <protection locked="0" hidden="1"/>
    </xf>
    <xf numFmtId="0" fontId="0" fillId="8" borderId="1" xfId="0" applyFill="1" applyBorder="1" applyAlignment="1" applyProtection="1">
      <alignment horizontal="center"/>
      <protection locked="0" hidden="1"/>
    </xf>
    <xf numFmtId="14" fontId="0" fillId="8" borderId="1" xfId="0" applyNumberFormat="1" applyFill="1" applyBorder="1" applyAlignment="1" applyProtection="1">
      <alignment horizontal="center"/>
      <protection locked="0" hidden="1"/>
    </xf>
    <xf numFmtId="0" fontId="0" fillId="4" borderId="28" xfId="0" applyFill="1" applyBorder="1" applyProtection="1">
      <protection locked="0"/>
    </xf>
    <xf numFmtId="0" fontId="0" fillId="4" borderId="29" xfId="0" applyFill="1" applyBorder="1" applyProtection="1">
      <protection locked="0"/>
    </xf>
    <xf numFmtId="0" fontId="0" fillId="4" borderId="29" xfId="0" applyFill="1" applyBorder="1"/>
    <xf numFmtId="0" fontId="0" fillId="8" borderId="40" xfId="0" applyFill="1" applyBorder="1" applyAlignment="1" applyProtection="1">
      <alignment vertical="center"/>
      <protection locked="0" hidden="1"/>
    </xf>
    <xf numFmtId="0" fontId="0" fillId="53" borderId="41" xfId="0" applyFill="1" applyBorder="1" applyAlignment="1" applyProtection="1">
      <alignment horizontal="center" vertical="center"/>
      <protection locked="0"/>
    </xf>
    <xf numFmtId="14" fontId="0" fillId="53" borderId="41" xfId="0" applyNumberFormat="1" applyFill="1" applyBorder="1" applyAlignment="1" applyProtection="1">
      <alignment horizontal="center" vertical="center"/>
      <protection locked="0"/>
    </xf>
    <xf numFmtId="0" fontId="0" fillId="15" borderId="24" xfId="0" applyFill="1" applyBorder="1"/>
    <xf numFmtId="0" fontId="0" fillId="15" borderId="25" xfId="0" applyFill="1" applyBorder="1"/>
    <xf numFmtId="0" fontId="0" fillId="15" borderId="27" xfId="0" applyFill="1" applyBorder="1"/>
    <xf numFmtId="0" fontId="0" fillId="15" borderId="28" xfId="0" applyFill="1" applyBorder="1" applyProtection="1">
      <protection locked="0"/>
    </xf>
    <xf numFmtId="0" fontId="0" fillId="15" borderId="0" xfId="0" applyFill="1" applyProtection="1">
      <protection locked="0"/>
    </xf>
    <xf numFmtId="0" fontId="0" fillId="15" borderId="29" xfId="0" applyFill="1" applyBorder="1" applyProtection="1">
      <protection locked="0"/>
    </xf>
    <xf numFmtId="0" fontId="54" fillId="7" borderId="30" xfId="44" applyFont="1" applyFill="1" applyBorder="1" applyAlignment="1">
      <alignment horizontal="center" vertical="center" wrapText="1"/>
    </xf>
    <xf numFmtId="0" fontId="54" fillId="7" borderId="32" xfId="44" applyFont="1" applyFill="1" applyBorder="1" applyAlignment="1">
      <alignment horizontal="center" vertical="center" wrapText="1"/>
    </xf>
    <xf numFmtId="0" fontId="54" fillId="7" borderId="34" xfId="44" applyFont="1" applyFill="1" applyBorder="1" applyAlignment="1">
      <alignment horizontal="center" vertical="center" wrapText="1"/>
    </xf>
    <xf numFmtId="0" fontId="10" fillId="48" borderId="46" xfId="0" applyFont="1" applyFill="1" applyBorder="1" applyAlignment="1">
      <alignment wrapText="1"/>
    </xf>
    <xf numFmtId="0" fontId="10" fillId="48" borderId="43" xfId="0" applyFont="1" applyFill="1" applyBorder="1" applyAlignment="1">
      <alignment vertical="top"/>
    </xf>
    <xf numFmtId="0" fontId="10" fillId="48" borderId="43" xfId="0" applyFont="1" applyFill="1" applyBorder="1" applyAlignment="1">
      <alignment horizontal="left" vertical="center"/>
    </xf>
    <xf numFmtId="0" fontId="41" fillId="7" borderId="49" xfId="0" applyFont="1" applyFill="1" applyBorder="1" applyAlignment="1">
      <alignment wrapText="1"/>
    </xf>
    <xf numFmtId="0" fontId="41" fillId="7" borderId="50" xfId="0" applyFont="1" applyFill="1" applyBorder="1" applyAlignment="1">
      <alignment vertical="top" wrapText="1"/>
    </xf>
    <xf numFmtId="0" fontId="0" fillId="15" borderId="42" xfId="0" applyFill="1" applyBorder="1" applyProtection="1">
      <protection locked="0"/>
    </xf>
    <xf numFmtId="0" fontId="0" fillId="15" borderId="43" xfId="0" applyFill="1" applyBorder="1" applyProtection="1">
      <protection locked="0"/>
    </xf>
    <xf numFmtId="0" fontId="0" fillId="15" borderId="44" xfId="0" applyFill="1" applyBorder="1" applyProtection="1">
      <protection locked="0"/>
    </xf>
    <xf numFmtId="0" fontId="29" fillId="52" borderId="21" xfId="0" applyFont="1" applyFill="1" applyBorder="1" applyAlignment="1" applyProtection="1">
      <alignment horizontal="center" vertical="center"/>
      <protection locked="0"/>
    </xf>
    <xf numFmtId="0" fontId="29" fillId="52" borderId="22" xfId="0" applyFont="1" applyFill="1" applyBorder="1" applyAlignment="1" applyProtection="1">
      <alignment horizontal="center" vertical="center"/>
      <protection locked="0"/>
    </xf>
    <xf numFmtId="0" fontId="29" fillId="52" borderId="51" xfId="0" applyFont="1" applyFill="1" applyBorder="1" applyAlignment="1" applyProtection="1">
      <alignment horizontal="center" vertical="center"/>
      <protection locked="0"/>
    </xf>
    <xf numFmtId="164" fontId="29" fillId="52" borderId="51" xfId="0" applyNumberFormat="1" applyFont="1" applyFill="1" applyBorder="1" applyAlignment="1" applyProtection="1">
      <alignment horizontal="center" vertical="center"/>
      <protection locked="0"/>
    </xf>
    <xf numFmtId="164" fontId="29" fillId="52" borderId="22" xfId="0" applyNumberFormat="1" applyFont="1" applyFill="1" applyBorder="1" applyAlignment="1" applyProtection="1">
      <alignment horizontal="center" vertical="center"/>
      <protection locked="0"/>
    </xf>
    <xf numFmtId="0" fontId="29" fillId="52" borderId="23" xfId="0" quotePrefix="1" applyFont="1" applyFill="1" applyBorder="1" applyAlignment="1" applyProtection="1">
      <alignment horizontal="center" vertical="center"/>
      <protection locked="0"/>
    </xf>
    <xf numFmtId="14" fontId="0" fillId="11" borderId="15" xfId="0" applyNumberFormat="1" applyFill="1" applyBorder="1" applyProtection="1">
      <protection locked="0"/>
    </xf>
    <xf numFmtId="14" fontId="34" fillId="7" borderId="21" xfId="0" applyNumberFormat="1" applyFont="1" applyFill="1" applyBorder="1" applyProtection="1">
      <protection locked="0"/>
    </xf>
    <xf numFmtId="0" fontId="41" fillId="7" borderId="46" xfId="0" applyFont="1" applyFill="1" applyBorder="1" applyAlignment="1" applyProtection="1">
      <alignment horizontal="left"/>
      <protection locked="0"/>
    </xf>
    <xf numFmtId="0" fontId="41" fillId="7" borderId="48" xfId="0" applyFont="1" applyFill="1" applyBorder="1" applyAlignment="1" applyProtection="1">
      <alignment horizontal="left" vertical="top"/>
      <protection locked="0"/>
    </xf>
    <xf numFmtId="0" fontId="41" fillId="13" borderId="45" xfId="0" applyFont="1" applyFill="1" applyBorder="1" applyAlignment="1">
      <alignment wrapText="1"/>
    </xf>
    <xf numFmtId="0" fontId="41" fillId="13" borderId="47" xfId="0" applyFont="1" applyFill="1" applyBorder="1" applyAlignment="1">
      <alignment vertical="top" wrapText="1"/>
    </xf>
    <xf numFmtId="0" fontId="31" fillId="0" borderId="1" xfId="0" applyFont="1" applyBorder="1" applyAlignment="1" applyProtection="1">
      <alignment vertical="center"/>
      <protection locked="0" hidden="1"/>
    </xf>
    <xf numFmtId="165" fontId="31" fillId="0" borderId="1" xfId="0" applyNumberFormat="1" applyFont="1" applyBorder="1" applyAlignment="1" applyProtection="1">
      <alignment horizontal="center" vertical="center"/>
      <protection locked="0" hidden="1"/>
    </xf>
    <xf numFmtId="0" fontId="31" fillId="0" borderId="1" xfId="0" applyFont="1" applyBorder="1" applyAlignment="1" applyProtection="1">
      <alignment horizontal="center" vertical="center"/>
      <protection locked="0" hidden="1"/>
    </xf>
    <xf numFmtId="164" fontId="31" fillId="0" borderId="1" xfId="0" applyNumberFormat="1" applyFont="1" applyBorder="1" applyAlignment="1" applyProtection="1">
      <alignment horizontal="right" vertical="center"/>
      <protection locked="0" hidden="1"/>
    </xf>
    <xf numFmtId="1" fontId="73" fillId="0" borderId="1" xfId="1" applyNumberFormat="1" applyFont="1" applyFill="1" applyBorder="1" applyAlignment="1" applyProtection="1">
      <alignment horizontal="center" vertical="center" wrapText="1"/>
      <protection locked="0" hidden="1"/>
    </xf>
    <xf numFmtId="165" fontId="31" fillId="0" borderId="1" xfId="0" quotePrefix="1" applyNumberFormat="1" applyFont="1" applyBorder="1" applyAlignment="1" applyProtection="1">
      <alignment horizontal="center" vertical="center"/>
      <protection locked="0" hidden="1"/>
    </xf>
    <xf numFmtId="165" fontId="31" fillId="0" borderId="1" xfId="0" quotePrefix="1" applyNumberFormat="1" applyFont="1" applyBorder="1" applyAlignment="1" applyProtection="1">
      <alignment vertical="center"/>
      <protection locked="0" hidden="1"/>
    </xf>
    <xf numFmtId="165" fontId="31" fillId="0" borderId="1" xfId="0" applyNumberFormat="1" applyFont="1" applyBorder="1" applyAlignment="1" applyProtection="1">
      <alignment horizontal="left" vertical="center"/>
      <protection locked="0" hidden="1"/>
    </xf>
    <xf numFmtId="0" fontId="31" fillId="0" borderId="1" xfId="0" quotePrefix="1" applyFont="1" applyBorder="1" applyAlignment="1" applyProtection="1">
      <alignment vertical="center"/>
      <protection locked="0" hidden="1"/>
    </xf>
    <xf numFmtId="0" fontId="32" fillId="13" borderId="21" xfId="0" applyFont="1" applyFill="1" applyBorder="1" applyAlignment="1">
      <alignment horizontal="center" vertical="center"/>
    </xf>
    <xf numFmtId="0" fontId="32" fillId="13" borderId="22" xfId="0" applyFont="1" applyFill="1" applyBorder="1" applyAlignment="1">
      <alignment horizontal="center" vertical="center"/>
    </xf>
    <xf numFmtId="0" fontId="0" fillId="13" borderId="22" xfId="0" applyFill="1" applyBorder="1" applyAlignment="1">
      <alignment horizontal="center" vertical="center"/>
    </xf>
    <xf numFmtId="0" fontId="32" fillId="13" borderId="23" xfId="0" applyFont="1" applyFill="1" applyBorder="1" applyAlignment="1">
      <alignment horizontal="center" vertical="center"/>
    </xf>
    <xf numFmtId="0" fontId="0" fillId="13" borderId="21" xfId="0" applyFill="1" applyBorder="1" applyAlignment="1">
      <alignment horizontal="center"/>
    </xf>
    <xf numFmtId="0" fontId="0" fillId="13" borderId="22" xfId="0" applyFill="1" applyBorder="1" applyAlignment="1">
      <alignment horizontal="center"/>
    </xf>
    <xf numFmtId="0" fontId="0" fillId="13" borderId="23" xfId="0" applyFill="1" applyBorder="1" applyAlignment="1">
      <alignment horizontal="center"/>
    </xf>
    <xf numFmtId="1" fontId="49" fillId="0" borderId="0" xfId="1" quotePrefix="1" applyNumberFormat="1" applyFont="1" applyFill="1" applyBorder="1" applyAlignment="1" applyProtection="1">
      <alignment horizontal="center" vertical="center" wrapText="1"/>
      <protection hidden="1"/>
    </xf>
    <xf numFmtId="0" fontId="74" fillId="0" borderId="52" xfId="0" applyFont="1" applyBorder="1" applyAlignment="1" applyProtection="1">
      <alignment horizontal="left" vertical="center" wrapText="1"/>
      <protection locked="0"/>
    </xf>
    <xf numFmtId="0" fontId="0" fillId="0" borderId="0" xfId="0" applyAlignment="1">
      <alignment horizontal="left"/>
    </xf>
    <xf numFmtId="0" fontId="60" fillId="13" borderId="22" xfId="0" applyFont="1" applyFill="1" applyBorder="1" applyAlignment="1">
      <alignment vertical="center" wrapText="1"/>
    </xf>
    <xf numFmtId="0" fontId="0" fillId="13" borderId="53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76" fillId="13" borderId="0" xfId="0" applyFont="1" applyFill="1" applyAlignment="1">
      <alignment horizontal="center" vertical="center"/>
    </xf>
    <xf numFmtId="0" fontId="76" fillId="13" borderId="54" xfId="0" applyFont="1" applyFill="1" applyBorder="1" applyAlignment="1">
      <alignment horizontal="center" vertical="center"/>
    </xf>
    <xf numFmtId="1" fontId="6" fillId="0" borderId="0" xfId="1" quotePrefix="1" applyNumberFormat="1" applyFont="1" applyFill="1" applyBorder="1" applyAlignment="1" applyProtection="1">
      <alignment horizontal="center" vertical="center" wrapText="1"/>
      <protection hidden="1"/>
    </xf>
    <xf numFmtId="0" fontId="77" fillId="13" borderId="55" xfId="0" applyFont="1" applyFill="1" applyBorder="1" applyAlignment="1">
      <alignment horizontal="center" vertical="center" wrapText="1"/>
    </xf>
    <xf numFmtId="0" fontId="77" fillId="13" borderId="55" xfId="0" applyFont="1" applyFill="1" applyBorder="1" applyAlignment="1">
      <alignment vertical="center" wrapText="1"/>
    </xf>
    <xf numFmtId="0" fontId="4" fillId="0" borderId="0" xfId="47" applyProtection="1">
      <protection locked="0"/>
    </xf>
    <xf numFmtId="1" fontId="73" fillId="0" borderId="1" xfId="1" quotePrefix="1" applyNumberFormat="1" applyFont="1" applyFill="1" applyBorder="1" applyAlignment="1" applyProtection="1">
      <alignment horizontal="center" vertical="center" wrapText="1"/>
      <protection locked="0" hidden="1"/>
    </xf>
    <xf numFmtId="0" fontId="34" fillId="13" borderId="1" xfId="0" applyFont="1" applyFill="1" applyBorder="1" applyProtection="1">
      <protection locked="0"/>
    </xf>
    <xf numFmtId="0" fontId="0" fillId="13" borderId="1" xfId="0" applyFill="1" applyBorder="1" applyProtection="1">
      <protection locked="0"/>
    </xf>
    <xf numFmtId="0" fontId="78" fillId="13" borderId="1" xfId="0" applyFont="1" applyFill="1" applyBorder="1" applyProtection="1">
      <protection locked="0"/>
    </xf>
    <xf numFmtId="0" fontId="1" fillId="13" borderId="1" xfId="0" applyFont="1" applyFill="1" applyBorder="1" applyProtection="1">
      <protection locked="0"/>
    </xf>
    <xf numFmtId="0" fontId="80" fillId="13" borderId="1" xfId="44" applyFont="1" applyFill="1" applyBorder="1" applyAlignment="1">
      <alignment horizontal="center" vertical="center" wrapText="1"/>
    </xf>
    <xf numFmtId="0" fontId="81" fillId="13" borderId="1" xfId="44" applyFont="1" applyFill="1" applyBorder="1" applyAlignment="1">
      <alignment horizontal="center" vertical="center" wrapText="1"/>
    </xf>
    <xf numFmtId="0" fontId="81" fillId="13" borderId="1" xfId="44" applyFont="1" applyFill="1" applyBorder="1" applyAlignment="1">
      <alignment horizontal="left" vertical="center" wrapText="1"/>
    </xf>
    <xf numFmtId="0" fontId="33" fillId="13" borderId="1" xfId="44" applyFill="1" applyBorder="1" applyAlignment="1">
      <alignment horizontal="left" vertical="center" wrapText="1"/>
    </xf>
    <xf numFmtId="0" fontId="29" fillId="54" borderId="57" xfId="44" applyFont="1" applyFill="1" applyBorder="1" applyAlignment="1">
      <alignment horizontal="right" vertical="top" wrapText="1" indent="3"/>
    </xf>
    <xf numFmtId="0" fontId="29" fillId="54" borderId="56" xfId="44" applyFont="1" applyFill="1" applyBorder="1" applyAlignment="1">
      <alignment horizontal="right" vertical="top" wrapText="1" indent="1"/>
    </xf>
    <xf numFmtId="0" fontId="29" fillId="54" borderId="57" xfId="44" applyFont="1" applyFill="1" applyBorder="1" applyAlignment="1">
      <alignment horizontal="center" vertical="top" wrapText="1"/>
    </xf>
    <xf numFmtId="0" fontId="29" fillId="54" borderId="58" xfId="44" applyFont="1" applyFill="1" applyBorder="1" applyAlignment="1">
      <alignment horizontal="right" vertical="top" wrapText="1" indent="1"/>
    </xf>
    <xf numFmtId="0" fontId="83" fillId="7" borderId="30" xfId="0" applyFont="1" applyFill="1" applyBorder="1" applyAlignment="1">
      <alignment horizontal="center" vertical="center" wrapText="1"/>
    </xf>
    <xf numFmtId="0" fontId="3" fillId="7" borderId="30" xfId="0" applyFont="1" applyFill="1" applyBorder="1" applyAlignment="1">
      <alignment horizontal="center" vertical="center" wrapText="1"/>
    </xf>
    <xf numFmtId="0" fontId="84" fillId="55" borderId="30" xfId="0" applyFont="1" applyFill="1" applyBorder="1" applyAlignment="1">
      <alignment horizontal="center" vertical="center" wrapText="1"/>
    </xf>
    <xf numFmtId="0" fontId="0" fillId="55" borderId="30" xfId="0" applyFill="1" applyBorder="1" applyAlignment="1">
      <alignment horizontal="center" vertical="center" wrapText="1"/>
    </xf>
    <xf numFmtId="165" fontId="26" fillId="0" borderId="0" xfId="0" applyNumberFormat="1" applyFont="1" applyAlignment="1" applyProtection="1">
      <alignment horizontal="left" vertical="center"/>
      <protection hidden="1"/>
    </xf>
    <xf numFmtId="0" fontId="85" fillId="12" borderId="59" xfId="0" applyFont="1" applyFill="1" applyBorder="1" applyAlignment="1">
      <alignment vertical="center"/>
    </xf>
    <xf numFmtId="0" fontId="85" fillId="12" borderId="60" xfId="0" applyFont="1" applyFill="1" applyBorder="1" applyAlignment="1">
      <alignment vertical="center"/>
    </xf>
    <xf numFmtId="0" fontId="85" fillId="12" borderId="61" xfId="0" applyFont="1" applyFill="1" applyBorder="1" applyAlignment="1">
      <alignment horizontal="center" vertical="center"/>
    </xf>
    <xf numFmtId="0" fontId="85" fillId="12" borderId="62" xfId="0" applyFont="1" applyFill="1" applyBorder="1" applyAlignment="1">
      <alignment vertical="center"/>
    </xf>
    <xf numFmtId="0" fontId="81" fillId="13" borderId="1" xfId="44" applyFont="1" applyFill="1" applyBorder="1" applyAlignment="1">
      <alignment horizontal="left" vertical="center" wrapText="1"/>
    </xf>
    <xf numFmtId="0" fontId="80" fillId="13" borderId="1" xfId="44" applyFont="1" applyFill="1" applyBorder="1" applyAlignment="1">
      <alignment horizontal="left" vertical="center" wrapText="1"/>
    </xf>
    <xf numFmtId="0" fontId="9" fillId="12" borderId="4" xfId="0" applyFont="1" applyFill="1" applyBorder="1" applyAlignment="1" applyProtection="1">
      <alignment horizontal="left" vertical="center" wrapText="1"/>
      <protection locked="0"/>
    </xf>
    <xf numFmtId="0" fontId="0" fillId="13" borderId="46" xfId="0" applyFill="1" applyBorder="1" applyAlignment="1">
      <alignment horizontal="center" vertical="center"/>
    </xf>
    <xf numFmtId="0" fontId="29" fillId="54" borderId="57" xfId="44" applyFont="1" applyFill="1" applyBorder="1" applyAlignment="1">
      <alignment horizontal="left" vertical="top" wrapText="1" indent="1"/>
    </xf>
    <xf numFmtId="0" fontId="29" fillId="54" borderId="57" xfId="44" applyFont="1" applyFill="1" applyBorder="1" applyAlignment="1">
      <alignment horizontal="left" vertical="top" wrapText="1"/>
    </xf>
    <xf numFmtId="0" fontId="29" fillId="54" borderId="57" xfId="44" applyFont="1" applyFill="1" applyBorder="1" applyAlignment="1">
      <alignment horizontal="right" vertical="top" wrapText="1" indent="3"/>
    </xf>
    <xf numFmtId="0" fontId="9" fillId="12" borderId="4" xfId="0" applyFont="1" applyFill="1" applyBorder="1" applyAlignment="1" applyProtection="1">
      <alignment horizontal="center" vertical="center" wrapText="1"/>
      <protection locked="0"/>
    </xf>
    <xf numFmtId="0" fontId="40" fillId="7" borderId="22" xfId="0" applyFont="1" applyFill="1" applyBorder="1" applyAlignment="1">
      <alignment horizontal="center" vertical="center" wrapText="1"/>
    </xf>
    <xf numFmtId="0" fontId="84" fillId="55" borderId="32" xfId="0" applyFont="1" applyFill="1" applyBorder="1" applyAlignment="1">
      <alignment horizontal="center" vertical="center" wrapText="1"/>
    </xf>
    <xf numFmtId="0" fontId="84" fillId="55" borderId="34" xfId="0" applyFont="1" applyFill="1" applyBorder="1" applyAlignment="1">
      <alignment horizontal="center" vertical="center" wrapText="1"/>
    </xf>
    <xf numFmtId="0" fontId="60" fillId="7" borderId="36" xfId="0" applyFont="1" applyFill="1" applyBorder="1" applyAlignment="1">
      <alignment horizontal="left" vertical="top" wrapText="1" indent="5"/>
    </xf>
    <xf numFmtId="0" fontId="60" fillId="7" borderId="37" xfId="0" applyFont="1" applyFill="1" applyBorder="1" applyAlignment="1">
      <alignment horizontal="left" vertical="top" wrapText="1" indent="5"/>
    </xf>
    <xf numFmtId="0" fontId="66" fillId="7" borderId="22" xfId="0" applyFont="1" applyFill="1" applyBorder="1" applyAlignment="1">
      <alignment horizontal="left" vertical="center" wrapText="1" indent="1"/>
    </xf>
    <xf numFmtId="0" fontId="66" fillId="7" borderId="22" xfId="0" applyFont="1" applyFill="1" applyBorder="1" applyAlignment="1">
      <alignment horizontal="left" vertical="center" wrapText="1"/>
    </xf>
    <xf numFmtId="0" fontId="8" fillId="7" borderId="22" xfId="0" applyFont="1" applyFill="1" applyBorder="1" applyAlignment="1">
      <alignment horizontal="left" vertical="top" wrapText="1"/>
    </xf>
    <xf numFmtId="0" fontId="64" fillId="7" borderId="38" xfId="0" applyFont="1" applyFill="1" applyBorder="1" applyAlignment="1">
      <alignment horizontal="center" vertical="top" wrapText="1"/>
    </xf>
    <xf numFmtId="0" fontId="64" fillId="7" borderId="39" xfId="0" applyFont="1" applyFill="1" applyBorder="1" applyAlignment="1">
      <alignment horizontal="center" vertical="top" wrapText="1"/>
    </xf>
    <xf numFmtId="0" fontId="72" fillId="4" borderId="24" xfId="0" applyFont="1" applyFill="1" applyBorder="1" applyAlignment="1" applyProtection="1">
      <alignment horizontal="center" vertical="center"/>
      <protection locked="0"/>
    </xf>
    <xf numFmtId="0" fontId="72" fillId="4" borderId="27" xfId="0" applyFont="1" applyFill="1" applyBorder="1" applyAlignment="1" applyProtection="1">
      <alignment horizontal="center" vertical="center"/>
      <protection locked="0"/>
    </xf>
  </cellXfs>
  <cellStyles count="49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rmal 2" xfId="1" xr:uid="{00000000-0005-0000-0000-000025000000}"/>
    <cellStyle name="Normal 3" xfId="43" xr:uid="{00000000-0005-0000-0000-000026000000}"/>
    <cellStyle name="Normal 4" xfId="44" xr:uid="{00000000-0005-0000-0000-000027000000}"/>
    <cellStyle name="Normal 5" xfId="45" xr:uid="{00000000-0005-0000-0000-000028000000}"/>
    <cellStyle name="Normal 6" xfId="46" xr:uid="{00000000-0005-0000-0000-000029000000}"/>
    <cellStyle name="Normal 7" xfId="47" xr:uid="{00000000-0005-0000-0000-00002A000000}"/>
    <cellStyle name="Normal 8" xfId="48" xr:uid="{F1107232-2FF0-4D89-8B3D-A99B4406BABF}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7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FF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71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fmlaLink="M9" lockText="1" noThreeD="1"/>
</file>

<file path=xl/ctrlProps/ctrlProp2.xml><?xml version="1.0" encoding="utf-8"?>
<formControlPr xmlns="http://schemas.microsoft.com/office/spreadsheetml/2009/9/main" objectType="CheckBox" fmlaLink="M10" lockText="1" noThreeD="1"/>
</file>

<file path=xl/ctrlProps/ctrlProp3.xml><?xml version="1.0" encoding="utf-8"?>
<formControlPr xmlns="http://schemas.microsoft.com/office/spreadsheetml/2009/9/main" objectType="CheckBox" fmlaLink="M11" lockText="1" noThreeD="1"/>
</file>

<file path=xl/ctrlProps/ctrlProp4.xml><?xml version="1.0" encoding="utf-8"?>
<formControlPr xmlns="http://schemas.microsoft.com/office/spreadsheetml/2009/9/main" objectType="CheckBox" checked="Checked" fmlaLink="M12" lockText="1" noThreeD="1"/>
</file>

<file path=xl/ctrlProps/ctrlProp5.xml><?xml version="1.0" encoding="utf-8"?>
<formControlPr xmlns="http://schemas.microsoft.com/office/spreadsheetml/2009/9/main" objectType="CheckBox" fmlaLink="M13" lockText="1" noThreeD="1"/>
</file>

<file path=xl/ctrlProps/ctrlProp6.xml><?xml version="1.0" encoding="utf-8"?>
<formControlPr xmlns="http://schemas.microsoft.com/office/spreadsheetml/2009/9/main" objectType="CheckBox" checked="Checked" fmlaLink="M14" lockText="1" noThreeD="1"/>
</file>

<file path=xl/ctrlProps/ctrlProp7.xml><?xml version="1.0" encoding="utf-8"?>
<formControlPr xmlns="http://schemas.microsoft.com/office/spreadsheetml/2009/9/main" objectType="CheckBox" fmlaLink="M15" lockText="1" noThreeD="1"/>
</file>

<file path=xl/ctrlProps/ctrlProp8.xml><?xml version="1.0" encoding="utf-8"?>
<formControlPr xmlns="http://schemas.microsoft.com/office/spreadsheetml/2009/9/main" objectType="CheckBox" fmlaLink="M16" lockText="1" noThreeD="1"/>
</file>

<file path=xl/ctrlProps/ctrlProp9.xml><?xml version="1.0" encoding="utf-8"?>
<formControlPr xmlns="http://schemas.microsoft.com/office/spreadsheetml/2009/9/main" objectType="CheckBox" fmlaLink="M17" lockText="1" noThreeD="1"/>
</file>

<file path=xl/ctrlProps/ctrlProp10.xml><?xml version="1.0" encoding="utf-8"?>
<formControlPr xmlns="http://schemas.microsoft.com/office/spreadsheetml/2009/9/main" objectType="CheckBox" fmlaLink="M18" lockText="1" noThreeD="1"/>
</file>

<file path=xl/ctrlProps/ctrlProp11.xml><?xml version="1.0" encoding="utf-8"?>
<formControlPr xmlns="http://schemas.microsoft.com/office/spreadsheetml/2009/9/main" objectType="CheckBox" fmlaLink="M19" lockText="1" noThreeD="1"/>
</file>

<file path=xl/ctrlProps/ctrlProp12.xml><?xml version="1.0" encoding="utf-8"?>
<formControlPr xmlns="http://schemas.microsoft.com/office/spreadsheetml/2009/9/main" objectType="CheckBox" fmlaLink="M20" lockText="1" noThreeD="1"/>
</file>

<file path=xl/ctrlProps/ctrlProp13.xml><?xml version="1.0" encoding="utf-8"?>
<formControlPr xmlns="http://schemas.microsoft.com/office/spreadsheetml/2009/9/main" objectType="CheckBox" fmlaLink="M21" lockText="1" noThreeD="1"/>
</file>

<file path=xl/ctrlProps/ctrlProp14.xml><?xml version="1.0" encoding="utf-8"?>
<formControlPr xmlns="http://schemas.microsoft.com/office/spreadsheetml/2009/9/main" objectType="CheckBox" fmlaLink="M22" lockText="1" noThreeD="1"/>
</file>

<file path=xl/ctrlProps/ctrlProp15.xml><?xml version="1.0" encoding="utf-8"?>
<formControlPr xmlns="http://schemas.microsoft.com/office/spreadsheetml/2009/9/main" objectType="CheckBox" fmlaLink="M23" lockText="1" noThreeD="1"/>
</file>

<file path=xl/ctrlProps/ctrlProp16.xml><?xml version="1.0" encoding="utf-8"?>
<formControlPr xmlns="http://schemas.microsoft.com/office/spreadsheetml/2009/9/main" objectType="CheckBox" fmlaLink="M24" lockText="1" noThreeD="1"/>
</file>

<file path=xl/ctrlProps/ctrlProp17.xml><?xml version="1.0" encoding="utf-8"?>
<formControlPr xmlns="http://schemas.microsoft.com/office/spreadsheetml/2009/9/main" objectType="CheckBox" fmlaLink="M25" lockText="1" noThreeD="1"/>
</file>

<file path=xl/ctrlProps/ctrlProp18.xml><?xml version="1.0" encoding="utf-8"?>
<formControlPr xmlns="http://schemas.microsoft.com/office/spreadsheetml/2009/9/main" objectType="CheckBox" fmlaLink="M26" lockText="1" noThreeD="1"/>
</file>

<file path=xl/ctrlProps/ctrlProp19.xml><?xml version="1.0" encoding="utf-8"?>
<formControlPr xmlns="http://schemas.microsoft.com/office/spreadsheetml/2009/9/main" objectType="CheckBox" fmlaLink="M27" lockText="1" noThreeD="1"/>
</file>

<file path=xl/ctrlProps/ctrlProp20.xml><?xml version="1.0" encoding="utf-8"?>
<formControlPr xmlns="http://schemas.microsoft.com/office/spreadsheetml/2009/9/main" objectType="CheckBox" fmlaLink="M28" lockText="1" noThreeD="1"/>
</file>

<file path=xl/ctrlProps/ctrlProp21.xml><?xml version="1.0" encoding="utf-8"?>
<formControlPr xmlns="http://schemas.microsoft.com/office/spreadsheetml/2009/9/main" objectType="CheckBox" fmlaLink="M29" lockText="1" noThreeD="1"/>
</file>

<file path=xl/ctrlProps/ctrlProp22.xml><?xml version="1.0" encoding="utf-8"?>
<formControlPr xmlns="http://schemas.microsoft.com/office/spreadsheetml/2009/9/main" objectType="CheckBox" fmlaLink="M30" lockText="1" noThreeD="1"/>
</file>

<file path=xl/ctrlProps/ctrlProp23.xml><?xml version="1.0" encoding="utf-8"?>
<formControlPr xmlns="http://schemas.microsoft.com/office/spreadsheetml/2009/9/main" objectType="CheckBox" fmlaLink="M31" lockText="1" noThreeD="1"/>
</file>

<file path=xl/ctrlProps/ctrlProp24.xml><?xml version="1.0" encoding="utf-8"?>
<formControlPr xmlns="http://schemas.microsoft.com/office/spreadsheetml/2009/9/main" objectType="CheckBox" fmlaLink="M32" lockText="1" noThreeD="1"/>
</file>

<file path=xl/ctrlProps/ctrlProp25.xml><?xml version="1.0" encoding="utf-8"?>
<formControlPr xmlns="http://schemas.microsoft.com/office/spreadsheetml/2009/9/main" objectType="CheckBox" fmlaLink="M33" lockText="1" noThreeD="1"/>
</file>

<file path=xl/ctrlProps/ctrlProp26.xml><?xml version="1.0" encoding="utf-8"?>
<formControlPr xmlns="http://schemas.microsoft.com/office/spreadsheetml/2009/9/main" objectType="CheckBox" fmlaLink="M34" lockText="1" noThreeD="1"/>
</file>

<file path=xl/ctrlProps/ctrlProp27.xml><?xml version="1.0" encoding="utf-8"?>
<formControlPr xmlns="http://schemas.microsoft.com/office/spreadsheetml/2009/9/main" objectType="CheckBox" checked="Checked" fmlaLink="M35" lockText="1" noThreeD="1"/>
</file>

<file path=xl/ctrlProps/ctrlProp28.xml><?xml version="1.0" encoding="utf-8"?>
<formControlPr xmlns="http://schemas.microsoft.com/office/spreadsheetml/2009/9/main" objectType="CheckBox" fmlaLink="M36" lockText="1" noThreeD="1"/>
</file>

<file path=xl/ctrlProps/ctrlProp29.xml><?xml version="1.0" encoding="utf-8"?>
<formControlPr xmlns="http://schemas.microsoft.com/office/spreadsheetml/2009/9/main" objectType="CheckBox" fmlaLink="M37" lockText="1" noThreeD="1"/>
</file>

<file path=xl/ctrlProps/ctrlProp30.xml><?xml version="1.0" encoding="utf-8"?>
<formControlPr xmlns="http://schemas.microsoft.com/office/spreadsheetml/2009/9/main" objectType="CheckBox" fmlaLink="M38" lockText="1" noThreeD="1"/>
</file>

<file path=xl/ctrlProps/ctrlProp31.xml><?xml version="1.0" encoding="utf-8"?>
<formControlPr xmlns="http://schemas.microsoft.com/office/spreadsheetml/2009/9/main" objectType="CheckBox" fmlaLink="M39" lockText="1" noThreeD="1"/>
</file>

<file path=xl/ctrlProps/ctrlProp32.xml><?xml version="1.0" encoding="utf-8"?>
<formControlPr xmlns="http://schemas.microsoft.com/office/spreadsheetml/2009/9/main" objectType="CheckBox" fmlaLink="M40" lockText="1" noThreeD="1"/>
</file>

<file path=xl/ctrlProps/ctrlProp33.xml><?xml version="1.0" encoding="utf-8"?>
<formControlPr xmlns="http://schemas.microsoft.com/office/spreadsheetml/2009/9/main" objectType="CheckBox" fmlaLink="M41" lockText="1" noThreeD="1"/>
</file>

<file path=xl/ctrlProps/ctrlProp34.xml><?xml version="1.0" encoding="utf-8"?>
<formControlPr xmlns="http://schemas.microsoft.com/office/spreadsheetml/2009/9/main" objectType="CheckBox" fmlaLink="M42" lockText="1" noThreeD="1"/>
</file>

<file path=xl/ctrlProps/ctrlProp35.xml><?xml version="1.0" encoding="utf-8"?>
<formControlPr xmlns="http://schemas.microsoft.com/office/spreadsheetml/2009/9/main" objectType="CheckBox" fmlaLink="M43" lockText="1" noThreeD="1"/>
</file>

<file path=xl/ctrlProps/ctrlProp36.xml><?xml version="1.0" encoding="utf-8"?>
<formControlPr xmlns="http://schemas.microsoft.com/office/spreadsheetml/2009/9/main" objectType="CheckBox" fmlaLink="M44" lockText="1" noThreeD="1"/>
</file>

<file path=xl/ctrlProps/ctrlProp37.xml><?xml version="1.0" encoding="utf-8"?>
<formControlPr xmlns="http://schemas.microsoft.com/office/spreadsheetml/2009/9/main" objectType="CheckBox" fmlaLink="M45" lockText="1" noThreeD="1"/>
</file>

<file path=xl/ctrlProps/ctrlProp38.xml><?xml version="1.0" encoding="utf-8"?>
<formControlPr xmlns="http://schemas.microsoft.com/office/spreadsheetml/2009/9/main" objectType="CheckBox" fmlaLink="M46" lockText="1" noThreeD="1"/>
</file>

<file path=xl/ctrlProps/ctrlProp39.xml><?xml version="1.0" encoding="utf-8"?>
<formControlPr xmlns="http://schemas.microsoft.com/office/spreadsheetml/2009/9/main" objectType="CheckBox" fmlaLink="M47" lockText="1" noThreeD="1"/>
</file>

<file path=xl/ctrlProps/ctrlProp40.xml><?xml version="1.0" encoding="utf-8"?>
<formControlPr xmlns="http://schemas.microsoft.com/office/spreadsheetml/2009/9/main" objectType="CheckBox" fmlaLink="M48" lockText="1" noThreeD="1"/>
</file>

<file path=xl/ctrlProps/ctrlProp41.xml><?xml version="1.0" encoding="utf-8"?>
<formControlPr xmlns="http://schemas.microsoft.com/office/spreadsheetml/2009/9/main" objectType="CheckBox" fmlaLink="M49" lockText="1" noThreeD="1"/>
</file>

<file path=xl/ctrlProps/ctrlProp42.xml><?xml version="1.0" encoding="utf-8"?>
<formControlPr xmlns="http://schemas.microsoft.com/office/spreadsheetml/2009/9/main" objectType="CheckBox" fmlaLink="M50" lockText="1" noThreeD="1"/>
</file>

<file path=xl/ctrlProps/ctrlProp43.xml><?xml version="1.0" encoding="utf-8"?>
<formControlPr xmlns="http://schemas.microsoft.com/office/spreadsheetml/2009/9/main" objectType="CheckBox" fmlaLink="M51" lockText="1" noThreeD="1"/>
</file>

<file path=xl/ctrlProps/ctrlProp44.xml><?xml version="1.0" encoding="utf-8"?>
<formControlPr xmlns="http://schemas.microsoft.com/office/spreadsheetml/2009/9/main" objectType="CheckBox" fmlaLink="M52" lockText="1" noThreeD="1"/>
</file>

<file path=xl/ctrlProps/ctrlProp45.xml><?xml version="1.0" encoding="utf-8"?>
<formControlPr xmlns="http://schemas.microsoft.com/office/spreadsheetml/2009/9/main" objectType="CheckBox" fmlaLink="M53" lockText="1" noThreeD="1"/>
</file>

<file path=xl/ctrlProps/ctrlProp46.xml><?xml version="1.0" encoding="utf-8"?>
<formControlPr xmlns="http://schemas.microsoft.com/office/spreadsheetml/2009/9/main" objectType="CheckBox" fmlaLink="M54" lockText="1" noThreeD="1"/>
</file>

<file path=xl/ctrlProps/ctrlProp47.xml><?xml version="1.0" encoding="utf-8"?>
<formControlPr xmlns="http://schemas.microsoft.com/office/spreadsheetml/2009/9/main" objectType="CheckBox" checked="Checked" fmlaLink="M55" lockText="1" noThreeD="1"/>
</file>

<file path=xl/ctrlProps/ctrlProp48.xml><?xml version="1.0" encoding="utf-8"?>
<formControlPr xmlns="http://schemas.microsoft.com/office/spreadsheetml/2009/9/main" objectType="CheckBox" checked="Checked" fmlaLink="M56" lockText="1" noThreeD="1"/>
</file>

<file path=xl/ctrlProps/ctrlProp49.xml><?xml version="1.0" encoding="utf-8"?>
<formControlPr xmlns="http://schemas.microsoft.com/office/spreadsheetml/2009/9/main" objectType="CheckBox" checked="Checked" fmlaLink="M57" lockText="1" noThreeD="1"/>
</file>

<file path=xl/ctrlProps/ctrlProp50.xml><?xml version="1.0" encoding="utf-8"?>
<formControlPr xmlns="http://schemas.microsoft.com/office/spreadsheetml/2009/9/main" objectType="CheckBox" fmlaLink="M58" lockText="1" noThreeD="1"/>
</file>

<file path=xl/ctrlProps/ctrlProp51.xml><?xml version="1.0" encoding="utf-8"?>
<formControlPr xmlns="http://schemas.microsoft.com/office/spreadsheetml/2009/9/main" objectType="CheckBox" fmlaLink="M59" lockText="1" noThreeD="1"/>
</file>

<file path=xl/ctrlProps/ctrlProp52.xml><?xml version="1.0" encoding="utf-8"?>
<formControlPr xmlns="http://schemas.microsoft.com/office/spreadsheetml/2009/9/main" objectType="CheckBox" fmlaLink="M60" lockText="1" noThreeD="1"/>
</file>

<file path=xl/ctrlProps/ctrlProp53.xml><?xml version="1.0" encoding="utf-8"?>
<formControlPr xmlns="http://schemas.microsoft.com/office/spreadsheetml/2009/9/main" objectType="CheckBox" fmlaLink="M61" lockText="1" noThreeD="1"/>
</file>

<file path=xl/ctrlProps/ctrlProp54.xml><?xml version="1.0" encoding="utf-8"?>
<formControlPr xmlns="http://schemas.microsoft.com/office/spreadsheetml/2009/9/main" objectType="CheckBox" fmlaLink="M62" lockText="1" noThreeD="1"/>
</file>

<file path=xl/ctrlProps/ctrlProp55.xml><?xml version="1.0" encoding="utf-8"?>
<formControlPr xmlns="http://schemas.microsoft.com/office/spreadsheetml/2009/9/main" objectType="CheckBox" fmlaLink="M63" lockText="1" noThreeD="1"/>
</file>

<file path=xl/ctrlProps/ctrlProp56.xml><?xml version="1.0" encoding="utf-8"?>
<formControlPr xmlns="http://schemas.microsoft.com/office/spreadsheetml/2009/9/main" objectType="CheckBox" fmlaLink="M64" lockText="1" noThreeD="1"/>
</file>

<file path=xl/ctrlProps/ctrlProp57.xml><?xml version="1.0" encoding="utf-8"?>
<formControlPr xmlns="http://schemas.microsoft.com/office/spreadsheetml/2009/9/main" objectType="CheckBox" fmlaLink="M65" lockText="1" noThreeD="1"/>
</file>

<file path=xl/ctrlProps/ctrlProp58.xml><?xml version="1.0" encoding="utf-8"?>
<formControlPr xmlns="http://schemas.microsoft.com/office/spreadsheetml/2009/9/main" objectType="CheckBox" fmlaLink="M66" lockText="1" noThreeD="1"/>
</file>

<file path=xl/ctrlProps/ctrlProp59.xml><?xml version="1.0" encoding="utf-8"?>
<formControlPr xmlns="http://schemas.microsoft.com/office/spreadsheetml/2009/9/main" objectType="CheckBox" fmlaLink="M67" lockText="1" noThreeD="1"/>
</file>

<file path=xl/ctrlProps/ctrlProp60.xml><?xml version="1.0" encoding="utf-8"?>
<formControlPr xmlns="http://schemas.microsoft.com/office/spreadsheetml/2009/9/main" objectType="CheckBox" fmlaLink="M68" lockText="1" noThreeD="1"/>
</file>

<file path=xl/ctrlProps/ctrlProp61.xml><?xml version="1.0" encoding="utf-8"?>
<formControlPr xmlns="http://schemas.microsoft.com/office/spreadsheetml/2009/9/main" objectType="CheckBox" fmlaLink="M69" lockText="1" noThreeD="1"/>
</file>

<file path=xl/ctrlProps/ctrlProp62.xml><?xml version="1.0" encoding="utf-8"?>
<formControlPr xmlns="http://schemas.microsoft.com/office/spreadsheetml/2009/9/main" objectType="CheckBox" fmlaLink="M70" lockText="1" noThreeD="1"/>
</file>

<file path=xl/ctrlProps/ctrlProp63.xml><?xml version="1.0" encoding="utf-8"?>
<formControlPr xmlns="http://schemas.microsoft.com/office/spreadsheetml/2009/9/main" objectType="CheckBox" fmlaLink="M71" lockText="1" noThreeD="1"/>
</file>

<file path=xl/ctrlProps/ctrlProp64.xml><?xml version="1.0" encoding="utf-8"?>
<formControlPr xmlns="http://schemas.microsoft.com/office/spreadsheetml/2009/9/main" objectType="CheckBox" fmlaLink="M72" lockText="1" noThreeD="1"/>
</file>

<file path=xl/ctrlProps/ctrlProp65.xml><?xml version="1.0" encoding="utf-8"?>
<formControlPr xmlns="http://schemas.microsoft.com/office/spreadsheetml/2009/9/main" objectType="CheckBox" fmlaLink="M73" lockText="1" noThreeD="1"/>
</file>

<file path=xl/ctrlProps/ctrlProp66.xml><?xml version="1.0" encoding="utf-8"?>
<formControlPr xmlns="http://schemas.microsoft.com/office/spreadsheetml/2009/9/main" objectType="CheckBox" fmlaLink="M74" lockText="1" noThreeD="1"/>
</file>

<file path=xl/ctrlProps/ctrlProp67.xml><?xml version="1.0" encoding="utf-8"?>
<formControlPr xmlns="http://schemas.microsoft.com/office/spreadsheetml/2009/9/main" objectType="CheckBox" fmlaLink="M75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>
          <a:spLocks/>
        </xdr:cNvSpPr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300-000006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300-000007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1300-000008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5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5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5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1500-000008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1500-000009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1500-00000A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1500-00000B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600-000006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600-000007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1600-000008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1600-000009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7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1A00-000008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1A00-000009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1A00-00000A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1F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1F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2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2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3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4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4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SpPr>
          <a:spLocks/>
        </xdr:cNvSpPr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600-000005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8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9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9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A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A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E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2E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2E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F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3A1C518F-9B62-46B8-98C6-652C350C65D7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BD5FC7D-7FB1-4820-BC9C-AE09CC600A25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8EFBFCA7-D6ED-4154-A3F0-57E77B3EAEF5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0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0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0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1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1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1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2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3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3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4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4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4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5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5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5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6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6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7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7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8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8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9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9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9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9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A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A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A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A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B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B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B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B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C00-000002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C00-000003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C00-000004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C00-000005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D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D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3D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E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E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E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495300</xdr:colOff>
      <xdr:row>0</xdr:row>
      <xdr:rowOff>161925</xdr:rowOff>
    </xdr:from>
    <xdr:to>
      <xdr:col>1</xdr:col>
      <xdr:colOff>1333500</xdr:colOff>
      <xdr:row>0</xdr:row>
      <xdr:rowOff>485775</xdr:rowOff>
    </xdr:to>
    <xdr:sp macro="[0]!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3F00-000002000000}"/>
            </a:ext>
          </a:extLst>
        </xdr:cNvPr>
        <xdr:cNvSpPr/>
      </xdr:nvSpPr>
      <xdr:spPr>
        <a:xfrm>
          <a:off x="2190750" y="161925"/>
          <a:ext cx="838200" cy="32385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Data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523875</xdr:colOff>
      <xdr:row>0</xdr:row>
      <xdr:rowOff>161925</xdr:rowOff>
    </xdr:from>
    <xdr:to>
      <xdr:col>2</xdr:col>
      <xdr:colOff>1362075</xdr:colOff>
      <xdr:row>0</xdr:row>
      <xdr:rowOff>485775</xdr:rowOff>
    </xdr:to>
    <xdr:sp macro="[0]!_xludf.clea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3F00-000003000000}"/>
            </a:ext>
          </a:extLst>
        </xdr:cNvPr>
        <xdr:cNvSpPr/>
      </xdr:nvSpPr>
      <xdr:spPr>
        <a:xfrm>
          <a:off x="3914775" y="161925"/>
          <a:ext cx="838200" cy="323850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</xdr:wsDr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4000-000002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4000-000003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4000-000004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428625</xdr:colOff>
      <xdr:row>0</xdr:row>
      <xdr:rowOff>123825</xdr:rowOff>
    </xdr:from>
    <xdr:to>
      <xdr:col>0</xdr:col>
      <xdr:colOff>1266825</xdr:colOff>
      <xdr:row>0</xdr:row>
      <xdr:rowOff>447675</xdr:rowOff>
    </xdr:to>
    <xdr:sp macro="[0]!Get_Data_From_Fil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4100-000004000000}"/>
            </a:ext>
          </a:extLst>
        </xdr:cNvPr>
        <xdr:cNvSpPr/>
      </xdr:nvSpPr>
      <xdr:spPr>
        <a:xfrm>
          <a:off x="428625" y="123825"/>
          <a:ext cx="838200" cy="323850"/>
        </a:xfrm>
        <a:prstGeom prst="roundRect">
          <a:avLst/>
        </a:prstGeom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Import</a:t>
          </a:r>
        </a:p>
      </xdr:txBody>
    </xdr:sp>
    <xdr:clientData/>
  </xdr:twoCellAnchor>
  <xdr:twoCellAnchor>
    <xdr:from>
      <xdr:col>3</xdr:col>
      <xdr:colOff>428625</xdr:colOff>
      <xdr:row>0</xdr:row>
      <xdr:rowOff>133350</xdr:rowOff>
    </xdr:from>
    <xdr:to>
      <xdr:col>3</xdr:col>
      <xdr:colOff>1266825</xdr:colOff>
      <xdr:row>0</xdr:row>
      <xdr:rowOff>457200</xdr:rowOff>
    </xdr:to>
    <xdr:sp macro="[0]!_xludf.clear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4100-000005000000}"/>
            </a:ext>
          </a:extLst>
        </xdr:cNvPr>
        <xdr:cNvSpPr/>
      </xdr:nvSpPr>
      <xdr:spPr>
        <a:xfrm>
          <a:off x="5572125" y="133350"/>
          <a:ext cx="838200" cy="323850"/>
        </a:xfrm>
        <a:prstGeom prst="roundRect">
          <a:avLst/>
        </a:prstGeom>
        <a:ln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Clear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428625</xdr:colOff>
      <xdr:row>0</xdr:row>
      <xdr:rowOff>133350</xdr:rowOff>
    </xdr:from>
    <xdr:to>
      <xdr:col>1</xdr:col>
      <xdr:colOff>1266825</xdr:colOff>
      <xdr:row>0</xdr:row>
      <xdr:rowOff>457200</xdr:rowOff>
    </xdr:to>
    <xdr:sp macro="[0]!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4100-000006000000}"/>
            </a:ext>
          </a:extLst>
        </xdr:cNvPr>
        <xdr:cNvSpPr/>
      </xdr:nvSpPr>
      <xdr:spPr>
        <a:xfrm>
          <a:off x="2143125" y="133350"/>
          <a:ext cx="838200" cy="323850"/>
        </a:xfrm>
        <a:prstGeom prst="roundRect">
          <a:avLst/>
        </a:prstGeom>
        <a:ln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Process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438150</xdr:colOff>
      <xdr:row>0</xdr:row>
      <xdr:rowOff>133350</xdr:rowOff>
    </xdr:from>
    <xdr:to>
      <xdr:col>2</xdr:col>
      <xdr:colOff>1276350</xdr:colOff>
      <xdr:row>0</xdr:row>
      <xdr:rowOff>457200</xdr:rowOff>
    </xdr:to>
    <xdr:sp macro="[0]!export_data1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4100-000007000000}"/>
            </a:ext>
          </a:extLst>
        </xdr:cNvPr>
        <xdr:cNvSpPr/>
      </xdr:nvSpPr>
      <xdr:spPr>
        <a:xfrm>
          <a:off x="3867150" y="133350"/>
          <a:ext cx="838200" cy="323850"/>
        </a:xfrm>
        <a:prstGeom prst="round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Export</a:t>
          </a:r>
        </a:p>
      </xdr:txBody>
    </xdr:sp>
    <xdr:clientData/>
  </xdr:twoCellAnchor>
</xdr:wsDr>
</file>

<file path=xl/drawings/drawing6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66673</xdr:colOff>
      <xdr:row>4</xdr:row>
      <xdr:rowOff>19051</xdr:rowOff>
    </xdr:from>
    <xdr:to>
      <xdr:col>6</xdr:col>
      <xdr:colOff>409574</xdr:colOff>
      <xdr:row>5</xdr:row>
      <xdr:rowOff>171450</xdr:rowOff>
    </xdr:to>
    <xdr:sp macro="[0]!CreateCheckboxesWithLinkedCell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4200-000002000000}"/>
            </a:ext>
          </a:extLst>
        </xdr:cNvPr>
        <xdr:cNvSpPr/>
      </xdr:nvSpPr>
      <xdr:spPr>
        <a:xfrm>
          <a:off x="2505073" y="876301"/>
          <a:ext cx="2066926" cy="342899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lvl="0" algn="ctr"/>
          <a:r>
            <a:rPr lang="en-IN" sz="1200" b="1"/>
            <a:t>Refresh Sheet</a:t>
          </a:r>
        </a:p>
      </xdr:txBody>
    </xdr:sp>
    <xdr:clientData/>
  </xdr:twoCellAnchor>
  <xdr:twoCellAnchor>
    <xdr:from>
      <xdr:col>13</xdr:col>
      <xdr:colOff>1066800</xdr:colOff>
      <xdr:row>2</xdr:row>
      <xdr:rowOff>28575</xdr:rowOff>
    </xdr:from>
    <xdr:to>
      <xdr:col>14</xdr:col>
      <xdr:colOff>838200</xdr:colOff>
      <xdr:row>3</xdr:row>
      <xdr:rowOff>133500</xdr:rowOff>
    </xdr:to>
    <xdr:sp macro="[0]!IDCheck" textlink="">
      <xdr:nvSpPr>
        <xdr:cNvPr id="4" name="Rounded Rectangle 1">
          <a:extLst>
            <a:ext uri="{FF2B5EF4-FFF2-40B4-BE49-F238E27FC236}">
              <a16:creationId xmlns:a16="http://schemas.microsoft.com/office/drawing/2014/main" id="{00000000-0008-0000-4200-000004000000}"/>
            </a:ext>
          </a:extLst>
        </xdr:cNvPr>
        <xdr:cNvSpPr>
          <a:spLocks/>
        </xdr:cNvSpPr>
      </xdr:nvSpPr>
      <xdr:spPr>
        <a:xfrm>
          <a:off x="17811750" y="552450"/>
          <a:ext cx="1257300" cy="324000"/>
        </a:xfrm>
        <a:prstGeom prst="round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baseline="0">
              <a:solidFill>
                <a:schemeClr val="tx1"/>
              </a:solidFill>
            </a:rPr>
            <a:t>Refresh Licence</a:t>
          </a:r>
          <a:endParaRPr lang="en-US" sz="1100" b="1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0</xdr:rowOff>
        </xdr:from>
        <xdr:to>
          <xdr:col>6</xdr:col>
          <xdr:colOff>0</xdr:colOff>
          <xdr:row>9</xdr:row>
          <xdr:rowOff>19050</xdr:rowOff>
        </xdr:to>
        <xdr:sp macro="" textlink="">
          <xdr:nvSpPr>
            <xdr:cNvPr id="87694" name="AU_CheckBox" hidden="1">
              <a:extLst>
                <a:ext uri="{63B3BB69-23CF-44E3-9099-C40C66FF867C}">
                  <a14:compatExt spid="_x0000_s87694"/>
                </a:ext>
                <a:ext uri="{FF2B5EF4-FFF2-40B4-BE49-F238E27FC236}">
                  <a16:creationId xmlns:a16="http://schemas.microsoft.com/office/drawing/2014/main" id="{00000000-0008-0000-4300-00008E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9</xdr:row>
          <xdr:rowOff>0</xdr:rowOff>
        </xdr:from>
        <xdr:to>
          <xdr:col>6</xdr:col>
          <xdr:colOff>0</xdr:colOff>
          <xdr:row>10</xdr:row>
          <xdr:rowOff>19050</xdr:rowOff>
        </xdr:to>
        <xdr:sp macro="" textlink="">
          <xdr:nvSpPr>
            <xdr:cNvPr id="87695" name="AU (P)_CheckBox" hidden="1">
              <a:extLst>
                <a:ext uri="{63B3BB69-23CF-44E3-9099-C40C66FF867C}">
                  <a14:compatExt spid="_x0000_s87695"/>
                </a:ext>
                <a:ext uri="{FF2B5EF4-FFF2-40B4-BE49-F238E27FC236}">
                  <a16:creationId xmlns:a16="http://schemas.microsoft.com/office/drawing/2014/main" id="{00000000-0008-0000-4300-00008F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AU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10</xdr:row>
          <xdr:rowOff>0</xdr:rowOff>
        </xdr:from>
        <xdr:to>
          <xdr:col>6</xdr:col>
          <xdr:colOff>0</xdr:colOff>
          <xdr:row>11</xdr:row>
          <xdr:rowOff>19050</xdr:rowOff>
        </xdr:to>
        <xdr:sp macro="" textlink="">
          <xdr:nvSpPr>
            <xdr:cNvPr id="87696" name="Axis (P)_CheckBox" hidden="1">
              <a:extLst>
                <a:ext uri="{63B3BB69-23CF-44E3-9099-C40C66FF867C}">
                  <a14:compatExt spid="_x0000_s87696"/>
                </a:ext>
                <a:ext uri="{FF2B5EF4-FFF2-40B4-BE49-F238E27FC236}">
                  <a16:creationId xmlns:a16="http://schemas.microsoft.com/office/drawing/2014/main" id="{00000000-0008-0000-4300-000090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11</xdr:row>
          <xdr:rowOff>0</xdr:rowOff>
        </xdr:from>
        <xdr:to>
          <xdr:col>6</xdr:col>
          <xdr:colOff>0</xdr:colOff>
          <xdr:row>12</xdr:row>
          <xdr:rowOff>19050</xdr:rowOff>
        </xdr:to>
        <xdr:sp macro="" textlink="">
          <xdr:nvSpPr>
            <xdr:cNvPr id="87697" name="Axis(C)_CheckBox" hidden="1">
              <a:extLst>
                <a:ext uri="{63B3BB69-23CF-44E3-9099-C40C66FF867C}">
                  <a14:compatExt spid="_x0000_s87697"/>
                </a:ext>
                <a:ext uri="{FF2B5EF4-FFF2-40B4-BE49-F238E27FC236}">
                  <a16:creationId xmlns:a16="http://schemas.microsoft.com/office/drawing/2014/main" id="{00000000-0008-0000-4300-000091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12</xdr:row>
          <xdr:rowOff>0</xdr:rowOff>
        </xdr:from>
        <xdr:to>
          <xdr:col>6</xdr:col>
          <xdr:colOff>0</xdr:colOff>
          <xdr:row>13</xdr:row>
          <xdr:rowOff>19050</xdr:rowOff>
        </xdr:to>
        <xdr:sp macro="" textlink="">
          <xdr:nvSpPr>
            <xdr:cNvPr id="87698" name="Axis(C) (P)_CheckBox" hidden="1">
              <a:extLst>
                <a:ext uri="{63B3BB69-23CF-44E3-9099-C40C66FF867C}">
                  <a14:compatExt spid="_x0000_s87698"/>
                </a:ext>
                <a:ext uri="{FF2B5EF4-FFF2-40B4-BE49-F238E27FC236}">
                  <a16:creationId xmlns:a16="http://schemas.microsoft.com/office/drawing/2014/main" id="{00000000-0008-0000-4300-000092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Axis(C)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13</xdr:row>
          <xdr:rowOff>0</xdr:rowOff>
        </xdr:from>
        <xdr:to>
          <xdr:col>6</xdr:col>
          <xdr:colOff>0</xdr:colOff>
          <xdr:row>14</xdr:row>
          <xdr:rowOff>19050</xdr:rowOff>
        </xdr:to>
        <xdr:sp macro="" textlink="">
          <xdr:nvSpPr>
            <xdr:cNvPr id="87699" name="Axis(S)_CheckBox" hidden="1">
              <a:extLst>
                <a:ext uri="{63B3BB69-23CF-44E3-9099-C40C66FF867C}">
                  <a14:compatExt spid="_x0000_s87699"/>
                </a:ext>
                <a:ext uri="{FF2B5EF4-FFF2-40B4-BE49-F238E27FC236}">
                  <a16:creationId xmlns:a16="http://schemas.microsoft.com/office/drawing/2014/main" id="{00000000-0008-0000-4300-000093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14</xdr:row>
          <xdr:rowOff>0</xdr:rowOff>
        </xdr:from>
        <xdr:to>
          <xdr:col>6</xdr:col>
          <xdr:colOff>0</xdr:colOff>
          <xdr:row>15</xdr:row>
          <xdr:rowOff>19050</xdr:rowOff>
        </xdr:to>
        <xdr:sp macro="" textlink="">
          <xdr:nvSpPr>
            <xdr:cNvPr id="87700" name="Axis(S) (2)_CheckBox" hidden="1">
              <a:extLst>
                <a:ext uri="{63B3BB69-23CF-44E3-9099-C40C66FF867C}">
                  <a14:compatExt spid="_x0000_s87700"/>
                </a:ext>
                <a:ext uri="{FF2B5EF4-FFF2-40B4-BE49-F238E27FC236}">
                  <a16:creationId xmlns:a16="http://schemas.microsoft.com/office/drawing/2014/main" id="{00000000-0008-0000-4300-000094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15</xdr:row>
          <xdr:rowOff>0</xdr:rowOff>
        </xdr:from>
        <xdr:to>
          <xdr:col>6</xdr:col>
          <xdr:colOff>0</xdr:colOff>
          <xdr:row>16</xdr:row>
          <xdr:rowOff>19050</xdr:rowOff>
        </xdr:to>
        <xdr:sp macro="" textlink="">
          <xdr:nvSpPr>
            <xdr:cNvPr id="87701" name="Axis(S) (P)_CheckBox" hidden="1">
              <a:extLst>
                <a:ext uri="{63B3BB69-23CF-44E3-9099-C40C66FF867C}">
                  <a14:compatExt spid="_x0000_s87701"/>
                </a:ext>
                <a:ext uri="{FF2B5EF4-FFF2-40B4-BE49-F238E27FC236}">
                  <a16:creationId xmlns:a16="http://schemas.microsoft.com/office/drawing/2014/main" id="{00000000-0008-0000-4300-000095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Axis(S)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16</xdr:row>
          <xdr:rowOff>0</xdr:rowOff>
        </xdr:from>
        <xdr:to>
          <xdr:col>6</xdr:col>
          <xdr:colOff>0</xdr:colOff>
          <xdr:row>17</xdr:row>
          <xdr:rowOff>19050</xdr:rowOff>
        </xdr:to>
        <xdr:sp macro="" textlink="">
          <xdr:nvSpPr>
            <xdr:cNvPr id="87702" name="Bandhan_CheckBox" hidden="1">
              <a:extLst>
                <a:ext uri="{63B3BB69-23CF-44E3-9099-C40C66FF867C}">
                  <a14:compatExt spid="_x0000_s87702"/>
                </a:ext>
                <a:ext uri="{FF2B5EF4-FFF2-40B4-BE49-F238E27FC236}">
                  <a16:creationId xmlns:a16="http://schemas.microsoft.com/office/drawing/2014/main" id="{00000000-0008-0000-4300-000096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Bandhan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0</xdr:rowOff>
        </xdr:from>
        <xdr:to>
          <xdr:col>6</xdr:col>
          <xdr:colOff>0</xdr:colOff>
          <xdr:row>18</xdr:row>
          <xdr:rowOff>19050</xdr:rowOff>
        </xdr:to>
        <xdr:sp macro="" textlink="">
          <xdr:nvSpPr>
            <xdr:cNvPr id="87703" name="BOB(C)_CheckBox" hidden="1">
              <a:extLst>
                <a:ext uri="{63B3BB69-23CF-44E3-9099-C40C66FF867C}">
                  <a14:compatExt spid="_x0000_s87703"/>
                </a:ext>
                <a:ext uri="{FF2B5EF4-FFF2-40B4-BE49-F238E27FC236}">
                  <a16:creationId xmlns:a16="http://schemas.microsoft.com/office/drawing/2014/main" id="{00000000-0008-0000-4300-000097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18</xdr:row>
          <xdr:rowOff>0</xdr:rowOff>
        </xdr:from>
        <xdr:to>
          <xdr:col>6</xdr:col>
          <xdr:colOff>0</xdr:colOff>
          <xdr:row>19</xdr:row>
          <xdr:rowOff>19050</xdr:rowOff>
        </xdr:to>
        <xdr:sp macro="" textlink="">
          <xdr:nvSpPr>
            <xdr:cNvPr id="87704" name="BOB(P)_CheckBox" hidden="1">
              <a:extLst>
                <a:ext uri="{63B3BB69-23CF-44E3-9099-C40C66FF867C}">
                  <a14:compatExt spid="_x0000_s87704"/>
                </a:ext>
                <a:ext uri="{FF2B5EF4-FFF2-40B4-BE49-F238E27FC236}">
                  <a16:creationId xmlns:a16="http://schemas.microsoft.com/office/drawing/2014/main" id="{00000000-0008-0000-4300-000098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19</xdr:row>
          <xdr:rowOff>0</xdr:rowOff>
        </xdr:from>
        <xdr:to>
          <xdr:col>6</xdr:col>
          <xdr:colOff>0</xdr:colOff>
          <xdr:row>20</xdr:row>
          <xdr:rowOff>19050</xdr:rowOff>
        </xdr:to>
        <xdr:sp macro="" textlink="">
          <xdr:nvSpPr>
            <xdr:cNvPr id="87705" name="BOB(P) (2)_CheckBox" hidden="1">
              <a:extLst>
                <a:ext uri="{63B3BB69-23CF-44E3-9099-C40C66FF867C}">
                  <a14:compatExt spid="_x0000_s87705"/>
                </a:ext>
                <a:ext uri="{FF2B5EF4-FFF2-40B4-BE49-F238E27FC236}">
                  <a16:creationId xmlns:a16="http://schemas.microsoft.com/office/drawing/2014/main" id="{00000000-0008-0000-4300-000099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BOB(P)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0</xdr:rowOff>
        </xdr:from>
        <xdr:to>
          <xdr:col>6</xdr:col>
          <xdr:colOff>0</xdr:colOff>
          <xdr:row>21</xdr:row>
          <xdr:rowOff>19050</xdr:rowOff>
        </xdr:to>
        <xdr:sp macro="" textlink="">
          <xdr:nvSpPr>
            <xdr:cNvPr id="87706" name="BOB(S)_CheckBox" hidden="1">
              <a:extLst>
                <a:ext uri="{63B3BB69-23CF-44E3-9099-C40C66FF867C}">
                  <a14:compatExt spid="_x0000_s87706"/>
                </a:ext>
                <a:ext uri="{FF2B5EF4-FFF2-40B4-BE49-F238E27FC236}">
                  <a16:creationId xmlns:a16="http://schemas.microsoft.com/office/drawing/2014/main" id="{00000000-0008-0000-4300-00009A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BOB(S)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21</xdr:row>
          <xdr:rowOff>0</xdr:rowOff>
        </xdr:from>
        <xdr:to>
          <xdr:col>6</xdr:col>
          <xdr:colOff>0</xdr:colOff>
          <xdr:row>22</xdr:row>
          <xdr:rowOff>19050</xdr:rowOff>
        </xdr:to>
        <xdr:sp macro="" textlink="">
          <xdr:nvSpPr>
            <xdr:cNvPr id="87707" name="BOI_CheckBox" hidden="1">
              <a:extLst>
                <a:ext uri="{63B3BB69-23CF-44E3-9099-C40C66FF867C}">
                  <a14:compatExt spid="_x0000_s87707"/>
                </a:ext>
                <a:ext uri="{FF2B5EF4-FFF2-40B4-BE49-F238E27FC236}">
                  <a16:creationId xmlns:a16="http://schemas.microsoft.com/office/drawing/2014/main" id="{00000000-0008-0000-4300-00009B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22</xdr:row>
          <xdr:rowOff>0</xdr:rowOff>
        </xdr:from>
        <xdr:to>
          <xdr:col>6</xdr:col>
          <xdr:colOff>0</xdr:colOff>
          <xdr:row>23</xdr:row>
          <xdr:rowOff>19050</xdr:rowOff>
        </xdr:to>
        <xdr:sp macro="" textlink="">
          <xdr:nvSpPr>
            <xdr:cNvPr id="87708" name="BOI (P)_CheckBox" hidden="1">
              <a:extLst>
                <a:ext uri="{63B3BB69-23CF-44E3-9099-C40C66FF867C}">
                  <a14:compatExt spid="_x0000_s87708"/>
                </a:ext>
                <a:ext uri="{FF2B5EF4-FFF2-40B4-BE49-F238E27FC236}">
                  <a16:creationId xmlns:a16="http://schemas.microsoft.com/office/drawing/2014/main" id="{00000000-0008-0000-4300-00009C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23</xdr:row>
          <xdr:rowOff>0</xdr:rowOff>
        </xdr:from>
        <xdr:to>
          <xdr:col>6</xdr:col>
          <xdr:colOff>0</xdr:colOff>
          <xdr:row>24</xdr:row>
          <xdr:rowOff>19050</xdr:rowOff>
        </xdr:to>
        <xdr:sp macro="" textlink="">
          <xdr:nvSpPr>
            <xdr:cNvPr id="87709" name="Canara_CheckBox" hidden="1">
              <a:extLst>
                <a:ext uri="{63B3BB69-23CF-44E3-9099-C40C66FF867C}">
                  <a14:compatExt spid="_x0000_s87709"/>
                </a:ext>
                <a:ext uri="{FF2B5EF4-FFF2-40B4-BE49-F238E27FC236}">
                  <a16:creationId xmlns:a16="http://schemas.microsoft.com/office/drawing/2014/main" id="{00000000-0008-0000-4300-00009D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Canara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24</xdr:row>
          <xdr:rowOff>0</xdr:rowOff>
        </xdr:from>
        <xdr:to>
          <xdr:col>6</xdr:col>
          <xdr:colOff>0</xdr:colOff>
          <xdr:row>25</xdr:row>
          <xdr:rowOff>19050</xdr:rowOff>
        </xdr:to>
        <xdr:sp macro="" textlink="">
          <xdr:nvSpPr>
            <xdr:cNvPr id="87710" name="CBI_CheckBox" hidden="1">
              <a:extLst>
                <a:ext uri="{63B3BB69-23CF-44E3-9099-C40C66FF867C}">
                  <a14:compatExt spid="_x0000_s87710"/>
                </a:ext>
                <a:ext uri="{FF2B5EF4-FFF2-40B4-BE49-F238E27FC236}">
                  <a16:creationId xmlns:a16="http://schemas.microsoft.com/office/drawing/2014/main" id="{00000000-0008-0000-4300-00009E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25</xdr:row>
          <xdr:rowOff>0</xdr:rowOff>
        </xdr:from>
        <xdr:to>
          <xdr:col>6</xdr:col>
          <xdr:colOff>0</xdr:colOff>
          <xdr:row>26</xdr:row>
          <xdr:rowOff>19050</xdr:rowOff>
        </xdr:to>
        <xdr:sp macro="" textlink="">
          <xdr:nvSpPr>
            <xdr:cNvPr id="87711" name="CBI (P)_CheckBox" hidden="1">
              <a:extLst>
                <a:ext uri="{63B3BB69-23CF-44E3-9099-C40C66FF867C}">
                  <a14:compatExt spid="_x0000_s87711"/>
                </a:ext>
                <a:ext uri="{FF2B5EF4-FFF2-40B4-BE49-F238E27FC236}">
                  <a16:creationId xmlns:a16="http://schemas.microsoft.com/office/drawing/2014/main" id="{00000000-0008-0000-4300-00009F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26</xdr:row>
          <xdr:rowOff>0</xdr:rowOff>
        </xdr:from>
        <xdr:to>
          <xdr:col>6</xdr:col>
          <xdr:colOff>0</xdr:colOff>
          <xdr:row>27</xdr:row>
          <xdr:rowOff>19050</xdr:rowOff>
        </xdr:to>
        <xdr:sp macro="" textlink="">
          <xdr:nvSpPr>
            <xdr:cNvPr id="87712" name="CityUni (P)_CheckBox" hidden="1">
              <a:extLst>
                <a:ext uri="{63B3BB69-23CF-44E3-9099-C40C66FF867C}">
                  <a14:compatExt spid="_x0000_s87712"/>
                </a:ext>
                <a:ext uri="{FF2B5EF4-FFF2-40B4-BE49-F238E27FC236}">
                  <a16:creationId xmlns:a16="http://schemas.microsoft.com/office/drawing/2014/main" id="{00000000-0008-0000-4300-0000A0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CityUni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27</xdr:row>
          <xdr:rowOff>0</xdr:rowOff>
        </xdr:from>
        <xdr:to>
          <xdr:col>6</xdr:col>
          <xdr:colOff>0</xdr:colOff>
          <xdr:row>28</xdr:row>
          <xdr:rowOff>19050</xdr:rowOff>
        </xdr:to>
        <xdr:sp macro="" textlink="">
          <xdr:nvSpPr>
            <xdr:cNvPr id="87713" name="DCB_CheckBox" hidden="1">
              <a:extLst>
                <a:ext uri="{63B3BB69-23CF-44E3-9099-C40C66FF867C}">
                  <a14:compatExt spid="_x0000_s87713"/>
                </a:ext>
                <a:ext uri="{FF2B5EF4-FFF2-40B4-BE49-F238E27FC236}">
                  <a16:creationId xmlns:a16="http://schemas.microsoft.com/office/drawing/2014/main" id="{00000000-0008-0000-4300-0000A1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28</xdr:row>
          <xdr:rowOff>0</xdr:rowOff>
        </xdr:from>
        <xdr:to>
          <xdr:col>6</xdr:col>
          <xdr:colOff>0</xdr:colOff>
          <xdr:row>29</xdr:row>
          <xdr:rowOff>19050</xdr:rowOff>
        </xdr:to>
        <xdr:sp macro="" textlink="">
          <xdr:nvSpPr>
            <xdr:cNvPr id="87714" name="Equitas_CheckBox" hidden="1">
              <a:extLst>
                <a:ext uri="{63B3BB69-23CF-44E3-9099-C40C66FF867C}">
                  <a14:compatExt spid="_x0000_s87714"/>
                </a:ext>
                <a:ext uri="{FF2B5EF4-FFF2-40B4-BE49-F238E27FC236}">
                  <a16:creationId xmlns:a16="http://schemas.microsoft.com/office/drawing/2014/main" id="{00000000-0008-0000-4300-0000A2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Equitas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29</xdr:row>
          <xdr:rowOff>0</xdr:rowOff>
        </xdr:from>
        <xdr:to>
          <xdr:col>6</xdr:col>
          <xdr:colOff>0</xdr:colOff>
          <xdr:row>30</xdr:row>
          <xdr:rowOff>19050</xdr:rowOff>
        </xdr:to>
        <xdr:sp macro="" textlink="">
          <xdr:nvSpPr>
            <xdr:cNvPr id="87715" name="Federal_CheckBox" hidden="1">
              <a:extLst>
                <a:ext uri="{63B3BB69-23CF-44E3-9099-C40C66FF867C}">
                  <a14:compatExt spid="_x0000_s87715"/>
                </a:ext>
                <a:ext uri="{FF2B5EF4-FFF2-40B4-BE49-F238E27FC236}">
                  <a16:creationId xmlns:a16="http://schemas.microsoft.com/office/drawing/2014/main" id="{00000000-0008-0000-4300-0000A3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Federal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30</xdr:row>
          <xdr:rowOff>0</xdr:rowOff>
        </xdr:from>
        <xdr:to>
          <xdr:col>6</xdr:col>
          <xdr:colOff>0</xdr:colOff>
          <xdr:row>31</xdr:row>
          <xdr:rowOff>19050</xdr:rowOff>
        </xdr:to>
        <xdr:sp macro="" textlink="">
          <xdr:nvSpPr>
            <xdr:cNvPr id="87716" name="Federal (P)_CheckBox" hidden="1">
              <a:extLst>
                <a:ext uri="{63B3BB69-23CF-44E3-9099-C40C66FF867C}">
                  <a14:compatExt spid="_x0000_s87716"/>
                </a:ext>
                <a:ext uri="{FF2B5EF4-FFF2-40B4-BE49-F238E27FC236}">
                  <a16:creationId xmlns:a16="http://schemas.microsoft.com/office/drawing/2014/main" id="{00000000-0008-0000-4300-0000A4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Federal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31</xdr:row>
          <xdr:rowOff>0</xdr:rowOff>
        </xdr:from>
        <xdr:to>
          <xdr:col>6</xdr:col>
          <xdr:colOff>0</xdr:colOff>
          <xdr:row>32</xdr:row>
          <xdr:rowOff>19050</xdr:rowOff>
        </xdr:to>
        <xdr:sp macro="" textlink="">
          <xdr:nvSpPr>
            <xdr:cNvPr id="87717" name="HDFC_CheckBox" hidden="1">
              <a:extLst>
                <a:ext uri="{63B3BB69-23CF-44E3-9099-C40C66FF867C}">
                  <a14:compatExt spid="_x0000_s87717"/>
                </a:ext>
                <a:ext uri="{FF2B5EF4-FFF2-40B4-BE49-F238E27FC236}">
                  <a16:creationId xmlns:a16="http://schemas.microsoft.com/office/drawing/2014/main" id="{00000000-0008-0000-4300-0000A5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HDFC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32</xdr:row>
          <xdr:rowOff>0</xdr:rowOff>
        </xdr:from>
        <xdr:to>
          <xdr:col>6</xdr:col>
          <xdr:colOff>0</xdr:colOff>
          <xdr:row>33</xdr:row>
          <xdr:rowOff>19050</xdr:rowOff>
        </xdr:to>
        <xdr:sp macro="" textlink="">
          <xdr:nvSpPr>
            <xdr:cNvPr id="87718" name="HDFC (P)_CheckBox" hidden="1">
              <a:extLst>
                <a:ext uri="{63B3BB69-23CF-44E3-9099-C40C66FF867C}">
                  <a14:compatExt spid="_x0000_s87718"/>
                </a:ext>
                <a:ext uri="{FF2B5EF4-FFF2-40B4-BE49-F238E27FC236}">
                  <a16:creationId xmlns:a16="http://schemas.microsoft.com/office/drawing/2014/main" id="{00000000-0008-0000-4300-0000A6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HDFC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33</xdr:row>
          <xdr:rowOff>0</xdr:rowOff>
        </xdr:from>
        <xdr:to>
          <xdr:col>6</xdr:col>
          <xdr:colOff>0</xdr:colOff>
          <xdr:row>34</xdr:row>
          <xdr:rowOff>19050</xdr:rowOff>
        </xdr:to>
        <xdr:sp macro="" textlink="">
          <xdr:nvSpPr>
            <xdr:cNvPr id="87719" name="ICICI 3 (P)_CheckBox" hidden="1">
              <a:extLst>
                <a:ext uri="{63B3BB69-23CF-44E3-9099-C40C66FF867C}">
                  <a14:compatExt spid="_x0000_s87719"/>
                </a:ext>
                <a:ext uri="{FF2B5EF4-FFF2-40B4-BE49-F238E27FC236}">
                  <a16:creationId xmlns:a16="http://schemas.microsoft.com/office/drawing/2014/main" id="{00000000-0008-0000-4300-0000A7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 3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34</xdr:row>
          <xdr:rowOff>0</xdr:rowOff>
        </xdr:from>
        <xdr:to>
          <xdr:col>6</xdr:col>
          <xdr:colOff>0</xdr:colOff>
          <xdr:row>35</xdr:row>
          <xdr:rowOff>19050</xdr:rowOff>
        </xdr:to>
        <xdr:sp macro="" textlink="">
          <xdr:nvSpPr>
            <xdr:cNvPr id="87720" name="ICICI(C)_CheckBox" hidden="1">
              <a:extLst>
                <a:ext uri="{63B3BB69-23CF-44E3-9099-C40C66FF867C}">
                  <a14:compatExt spid="_x0000_s87720"/>
                </a:ext>
                <a:ext uri="{FF2B5EF4-FFF2-40B4-BE49-F238E27FC236}">
                  <a16:creationId xmlns:a16="http://schemas.microsoft.com/office/drawing/2014/main" id="{00000000-0008-0000-4300-0000A8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35</xdr:row>
          <xdr:rowOff>0</xdr:rowOff>
        </xdr:from>
        <xdr:to>
          <xdr:col>6</xdr:col>
          <xdr:colOff>0</xdr:colOff>
          <xdr:row>36</xdr:row>
          <xdr:rowOff>19050</xdr:rowOff>
        </xdr:to>
        <xdr:sp macro="" textlink="">
          <xdr:nvSpPr>
            <xdr:cNvPr id="87721" name="ICICI(C) (P)_CheckBox" hidden="1">
              <a:extLst>
                <a:ext uri="{63B3BB69-23CF-44E3-9099-C40C66FF867C}">
                  <a14:compatExt spid="_x0000_s87721"/>
                </a:ext>
                <a:ext uri="{FF2B5EF4-FFF2-40B4-BE49-F238E27FC236}">
                  <a16:creationId xmlns:a16="http://schemas.microsoft.com/office/drawing/2014/main" id="{00000000-0008-0000-4300-0000A9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36</xdr:row>
          <xdr:rowOff>0</xdr:rowOff>
        </xdr:from>
        <xdr:to>
          <xdr:col>6</xdr:col>
          <xdr:colOff>0</xdr:colOff>
          <xdr:row>37</xdr:row>
          <xdr:rowOff>19050</xdr:rowOff>
        </xdr:to>
        <xdr:sp macro="" textlink="">
          <xdr:nvSpPr>
            <xdr:cNvPr id="87722" name="ICICI(C)2 (P)_CheckBox" hidden="1">
              <a:extLst>
                <a:ext uri="{63B3BB69-23CF-44E3-9099-C40C66FF867C}">
                  <a14:compatExt spid="_x0000_s87722"/>
                </a:ext>
                <a:ext uri="{FF2B5EF4-FFF2-40B4-BE49-F238E27FC236}">
                  <a16:creationId xmlns:a16="http://schemas.microsoft.com/office/drawing/2014/main" id="{00000000-0008-0000-4300-0000AA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ICICI(C)2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37</xdr:row>
          <xdr:rowOff>0</xdr:rowOff>
        </xdr:from>
        <xdr:to>
          <xdr:col>6</xdr:col>
          <xdr:colOff>0</xdr:colOff>
          <xdr:row>38</xdr:row>
          <xdr:rowOff>19050</xdr:rowOff>
        </xdr:to>
        <xdr:sp macro="" textlink="">
          <xdr:nvSpPr>
            <xdr:cNvPr id="87723" name="ICICI(S)_CheckBox" hidden="1">
              <a:extLst>
                <a:ext uri="{63B3BB69-23CF-44E3-9099-C40C66FF867C}">
                  <a14:compatExt spid="_x0000_s87723"/>
                </a:ext>
                <a:ext uri="{FF2B5EF4-FFF2-40B4-BE49-F238E27FC236}">
                  <a16:creationId xmlns:a16="http://schemas.microsoft.com/office/drawing/2014/main" id="{00000000-0008-0000-4300-0000AB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38</xdr:row>
          <xdr:rowOff>0</xdr:rowOff>
        </xdr:from>
        <xdr:to>
          <xdr:col>6</xdr:col>
          <xdr:colOff>0</xdr:colOff>
          <xdr:row>39</xdr:row>
          <xdr:rowOff>19050</xdr:rowOff>
        </xdr:to>
        <xdr:sp macro="" textlink="">
          <xdr:nvSpPr>
            <xdr:cNvPr id="87724" name="ICICI(S) (P)_CheckBox" hidden="1">
              <a:extLst>
                <a:ext uri="{63B3BB69-23CF-44E3-9099-C40C66FF867C}">
                  <a14:compatExt spid="_x0000_s87724"/>
                </a:ext>
                <a:ext uri="{FF2B5EF4-FFF2-40B4-BE49-F238E27FC236}">
                  <a16:creationId xmlns:a16="http://schemas.microsoft.com/office/drawing/2014/main" id="{00000000-0008-0000-4300-0000AC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ICICI(S)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39</xdr:row>
          <xdr:rowOff>0</xdr:rowOff>
        </xdr:from>
        <xdr:to>
          <xdr:col>6</xdr:col>
          <xdr:colOff>0</xdr:colOff>
          <xdr:row>40</xdr:row>
          <xdr:rowOff>19050</xdr:rowOff>
        </xdr:to>
        <xdr:sp macro="" textlink="">
          <xdr:nvSpPr>
            <xdr:cNvPr id="87725" name="IDBI_CheckBox" hidden="1">
              <a:extLst>
                <a:ext uri="{63B3BB69-23CF-44E3-9099-C40C66FF867C}">
                  <a14:compatExt spid="_x0000_s87725"/>
                </a:ext>
                <a:ext uri="{FF2B5EF4-FFF2-40B4-BE49-F238E27FC236}">
                  <a16:creationId xmlns:a16="http://schemas.microsoft.com/office/drawing/2014/main" id="{00000000-0008-0000-4300-0000AD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40</xdr:row>
          <xdr:rowOff>0</xdr:rowOff>
        </xdr:from>
        <xdr:to>
          <xdr:col>6</xdr:col>
          <xdr:colOff>0</xdr:colOff>
          <xdr:row>41</xdr:row>
          <xdr:rowOff>19050</xdr:rowOff>
        </xdr:to>
        <xdr:sp macro="" textlink="">
          <xdr:nvSpPr>
            <xdr:cNvPr id="87726" name="IDBI (P)_CheckBox" hidden="1">
              <a:extLst>
                <a:ext uri="{63B3BB69-23CF-44E3-9099-C40C66FF867C}">
                  <a14:compatExt spid="_x0000_s87726"/>
                </a:ext>
                <a:ext uri="{FF2B5EF4-FFF2-40B4-BE49-F238E27FC236}">
                  <a16:creationId xmlns:a16="http://schemas.microsoft.com/office/drawing/2014/main" id="{00000000-0008-0000-4300-0000AE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41</xdr:row>
          <xdr:rowOff>0</xdr:rowOff>
        </xdr:from>
        <xdr:to>
          <xdr:col>6</xdr:col>
          <xdr:colOff>0</xdr:colOff>
          <xdr:row>42</xdr:row>
          <xdr:rowOff>19050</xdr:rowOff>
        </xdr:to>
        <xdr:sp macro="" textlink="">
          <xdr:nvSpPr>
            <xdr:cNvPr id="87727" name="IDBI(S) (P)_CheckBox" hidden="1">
              <a:extLst>
                <a:ext uri="{63B3BB69-23CF-44E3-9099-C40C66FF867C}">
                  <a14:compatExt spid="_x0000_s87727"/>
                </a:ext>
                <a:ext uri="{FF2B5EF4-FFF2-40B4-BE49-F238E27FC236}">
                  <a16:creationId xmlns:a16="http://schemas.microsoft.com/office/drawing/2014/main" id="{00000000-0008-0000-4300-0000AF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IDBI(S)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42</xdr:row>
          <xdr:rowOff>0</xdr:rowOff>
        </xdr:from>
        <xdr:to>
          <xdr:col>6</xdr:col>
          <xdr:colOff>0</xdr:colOff>
          <xdr:row>43</xdr:row>
          <xdr:rowOff>19050</xdr:rowOff>
        </xdr:to>
        <xdr:sp macro="" textlink="">
          <xdr:nvSpPr>
            <xdr:cNvPr id="87728" name="IDFC_CheckBox" hidden="1">
              <a:extLst>
                <a:ext uri="{63B3BB69-23CF-44E3-9099-C40C66FF867C}">
                  <a14:compatExt spid="_x0000_s87728"/>
                </a:ext>
                <a:ext uri="{FF2B5EF4-FFF2-40B4-BE49-F238E27FC236}">
                  <a16:creationId xmlns:a16="http://schemas.microsoft.com/office/drawing/2014/main" id="{00000000-0008-0000-4300-0000B0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IDFC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43</xdr:row>
          <xdr:rowOff>0</xdr:rowOff>
        </xdr:from>
        <xdr:to>
          <xdr:col>6</xdr:col>
          <xdr:colOff>0</xdr:colOff>
          <xdr:row>44</xdr:row>
          <xdr:rowOff>19050</xdr:rowOff>
        </xdr:to>
        <xdr:sp macro="" textlink="">
          <xdr:nvSpPr>
            <xdr:cNvPr id="87729" name="IDFC (P)_CheckBox" hidden="1">
              <a:extLst>
                <a:ext uri="{63B3BB69-23CF-44E3-9099-C40C66FF867C}">
                  <a14:compatExt spid="_x0000_s87729"/>
                </a:ext>
                <a:ext uri="{FF2B5EF4-FFF2-40B4-BE49-F238E27FC236}">
                  <a16:creationId xmlns:a16="http://schemas.microsoft.com/office/drawing/2014/main" id="{00000000-0008-0000-4300-0000B1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IDFC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44</xdr:row>
          <xdr:rowOff>0</xdr:rowOff>
        </xdr:from>
        <xdr:to>
          <xdr:col>6</xdr:col>
          <xdr:colOff>0</xdr:colOff>
          <xdr:row>45</xdr:row>
          <xdr:rowOff>19050</xdr:rowOff>
        </xdr:to>
        <xdr:sp macro="" textlink="">
          <xdr:nvSpPr>
            <xdr:cNvPr id="87730" name="Indian_CheckBox" hidden="1">
              <a:extLst>
                <a:ext uri="{63B3BB69-23CF-44E3-9099-C40C66FF867C}">
                  <a14:compatExt spid="_x0000_s87730"/>
                </a:ext>
                <a:ext uri="{FF2B5EF4-FFF2-40B4-BE49-F238E27FC236}">
                  <a16:creationId xmlns:a16="http://schemas.microsoft.com/office/drawing/2014/main" id="{00000000-0008-0000-4300-0000B2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Indian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45</xdr:row>
          <xdr:rowOff>0</xdr:rowOff>
        </xdr:from>
        <xdr:to>
          <xdr:col>6</xdr:col>
          <xdr:colOff>0</xdr:colOff>
          <xdr:row>46</xdr:row>
          <xdr:rowOff>19050</xdr:rowOff>
        </xdr:to>
        <xdr:sp macro="" textlink="">
          <xdr:nvSpPr>
            <xdr:cNvPr id="87731" name="indusind_CheckBox" hidden="1">
              <a:extLst>
                <a:ext uri="{63B3BB69-23CF-44E3-9099-C40C66FF867C}">
                  <a14:compatExt spid="_x0000_s87731"/>
                </a:ext>
                <a:ext uri="{FF2B5EF4-FFF2-40B4-BE49-F238E27FC236}">
                  <a16:creationId xmlns:a16="http://schemas.microsoft.com/office/drawing/2014/main" id="{00000000-0008-0000-4300-0000B3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indusind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46</xdr:row>
          <xdr:rowOff>0</xdr:rowOff>
        </xdr:from>
        <xdr:to>
          <xdr:col>6</xdr:col>
          <xdr:colOff>0</xdr:colOff>
          <xdr:row>47</xdr:row>
          <xdr:rowOff>19050</xdr:rowOff>
        </xdr:to>
        <xdr:sp macro="" textlink="">
          <xdr:nvSpPr>
            <xdr:cNvPr id="87732" name="indusind (P)_CheckBox" hidden="1">
              <a:extLst>
                <a:ext uri="{63B3BB69-23CF-44E3-9099-C40C66FF867C}">
                  <a14:compatExt spid="_x0000_s87732"/>
                </a:ext>
                <a:ext uri="{FF2B5EF4-FFF2-40B4-BE49-F238E27FC236}">
                  <a16:creationId xmlns:a16="http://schemas.microsoft.com/office/drawing/2014/main" id="{00000000-0008-0000-4300-0000B4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indusind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47</xdr:row>
          <xdr:rowOff>0</xdr:rowOff>
        </xdr:from>
        <xdr:to>
          <xdr:col>6</xdr:col>
          <xdr:colOff>0</xdr:colOff>
          <xdr:row>48</xdr:row>
          <xdr:rowOff>19050</xdr:rowOff>
        </xdr:to>
        <xdr:sp macro="" textlink="">
          <xdr:nvSpPr>
            <xdr:cNvPr id="87733" name="Kalupur (P)_CheckBox" hidden="1">
              <a:extLst>
                <a:ext uri="{63B3BB69-23CF-44E3-9099-C40C66FF867C}">
                  <a14:compatExt spid="_x0000_s87733"/>
                </a:ext>
                <a:ext uri="{FF2B5EF4-FFF2-40B4-BE49-F238E27FC236}">
                  <a16:creationId xmlns:a16="http://schemas.microsoft.com/office/drawing/2014/main" id="{00000000-0008-0000-4300-0000B5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Kalupur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48</xdr:row>
          <xdr:rowOff>0</xdr:rowOff>
        </xdr:from>
        <xdr:to>
          <xdr:col>6</xdr:col>
          <xdr:colOff>0</xdr:colOff>
          <xdr:row>49</xdr:row>
          <xdr:rowOff>19050</xdr:rowOff>
        </xdr:to>
        <xdr:sp macro="" textlink="">
          <xdr:nvSpPr>
            <xdr:cNvPr id="87734" name="Kotak (P)_CheckBox" hidden="1">
              <a:extLst>
                <a:ext uri="{63B3BB69-23CF-44E3-9099-C40C66FF867C}">
                  <a14:compatExt spid="_x0000_s87734"/>
                </a:ext>
                <a:ext uri="{FF2B5EF4-FFF2-40B4-BE49-F238E27FC236}">
                  <a16:creationId xmlns:a16="http://schemas.microsoft.com/office/drawing/2014/main" id="{00000000-0008-0000-4300-0000B6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49</xdr:row>
          <xdr:rowOff>0</xdr:rowOff>
        </xdr:from>
        <xdr:to>
          <xdr:col>6</xdr:col>
          <xdr:colOff>0</xdr:colOff>
          <xdr:row>50</xdr:row>
          <xdr:rowOff>19050</xdr:rowOff>
        </xdr:to>
        <xdr:sp macro="" textlink="">
          <xdr:nvSpPr>
            <xdr:cNvPr id="87735" name="Kotak(C)_CheckBox" hidden="1">
              <a:extLst>
                <a:ext uri="{63B3BB69-23CF-44E3-9099-C40C66FF867C}">
                  <a14:compatExt spid="_x0000_s87735"/>
                </a:ext>
                <a:ext uri="{FF2B5EF4-FFF2-40B4-BE49-F238E27FC236}">
                  <a16:creationId xmlns:a16="http://schemas.microsoft.com/office/drawing/2014/main" id="{00000000-0008-0000-4300-0000B7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Kotak(C)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50</xdr:row>
          <xdr:rowOff>0</xdr:rowOff>
        </xdr:from>
        <xdr:to>
          <xdr:col>6</xdr:col>
          <xdr:colOff>0</xdr:colOff>
          <xdr:row>51</xdr:row>
          <xdr:rowOff>19050</xdr:rowOff>
        </xdr:to>
        <xdr:sp macro="" textlink="">
          <xdr:nvSpPr>
            <xdr:cNvPr id="87736" name="Kotak(S)_CheckBox" hidden="1">
              <a:extLst>
                <a:ext uri="{63B3BB69-23CF-44E3-9099-C40C66FF867C}">
                  <a14:compatExt spid="_x0000_s87736"/>
                </a:ext>
                <a:ext uri="{FF2B5EF4-FFF2-40B4-BE49-F238E27FC236}">
                  <a16:creationId xmlns:a16="http://schemas.microsoft.com/office/drawing/2014/main" id="{00000000-0008-0000-4300-0000B8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Kotak(S)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51</xdr:row>
          <xdr:rowOff>0</xdr:rowOff>
        </xdr:from>
        <xdr:to>
          <xdr:col>6</xdr:col>
          <xdr:colOff>0</xdr:colOff>
          <xdr:row>52</xdr:row>
          <xdr:rowOff>19050</xdr:rowOff>
        </xdr:to>
        <xdr:sp macro="" textlink="">
          <xdr:nvSpPr>
            <xdr:cNvPr id="87737" name="Kotak2 (P)_CheckBox" hidden="1">
              <a:extLst>
                <a:ext uri="{63B3BB69-23CF-44E3-9099-C40C66FF867C}">
                  <a14:compatExt spid="_x0000_s87737"/>
                </a:ext>
                <a:ext uri="{FF2B5EF4-FFF2-40B4-BE49-F238E27FC236}">
                  <a16:creationId xmlns:a16="http://schemas.microsoft.com/office/drawing/2014/main" id="{00000000-0008-0000-4300-0000B9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52</xdr:row>
          <xdr:rowOff>0</xdr:rowOff>
        </xdr:from>
        <xdr:to>
          <xdr:col>6</xdr:col>
          <xdr:colOff>0</xdr:colOff>
          <xdr:row>53</xdr:row>
          <xdr:rowOff>19050</xdr:rowOff>
        </xdr:to>
        <xdr:sp macro="" textlink="">
          <xdr:nvSpPr>
            <xdr:cNvPr id="87738" name="Kotak3 (P)_CheckBox" hidden="1">
              <a:extLst>
                <a:ext uri="{63B3BB69-23CF-44E3-9099-C40C66FF867C}">
                  <a14:compatExt spid="_x0000_s87738"/>
                </a:ext>
                <a:ext uri="{FF2B5EF4-FFF2-40B4-BE49-F238E27FC236}">
                  <a16:creationId xmlns:a16="http://schemas.microsoft.com/office/drawing/2014/main" id="{00000000-0008-0000-4300-0000BA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Kotak3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53</xdr:row>
          <xdr:rowOff>0</xdr:rowOff>
        </xdr:from>
        <xdr:to>
          <xdr:col>6</xdr:col>
          <xdr:colOff>0</xdr:colOff>
          <xdr:row>54</xdr:row>
          <xdr:rowOff>19050</xdr:rowOff>
        </xdr:to>
        <xdr:sp macro="" textlink="">
          <xdr:nvSpPr>
            <xdr:cNvPr id="87739" name="NEWINDIA(P)_CheckBox" hidden="1">
              <a:extLst>
                <a:ext uri="{63B3BB69-23CF-44E3-9099-C40C66FF867C}">
                  <a14:compatExt spid="_x0000_s87739"/>
                </a:ext>
                <a:ext uri="{FF2B5EF4-FFF2-40B4-BE49-F238E27FC236}">
                  <a16:creationId xmlns:a16="http://schemas.microsoft.com/office/drawing/2014/main" id="{00000000-0008-0000-4300-0000BB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NEWINDIA(P)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54</xdr:row>
          <xdr:rowOff>0</xdr:rowOff>
        </xdr:from>
        <xdr:to>
          <xdr:col>6</xdr:col>
          <xdr:colOff>0</xdr:colOff>
          <xdr:row>55</xdr:row>
          <xdr:rowOff>19050</xdr:rowOff>
        </xdr:to>
        <xdr:sp macro="" textlink="">
          <xdr:nvSpPr>
            <xdr:cNvPr id="87740" name="PNB_CheckBox" hidden="1">
              <a:extLst>
                <a:ext uri="{63B3BB69-23CF-44E3-9099-C40C66FF867C}">
                  <a14:compatExt spid="_x0000_s87740"/>
                </a:ext>
                <a:ext uri="{FF2B5EF4-FFF2-40B4-BE49-F238E27FC236}">
                  <a16:creationId xmlns:a16="http://schemas.microsoft.com/office/drawing/2014/main" id="{00000000-0008-0000-4300-0000BC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PNB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55</xdr:row>
          <xdr:rowOff>0</xdr:rowOff>
        </xdr:from>
        <xdr:to>
          <xdr:col>6</xdr:col>
          <xdr:colOff>0</xdr:colOff>
          <xdr:row>56</xdr:row>
          <xdr:rowOff>19050</xdr:rowOff>
        </xdr:to>
        <xdr:sp macro="" textlink="">
          <xdr:nvSpPr>
            <xdr:cNvPr id="87741" name="PNB (2)_CheckBox" hidden="1">
              <a:extLst>
                <a:ext uri="{63B3BB69-23CF-44E3-9099-C40C66FF867C}">
                  <a14:compatExt spid="_x0000_s87741"/>
                </a:ext>
                <a:ext uri="{FF2B5EF4-FFF2-40B4-BE49-F238E27FC236}">
                  <a16:creationId xmlns:a16="http://schemas.microsoft.com/office/drawing/2014/main" id="{00000000-0008-0000-4300-0000BD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PNB (2)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56</xdr:row>
          <xdr:rowOff>0</xdr:rowOff>
        </xdr:from>
        <xdr:to>
          <xdr:col>6</xdr:col>
          <xdr:colOff>0</xdr:colOff>
          <xdr:row>57</xdr:row>
          <xdr:rowOff>19050</xdr:rowOff>
        </xdr:to>
        <xdr:sp macro="" textlink="">
          <xdr:nvSpPr>
            <xdr:cNvPr id="87742" name="PNB (L)_CheckBox" hidden="1">
              <a:extLst>
                <a:ext uri="{63B3BB69-23CF-44E3-9099-C40C66FF867C}">
                  <a14:compatExt spid="_x0000_s87742"/>
                </a:ext>
                <a:ext uri="{FF2B5EF4-FFF2-40B4-BE49-F238E27FC236}">
                  <a16:creationId xmlns:a16="http://schemas.microsoft.com/office/drawing/2014/main" id="{00000000-0008-0000-4300-0000BE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BE03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PNB (L)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57</xdr:row>
          <xdr:rowOff>0</xdr:rowOff>
        </xdr:from>
        <xdr:to>
          <xdr:col>6</xdr:col>
          <xdr:colOff>0</xdr:colOff>
          <xdr:row>58</xdr:row>
          <xdr:rowOff>19050</xdr:rowOff>
        </xdr:to>
        <xdr:sp macro="" textlink="">
          <xdr:nvSpPr>
            <xdr:cNvPr id="87743" name="Prime_CheckBox" hidden="1">
              <a:extLst>
                <a:ext uri="{63B3BB69-23CF-44E3-9099-C40C66FF867C}">
                  <a14:compatExt spid="_x0000_s87743"/>
                </a:ext>
                <a:ext uri="{FF2B5EF4-FFF2-40B4-BE49-F238E27FC236}">
                  <a16:creationId xmlns:a16="http://schemas.microsoft.com/office/drawing/2014/main" id="{00000000-0008-0000-4300-0000BF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Prime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58</xdr:row>
          <xdr:rowOff>0</xdr:rowOff>
        </xdr:from>
        <xdr:to>
          <xdr:col>6</xdr:col>
          <xdr:colOff>0</xdr:colOff>
          <xdr:row>59</xdr:row>
          <xdr:rowOff>19050</xdr:rowOff>
        </xdr:to>
        <xdr:sp macro="" textlink="">
          <xdr:nvSpPr>
            <xdr:cNvPr id="87744" name="RBL_CheckBox" hidden="1">
              <a:extLst>
                <a:ext uri="{63B3BB69-23CF-44E3-9099-C40C66FF867C}">
                  <a14:compatExt spid="_x0000_s87744"/>
                </a:ext>
                <a:ext uri="{FF2B5EF4-FFF2-40B4-BE49-F238E27FC236}">
                  <a16:creationId xmlns:a16="http://schemas.microsoft.com/office/drawing/2014/main" id="{00000000-0008-0000-4300-0000C0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RBL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59</xdr:row>
          <xdr:rowOff>0</xdr:rowOff>
        </xdr:from>
        <xdr:to>
          <xdr:col>6</xdr:col>
          <xdr:colOff>0</xdr:colOff>
          <xdr:row>60</xdr:row>
          <xdr:rowOff>19050</xdr:rowOff>
        </xdr:to>
        <xdr:sp macro="" textlink="">
          <xdr:nvSpPr>
            <xdr:cNvPr id="87745" name="RNSBE_CheckBox" hidden="1">
              <a:extLst>
                <a:ext uri="{63B3BB69-23CF-44E3-9099-C40C66FF867C}">
                  <a14:compatExt spid="_x0000_s87745"/>
                </a:ext>
                <a:ext uri="{FF2B5EF4-FFF2-40B4-BE49-F238E27FC236}">
                  <a16:creationId xmlns:a16="http://schemas.microsoft.com/office/drawing/2014/main" id="{00000000-0008-0000-4300-0000C1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RNSBE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60</xdr:row>
          <xdr:rowOff>0</xdr:rowOff>
        </xdr:from>
        <xdr:to>
          <xdr:col>6</xdr:col>
          <xdr:colOff>0</xdr:colOff>
          <xdr:row>61</xdr:row>
          <xdr:rowOff>19050</xdr:rowOff>
        </xdr:to>
        <xdr:sp macro="" textlink="">
          <xdr:nvSpPr>
            <xdr:cNvPr id="87746" name="Saraswat_CheckBox" hidden="1">
              <a:extLst>
                <a:ext uri="{63B3BB69-23CF-44E3-9099-C40C66FF867C}">
                  <a14:compatExt spid="_x0000_s87746"/>
                </a:ext>
                <a:ext uri="{FF2B5EF4-FFF2-40B4-BE49-F238E27FC236}">
                  <a16:creationId xmlns:a16="http://schemas.microsoft.com/office/drawing/2014/main" id="{00000000-0008-0000-4300-0000C2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Saraswat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61</xdr:row>
          <xdr:rowOff>0</xdr:rowOff>
        </xdr:from>
        <xdr:to>
          <xdr:col>6</xdr:col>
          <xdr:colOff>0</xdr:colOff>
          <xdr:row>62</xdr:row>
          <xdr:rowOff>19050</xdr:rowOff>
        </xdr:to>
        <xdr:sp macro="" textlink="">
          <xdr:nvSpPr>
            <xdr:cNvPr id="87747" name="SBI_CheckBox" hidden="1">
              <a:extLst>
                <a:ext uri="{63B3BB69-23CF-44E3-9099-C40C66FF867C}">
                  <a14:compatExt spid="_x0000_s87747"/>
                </a:ext>
                <a:ext uri="{FF2B5EF4-FFF2-40B4-BE49-F238E27FC236}">
                  <a16:creationId xmlns:a16="http://schemas.microsoft.com/office/drawing/2014/main" id="{00000000-0008-0000-4300-0000C3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SBI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62</xdr:row>
          <xdr:rowOff>0</xdr:rowOff>
        </xdr:from>
        <xdr:to>
          <xdr:col>6</xdr:col>
          <xdr:colOff>0</xdr:colOff>
          <xdr:row>63</xdr:row>
          <xdr:rowOff>19050</xdr:rowOff>
        </xdr:to>
        <xdr:sp macro="" textlink="">
          <xdr:nvSpPr>
            <xdr:cNvPr id="87748" name="SBI (P)_CheckBox" hidden="1">
              <a:extLst>
                <a:ext uri="{63B3BB69-23CF-44E3-9099-C40C66FF867C}">
                  <a14:compatExt spid="_x0000_s87748"/>
                </a:ext>
                <a:ext uri="{FF2B5EF4-FFF2-40B4-BE49-F238E27FC236}">
                  <a16:creationId xmlns:a16="http://schemas.microsoft.com/office/drawing/2014/main" id="{00000000-0008-0000-4300-0000C4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SBI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63</xdr:row>
          <xdr:rowOff>0</xdr:rowOff>
        </xdr:from>
        <xdr:to>
          <xdr:col>6</xdr:col>
          <xdr:colOff>0</xdr:colOff>
          <xdr:row>64</xdr:row>
          <xdr:rowOff>19050</xdr:rowOff>
        </xdr:to>
        <xdr:sp macro="" textlink="">
          <xdr:nvSpPr>
            <xdr:cNvPr id="87749" name="SCOPB (P)_CheckBox" hidden="1">
              <a:extLst>
                <a:ext uri="{63B3BB69-23CF-44E3-9099-C40C66FF867C}">
                  <a14:compatExt spid="_x0000_s87749"/>
                </a:ext>
                <a:ext uri="{FF2B5EF4-FFF2-40B4-BE49-F238E27FC236}">
                  <a16:creationId xmlns:a16="http://schemas.microsoft.com/office/drawing/2014/main" id="{00000000-0008-0000-4300-0000C5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SCOPB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64</xdr:row>
          <xdr:rowOff>0</xdr:rowOff>
        </xdr:from>
        <xdr:to>
          <xdr:col>6</xdr:col>
          <xdr:colOff>0</xdr:colOff>
          <xdr:row>65</xdr:row>
          <xdr:rowOff>19050</xdr:rowOff>
        </xdr:to>
        <xdr:sp macro="" textlink="">
          <xdr:nvSpPr>
            <xdr:cNvPr id="87750" name="SDCB_CheckBox" hidden="1">
              <a:extLst>
                <a:ext uri="{63B3BB69-23CF-44E3-9099-C40C66FF867C}">
                  <a14:compatExt spid="_x0000_s87750"/>
                </a:ext>
                <a:ext uri="{FF2B5EF4-FFF2-40B4-BE49-F238E27FC236}">
                  <a16:creationId xmlns:a16="http://schemas.microsoft.com/office/drawing/2014/main" id="{00000000-0008-0000-4300-0000C6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SDCB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65</xdr:row>
          <xdr:rowOff>0</xdr:rowOff>
        </xdr:from>
        <xdr:to>
          <xdr:col>6</xdr:col>
          <xdr:colOff>0</xdr:colOff>
          <xdr:row>66</xdr:row>
          <xdr:rowOff>19050</xdr:rowOff>
        </xdr:to>
        <xdr:sp macro="" textlink="">
          <xdr:nvSpPr>
            <xdr:cNvPr id="87751" name="SDCB (P)_CheckBox" hidden="1">
              <a:extLst>
                <a:ext uri="{63B3BB69-23CF-44E3-9099-C40C66FF867C}">
                  <a14:compatExt spid="_x0000_s87751"/>
                </a:ext>
                <a:ext uri="{FF2B5EF4-FFF2-40B4-BE49-F238E27FC236}">
                  <a16:creationId xmlns:a16="http://schemas.microsoft.com/office/drawing/2014/main" id="{00000000-0008-0000-4300-0000C7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SDCB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66</xdr:row>
          <xdr:rowOff>0</xdr:rowOff>
        </xdr:from>
        <xdr:to>
          <xdr:col>6</xdr:col>
          <xdr:colOff>0</xdr:colOff>
          <xdr:row>67</xdr:row>
          <xdr:rowOff>19050</xdr:rowOff>
        </xdr:to>
        <xdr:sp macro="" textlink="">
          <xdr:nvSpPr>
            <xdr:cNvPr id="87752" name="SIB_CheckBox" hidden="1">
              <a:extLst>
                <a:ext uri="{63B3BB69-23CF-44E3-9099-C40C66FF867C}">
                  <a14:compatExt spid="_x0000_s87752"/>
                </a:ext>
                <a:ext uri="{FF2B5EF4-FFF2-40B4-BE49-F238E27FC236}">
                  <a16:creationId xmlns:a16="http://schemas.microsoft.com/office/drawing/2014/main" id="{00000000-0008-0000-4300-0000C8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67</xdr:row>
          <xdr:rowOff>0</xdr:rowOff>
        </xdr:from>
        <xdr:to>
          <xdr:col>6</xdr:col>
          <xdr:colOff>0</xdr:colOff>
          <xdr:row>68</xdr:row>
          <xdr:rowOff>19050</xdr:rowOff>
        </xdr:to>
        <xdr:sp macro="" textlink="">
          <xdr:nvSpPr>
            <xdr:cNvPr id="87753" name="SNCB_CheckBox" hidden="1">
              <a:extLst>
                <a:ext uri="{63B3BB69-23CF-44E3-9099-C40C66FF867C}">
                  <a14:compatExt spid="_x0000_s87753"/>
                </a:ext>
                <a:ext uri="{FF2B5EF4-FFF2-40B4-BE49-F238E27FC236}">
                  <a16:creationId xmlns:a16="http://schemas.microsoft.com/office/drawing/2014/main" id="{00000000-0008-0000-4300-0000C9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SNCB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68</xdr:row>
          <xdr:rowOff>0</xdr:rowOff>
        </xdr:from>
        <xdr:to>
          <xdr:col>6</xdr:col>
          <xdr:colOff>0</xdr:colOff>
          <xdr:row>69</xdr:row>
          <xdr:rowOff>19050</xdr:rowOff>
        </xdr:to>
        <xdr:sp macro="" textlink="">
          <xdr:nvSpPr>
            <xdr:cNvPr id="87754" name="UCO_CheckBox" hidden="1">
              <a:extLst>
                <a:ext uri="{63B3BB69-23CF-44E3-9099-C40C66FF867C}">
                  <a14:compatExt spid="_x0000_s87754"/>
                </a:ext>
                <a:ext uri="{FF2B5EF4-FFF2-40B4-BE49-F238E27FC236}">
                  <a16:creationId xmlns:a16="http://schemas.microsoft.com/office/drawing/2014/main" id="{00000000-0008-0000-4300-0000CA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UCO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69</xdr:row>
          <xdr:rowOff>0</xdr:rowOff>
        </xdr:from>
        <xdr:to>
          <xdr:col>6</xdr:col>
          <xdr:colOff>0</xdr:colOff>
          <xdr:row>70</xdr:row>
          <xdr:rowOff>19050</xdr:rowOff>
        </xdr:to>
        <xdr:sp macro="" textlink="">
          <xdr:nvSpPr>
            <xdr:cNvPr id="87755" name="Union_CheckBox" hidden="1">
              <a:extLst>
                <a:ext uri="{63B3BB69-23CF-44E3-9099-C40C66FF867C}">
                  <a14:compatExt spid="_x0000_s87755"/>
                </a:ext>
                <a:ext uri="{FF2B5EF4-FFF2-40B4-BE49-F238E27FC236}">
                  <a16:creationId xmlns:a16="http://schemas.microsoft.com/office/drawing/2014/main" id="{00000000-0008-0000-4300-0000CB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70</xdr:row>
          <xdr:rowOff>0</xdr:rowOff>
        </xdr:from>
        <xdr:to>
          <xdr:col>6</xdr:col>
          <xdr:colOff>0</xdr:colOff>
          <xdr:row>71</xdr:row>
          <xdr:rowOff>19050</xdr:rowOff>
        </xdr:to>
        <xdr:sp macro="" textlink="">
          <xdr:nvSpPr>
            <xdr:cNvPr id="87756" name="Union (P)_CheckBox" hidden="1">
              <a:extLst>
                <a:ext uri="{63B3BB69-23CF-44E3-9099-C40C66FF867C}">
                  <a14:compatExt spid="_x0000_s87756"/>
                </a:ext>
                <a:ext uri="{FF2B5EF4-FFF2-40B4-BE49-F238E27FC236}">
                  <a16:creationId xmlns:a16="http://schemas.microsoft.com/office/drawing/2014/main" id="{00000000-0008-0000-4300-0000CC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71</xdr:row>
          <xdr:rowOff>0</xdr:rowOff>
        </xdr:from>
        <xdr:to>
          <xdr:col>6</xdr:col>
          <xdr:colOff>0</xdr:colOff>
          <xdr:row>72</xdr:row>
          <xdr:rowOff>19050</xdr:rowOff>
        </xdr:to>
        <xdr:sp macro="" textlink="">
          <xdr:nvSpPr>
            <xdr:cNvPr id="87757" name="Union2 (P)_CheckBox" hidden="1">
              <a:extLst>
                <a:ext uri="{63B3BB69-23CF-44E3-9099-C40C66FF867C}">
                  <a14:compatExt spid="_x0000_s87757"/>
                </a:ext>
                <a:ext uri="{FF2B5EF4-FFF2-40B4-BE49-F238E27FC236}">
                  <a16:creationId xmlns:a16="http://schemas.microsoft.com/office/drawing/2014/main" id="{00000000-0008-0000-4300-0000CD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Union2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72</xdr:row>
          <xdr:rowOff>0</xdr:rowOff>
        </xdr:from>
        <xdr:to>
          <xdr:col>6</xdr:col>
          <xdr:colOff>0</xdr:colOff>
          <xdr:row>73</xdr:row>
          <xdr:rowOff>19050</xdr:rowOff>
        </xdr:to>
        <xdr:sp macro="" textlink="">
          <xdr:nvSpPr>
            <xdr:cNvPr id="87758" name="Varachha_CheckBox" hidden="1">
              <a:extLst>
                <a:ext uri="{63B3BB69-23CF-44E3-9099-C40C66FF867C}">
                  <a14:compatExt spid="_x0000_s87758"/>
                </a:ext>
                <a:ext uri="{FF2B5EF4-FFF2-40B4-BE49-F238E27FC236}">
                  <a16:creationId xmlns:a16="http://schemas.microsoft.com/office/drawing/2014/main" id="{00000000-0008-0000-4300-0000CE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Varachha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73</xdr:row>
          <xdr:rowOff>0</xdr:rowOff>
        </xdr:from>
        <xdr:to>
          <xdr:col>6</xdr:col>
          <xdr:colOff>0</xdr:colOff>
          <xdr:row>74</xdr:row>
          <xdr:rowOff>19050</xdr:rowOff>
        </xdr:to>
        <xdr:sp macro="" textlink="">
          <xdr:nvSpPr>
            <xdr:cNvPr id="87759" name="Varachha (P)_CheckBox" hidden="1">
              <a:extLst>
                <a:ext uri="{63B3BB69-23CF-44E3-9099-C40C66FF867C}">
                  <a14:compatExt spid="_x0000_s87759"/>
                </a:ext>
                <a:ext uri="{FF2B5EF4-FFF2-40B4-BE49-F238E27FC236}">
                  <a16:creationId xmlns:a16="http://schemas.microsoft.com/office/drawing/2014/main" id="{00000000-0008-0000-4300-0000CF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Varachha (P)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74</xdr:row>
          <xdr:rowOff>0</xdr:rowOff>
        </xdr:from>
        <xdr:to>
          <xdr:col>6</xdr:col>
          <xdr:colOff>0</xdr:colOff>
          <xdr:row>75</xdr:row>
          <xdr:rowOff>19050</xdr:rowOff>
        </xdr:to>
        <xdr:sp macro="" textlink="">
          <xdr:nvSpPr>
            <xdr:cNvPr id="87760" name="Yes_CheckBox" hidden="1">
              <a:extLst>
                <a:ext uri="{63B3BB69-23CF-44E3-9099-C40C66FF867C}">
                  <a14:compatExt spid="_x0000_s87760"/>
                </a:ext>
                <a:ext uri="{FF2B5EF4-FFF2-40B4-BE49-F238E27FC236}">
                  <a16:creationId xmlns:a16="http://schemas.microsoft.com/office/drawing/2014/main" id="{00000000-0008-0000-4300-0000D056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CE8C0"/>
            </a:solidFill>
            <a:ln>
              <a:noFill/>
            </a:ln>
            <a:extLs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Yes</a:t>
              </a:r>
            </a:p>
          </xdr:txBody>
        </xdr:sp>
        <xdr:clientData/>
      </xdr:twoCellAnchor>
    </mc:Choice>
    <mc:Fallback/>
  </mc:AlternateContent>
</xdr:wsDr>
</file>

<file path=xl/drawings/drawing6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0</xdr:row>
      <xdr:rowOff>295276</xdr:rowOff>
    </xdr:from>
    <xdr:to>
      <xdr:col>0</xdr:col>
      <xdr:colOff>1590675</xdr:colOff>
      <xdr:row>2</xdr:row>
      <xdr:rowOff>85726</xdr:rowOff>
    </xdr:to>
    <xdr:sp macro="[0]!Master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4300-000002000000}"/>
            </a:ext>
          </a:extLst>
        </xdr:cNvPr>
        <xdr:cNvSpPr/>
      </xdr:nvSpPr>
      <xdr:spPr>
        <a:xfrm>
          <a:off x="114299" y="295276"/>
          <a:ext cx="1476376" cy="457200"/>
        </a:xfrm>
        <a:prstGeom prst="roundRect">
          <a:avLst/>
        </a:prstGeom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Combain</a:t>
          </a:r>
          <a:r>
            <a:rPr lang="en-US" sz="1100" baseline="0">
              <a:solidFill>
                <a:schemeClr val="bg1"/>
              </a:solidFill>
            </a:rPr>
            <a:t> All Bank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1371600</xdr:colOff>
      <xdr:row>0</xdr:row>
      <xdr:rowOff>314325</xdr:rowOff>
    </xdr:from>
    <xdr:to>
      <xdr:col>8</xdr:col>
      <xdr:colOff>2628899</xdr:colOff>
      <xdr:row>2</xdr:row>
      <xdr:rowOff>38101</xdr:rowOff>
    </xdr:to>
    <xdr:sp macro="[0]!clearwithourprotect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4300-000003000000}"/>
            </a:ext>
          </a:extLst>
        </xdr:cNvPr>
        <xdr:cNvSpPr/>
      </xdr:nvSpPr>
      <xdr:spPr>
        <a:xfrm>
          <a:off x="12049125" y="314325"/>
          <a:ext cx="1257299" cy="390526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ysClr val="windowText" lastClr="000000"/>
              </a:solidFill>
            </a:rPr>
            <a:t>Clear</a:t>
          </a:r>
          <a:r>
            <a:rPr lang="en-US" sz="1100" baseline="0">
              <a:solidFill>
                <a:schemeClr val="bg1"/>
              </a:solidFill>
            </a:rPr>
            <a:t> 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0</xdr:col>
      <xdr:colOff>114300</xdr:colOff>
      <xdr:row>2</xdr:row>
      <xdr:rowOff>142875</xdr:rowOff>
    </xdr:from>
    <xdr:to>
      <xdr:col>0</xdr:col>
      <xdr:colOff>1590675</xdr:colOff>
      <xdr:row>3</xdr:row>
      <xdr:rowOff>228601</xdr:rowOff>
    </xdr:to>
    <xdr:sp macro="[0]!export_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4300-000004000000}"/>
            </a:ext>
          </a:extLst>
        </xdr:cNvPr>
        <xdr:cNvSpPr/>
      </xdr:nvSpPr>
      <xdr:spPr>
        <a:xfrm>
          <a:off x="114300" y="809625"/>
          <a:ext cx="1476375" cy="419101"/>
        </a:xfrm>
        <a:prstGeom prst="roundRect">
          <a:avLst/>
        </a:prstGeom>
        <a:solidFill>
          <a:schemeClr val="accent6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chemeClr val="bg1"/>
              </a:solidFill>
            </a:rPr>
            <a:t>Export</a:t>
          </a:r>
          <a:endParaRPr lang="en-US" sz="1100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1362075</xdr:colOff>
      <xdr:row>2</xdr:row>
      <xdr:rowOff>133350</xdr:rowOff>
    </xdr:from>
    <xdr:to>
      <xdr:col>8</xdr:col>
      <xdr:colOff>2638425</xdr:colOff>
      <xdr:row>3</xdr:row>
      <xdr:rowOff>190501</xdr:rowOff>
    </xdr:to>
    <xdr:sp macro="[0]!Clearall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4300-000005000000}"/>
            </a:ext>
          </a:extLst>
        </xdr:cNvPr>
        <xdr:cNvSpPr/>
      </xdr:nvSpPr>
      <xdr:spPr>
        <a:xfrm>
          <a:off x="11649075" y="800100"/>
          <a:ext cx="1276350" cy="390526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aseline="0">
              <a:solidFill>
                <a:sysClr val="windowText" lastClr="000000"/>
              </a:solidFill>
            </a:rPr>
            <a:t>All Data Clear 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114300</xdr:colOff>
      <xdr:row>0</xdr:row>
      <xdr:rowOff>219075</xdr:rowOff>
    </xdr:from>
    <xdr:to>
      <xdr:col>3</xdr:col>
      <xdr:colOff>38100</xdr:colOff>
      <xdr:row>1</xdr:row>
      <xdr:rowOff>266701</xdr:rowOff>
    </xdr:to>
    <xdr:sp macro="[0]!CompanyLis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4300-000006000000}"/>
            </a:ext>
          </a:extLst>
        </xdr:cNvPr>
        <xdr:cNvSpPr/>
      </xdr:nvSpPr>
      <xdr:spPr>
        <a:xfrm>
          <a:off x="3076575" y="219075"/>
          <a:ext cx="1209675" cy="381001"/>
        </a:xfrm>
        <a:prstGeom prst="roundRect">
          <a:avLst/>
        </a:prstGeom>
        <a:solidFill>
          <a:schemeClr val="accent4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Company List</a:t>
          </a:r>
        </a:p>
      </xdr:txBody>
    </xdr:sp>
    <xdr:clientData/>
  </xdr:twoCellAnchor>
  <xdr:twoCellAnchor>
    <xdr:from>
      <xdr:col>3</xdr:col>
      <xdr:colOff>304800</xdr:colOff>
      <xdr:row>0</xdr:row>
      <xdr:rowOff>219075</xdr:rowOff>
    </xdr:from>
    <xdr:to>
      <xdr:col>4</xdr:col>
      <xdr:colOff>228600</xdr:colOff>
      <xdr:row>1</xdr:row>
      <xdr:rowOff>266701</xdr:rowOff>
    </xdr:to>
    <xdr:sp macro="[0]!AccountMaping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4300-000007000000}"/>
            </a:ext>
          </a:extLst>
        </xdr:cNvPr>
        <xdr:cNvSpPr/>
      </xdr:nvSpPr>
      <xdr:spPr>
        <a:xfrm>
          <a:off x="4552950" y="219075"/>
          <a:ext cx="1209675" cy="381001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</a:rPr>
            <a:t>Account Map</a:t>
          </a:r>
        </a:p>
      </xdr:txBody>
    </xdr:sp>
    <xdr:clientData/>
  </xdr:twoCellAnchor>
</xdr:wsDr>
</file>

<file path=xl/drawings/drawing7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581025</xdr:colOff>
      <xdr:row>15</xdr:row>
      <xdr:rowOff>28575</xdr:rowOff>
    </xdr:from>
    <xdr:to>
      <xdr:col>1</xdr:col>
      <xdr:colOff>933450</xdr:colOff>
      <xdr:row>16</xdr:row>
      <xdr:rowOff>162075</xdr:rowOff>
    </xdr:to>
    <xdr:sp macro="[0]!Registration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4400-000002000000}"/>
            </a:ext>
          </a:extLst>
        </xdr:cNvPr>
        <xdr:cNvSpPr>
          <a:spLocks/>
        </xdr:cNvSpPr>
      </xdr:nvSpPr>
      <xdr:spPr>
        <a:xfrm>
          <a:off x="581025" y="2886075"/>
          <a:ext cx="1933575" cy="32400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Registration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68.xml"/><Relationship Id="rId16" Type="http://schemas.openxmlformats.org/officeDocument/2006/relationships/ctrlProp" Target="../ctrlProps/ctrlProp13.xml"/><Relationship Id="rId29" Type="http://schemas.openxmlformats.org/officeDocument/2006/relationships/ctrlProp" Target="../ctrlProps/ctrlProp26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68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Sheet31"/>
  <dimension ref="A1:DZ4"/>
  <sheetViews>
    <sheetView workbookViewId="0">
      <selection activeCell="F28" sqref="F28"/>
    </sheetView>
  </sheetViews>
  <sheetFormatPr defaultRowHeight="15"/>
  <cols>
    <col min="1" max="1" width="25.42578125" style="6" customWidth="1"/>
    <col min="2" max="2" width="23" style="6" customWidth="1"/>
    <col min="3" max="3" width="25.42578125" style="6" customWidth="1"/>
    <col min="4" max="4" width="6.28515625" style="6" customWidth="1"/>
    <col min="5" max="9" width="25.42578125" style="6" customWidth="1"/>
    <col min="10" max="10" width="12.5703125" style="6" customWidth="1"/>
    <col min="11" max="12" width="8" style="6" customWidth="1"/>
    <col min="13" max="13" width="22" style="6" customWidth="1"/>
    <col min="14" max="14" width="8" style="6" customWidth="1"/>
    <col min="15" max="15" width="11.28515625" style="6" customWidth="1"/>
    <col min="16" max="20" width="4" style="6" customWidth="1"/>
    <col min="21" max="22" width="8" style="6" customWidth="1"/>
    <col min="23" max="26" width="3.42578125" style="6" customWidth="1"/>
    <col min="27" max="27" width="14.42578125" style="6" customWidth="1"/>
    <col min="28" max="28" width="8" style="6" customWidth="1"/>
    <col min="29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AU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161</v>
      </c>
      <c r="B3" s="56"/>
      <c r="C3" s="55"/>
      <c r="D3" s="55"/>
      <c r="E3" s="57"/>
      <c r="F3" s="55"/>
      <c r="G3" s="58"/>
      <c r="H3" s="59"/>
      <c r="I3" s="55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AU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IF(O3="-",VALUE("0"),VALUE(SUBSTITUTE((O3),",","")))</f>
        <v>#VALUE!</v>
      </c>
      <c r="DE3" s="26" t="e">
        <f>IF(V3="-",VALUE("0"),VALUE(SUBSTITUTE((V3),",","")))</f>
        <v>#VALUE!</v>
      </c>
      <c r="DF3" s="26" t="e">
        <f>IF(AA3=" ","",VALUE(SUBSTITUTE((SUBSTITUTE((AA3),"Cr","")),",","")))</f>
        <v>#VALUE!</v>
      </c>
      <c r="DG3" s="27">
        <f>+M3</f>
        <v>0</v>
      </c>
      <c r="DH3" s="28" t="e">
        <f>VALUE(A3)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 thickBot="1">
      <c r="A4" s="84" t="s">
        <v>32</v>
      </c>
      <c r="B4" s="82"/>
      <c r="C4" s="82" t="s">
        <v>156</v>
      </c>
      <c r="D4" s="82"/>
      <c r="E4" s="82"/>
      <c r="F4" s="82"/>
      <c r="G4" s="82"/>
      <c r="H4" s="82"/>
      <c r="I4" s="82"/>
      <c r="J4" s="82" t="s">
        <v>157</v>
      </c>
      <c r="K4" s="82"/>
      <c r="L4" s="82"/>
      <c r="M4" s="82" t="s">
        <v>158</v>
      </c>
      <c r="N4" s="82"/>
      <c r="O4" s="82" t="s">
        <v>159</v>
      </c>
      <c r="P4" s="82"/>
      <c r="Q4" s="82"/>
      <c r="R4" s="82"/>
      <c r="S4" s="82"/>
      <c r="T4" s="82"/>
      <c r="U4" s="82"/>
      <c r="V4" s="82" t="s">
        <v>160</v>
      </c>
      <c r="W4" s="82"/>
      <c r="X4" s="82"/>
      <c r="Y4" s="82"/>
      <c r="Z4" s="82"/>
      <c r="AA4" s="82" t="s">
        <v>11</v>
      </c>
      <c r="AB4" s="83"/>
      <c r="DA4" s="38" t="str">
        <f>+DA3</f>
        <v>AU SMALL FINANCE BANK</v>
      </c>
    </row>
  </sheetData>
  <sheetProtection algorithmName="SHA-512" hashValue="nobzGAu5cpyTjTt/2fFMf7C1VkYZFwo9R5uZ0SC1rLFaEWvrQ6xh7z3VSkGSt0bJJPhLIVvmeA8qaa5SdSD95Q==" saltValue="EoJRtZzu62pjAA616vL2u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 I1:I2">
    <cfRule type="cellIs" dxfId="722" priority="10" operator="equal">
      <formula>#N/A</formula>
    </cfRule>
  </conditionalFormatting>
  <conditionalFormatting sqref="H1">
    <cfRule type="cellIs" dxfId="721" priority="9" operator="equal">
      <formula>#N/A</formula>
    </cfRule>
  </conditionalFormatting>
  <conditionalFormatting sqref="E1">
    <cfRule type="cellIs" dxfId="720" priority="8" operator="equal">
      <formula>#N/A</formula>
    </cfRule>
  </conditionalFormatting>
  <conditionalFormatting sqref="I1">
    <cfRule type="containsText" dxfId="719" priority="6" operator="containsText" text="All Data Import Successfully">
      <formula>NOT(ISERROR(SEARCH("All Data Import Successfully",I1)))</formula>
    </cfRule>
    <cfRule type="containsText" dxfId="718" priority="7" operator="containsText" text="Difference Entry">
      <formula>NOT(ISERROR(SEARCH("Difference Entry",I1)))</formula>
    </cfRule>
  </conditionalFormatting>
  <conditionalFormatting sqref="DG2">
    <cfRule type="cellIs" dxfId="717" priority="5" operator="equal">
      <formula>#N/A</formula>
    </cfRule>
  </conditionalFormatting>
  <conditionalFormatting sqref="DH2:DI2">
    <cfRule type="cellIs" dxfId="716" priority="4" operator="equal">
      <formula>#N/A</formula>
    </cfRule>
  </conditionalFormatting>
  <conditionalFormatting sqref="E2:G2">
    <cfRule type="cellIs" dxfId="715" priority="3" operator="equal">
      <formula>#N/A</formula>
    </cfRule>
  </conditionalFormatting>
  <conditionalFormatting sqref="H2">
    <cfRule type="cellIs" dxfId="714" priority="2" operator="equal">
      <formula>#N/A</formula>
    </cfRule>
  </conditionalFormatting>
  <conditionalFormatting sqref="I2">
    <cfRule type="cellIs" dxfId="71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43">
    <tabColor theme="4" tint="0.79998168889431442"/>
  </sheetPr>
  <dimension ref="A1:DZ4"/>
  <sheetViews>
    <sheetView workbookViewId="0">
      <selection activeCell="C25" sqref="C25"/>
    </sheetView>
  </sheetViews>
  <sheetFormatPr defaultRowHeight="15"/>
  <cols>
    <col min="1" max="9" width="25.7109375" style="6" customWidth="1"/>
    <col min="10" max="10" width="12.5703125" style="6" customWidth="1"/>
    <col min="11" max="12" width="8" style="6" customWidth="1"/>
    <col min="13" max="13" width="22" style="6" customWidth="1"/>
    <col min="14" max="14" width="8" style="6" customWidth="1"/>
    <col min="15" max="15" width="11.28515625" style="6" customWidth="1"/>
    <col min="16" max="20" width="4" style="6" customWidth="1"/>
    <col min="21" max="22" width="8" style="6" customWidth="1"/>
    <col min="23" max="26" width="3.42578125" style="6" customWidth="1"/>
    <col min="27" max="27" width="14.42578125" style="6" customWidth="1"/>
    <col min="28" max="28" width="8" style="6" customWidth="1"/>
    <col min="29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179</v>
      </c>
      <c r="T1" s="92">
        <v>7</v>
      </c>
      <c r="U1" s="92" t="s">
        <v>180</v>
      </c>
      <c r="V1" s="92" t="s">
        <v>171</v>
      </c>
      <c r="W1" s="92" t="s">
        <v>172</v>
      </c>
      <c r="X1" s="99" t="s">
        <v>6</v>
      </c>
      <c r="Y1" s="99">
        <v>10</v>
      </c>
      <c r="Z1" s="92">
        <v>0</v>
      </c>
      <c r="AA1" s="92" t="s">
        <v>254</v>
      </c>
      <c r="AB1" s="92" t="s">
        <v>196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AU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161</v>
      </c>
      <c r="B3" s="56"/>
      <c r="C3" s="55"/>
      <c r="D3" s="55"/>
      <c r="E3" s="57"/>
      <c r="F3" s="55"/>
      <c r="G3" s="58"/>
      <c r="H3" s="59"/>
      <c r="I3" s="55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AU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IF(F3="-",VALUE("0"),VALUE(SUBSTITUTE((F3),",","")))</f>
        <v>#VALUE!</v>
      </c>
      <c r="DE3" s="26" t="e">
        <f>IF(G3="-",VALUE("0"),VALUE(SUBSTITUTE((G3),",","")))</f>
        <v>#VALUE!</v>
      </c>
      <c r="DF3" s="26" t="e">
        <f>IF(H3=" ","",VALUE(SUBSTITUTE((SUBSTITUTE((H3),"Cr","")),",","")))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e">
        <f>+IF(DE3=0,"Suspance Payment","Suspance Receipt")</f>
        <v>#VALUE!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>
      <c r="A4" s="176" t="s">
        <v>256</v>
      </c>
      <c r="B4" s="177" t="s">
        <v>257</v>
      </c>
      <c r="C4" s="178"/>
      <c r="D4" s="179" t="s">
        <v>258</v>
      </c>
      <c r="E4" s="180" t="s">
        <v>259</v>
      </c>
      <c r="F4" s="181" t="s">
        <v>260</v>
      </c>
      <c r="G4" s="181" t="s">
        <v>261</v>
      </c>
      <c r="H4" s="182" t="s">
        <v>262</v>
      </c>
      <c r="DA4" s="38" t="str">
        <f>+DA3</f>
        <v>AU SMALL FINANCE BANK</v>
      </c>
    </row>
  </sheetData>
  <sheetProtection algorithmName="SHA-512" hashValue="QqkdBDBXLsvCziA/aB5fJSIEzYP5Edr/y1UrEZm9eobqd+4hXZVtn33T3JlieOIHUITIK0OXRgRBckae0tdOXw==" saltValue="4N7td0orK53dhX6dKDLSF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712" priority="22" operator="equal">
      <formula>#N/A</formula>
    </cfRule>
  </conditionalFormatting>
  <conditionalFormatting sqref="DG2">
    <cfRule type="cellIs" dxfId="711" priority="17" operator="equal">
      <formula>#N/A</formula>
    </cfRule>
  </conditionalFormatting>
  <conditionalFormatting sqref="DH2:DI2">
    <cfRule type="cellIs" dxfId="710" priority="16" operator="equal">
      <formula>#N/A</formula>
    </cfRule>
  </conditionalFormatting>
  <conditionalFormatting sqref="I1">
    <cfRule type="cellIs" dxfId="709" priority="12" operator="equal">
      <formula>#N/A</formula>
    </cfRule>
  </conditionalFormatting>
  <conditionalFormatting sqref="H1">
    <cfRule type="cellIs" dxfId="708" priority="11" operator="equal">
      <formula>#N/A</formula>
    </cfRule>
  </conditionalFormatting>
  <conditionalFormatting sqref="E1">
    <cfRule type="cellIs" dxfId="707" priority="10" operator="equal">
      <formula>#N/A</formula>
    </cfRule>
  </conditionalFormatting>
  <conditionalFormatting sqref="I1">
    <cfRule type="containsText" dxfId="706" priority="8" operator="containsText" text="All Data Import Successfully">
      <formula>NOT(ISERROR(SEARCH("All Data Import Successfully",I1)))</formula>
    </cfRule>
    <cfRule type="containsText" dxfId="705" priority="9" operator="containsText" text="Difference Entry">
      <formula>NOT(ISERROR(SEARCH("Difference Entry",I1)))</formula>
    </cfRule>
  </conditionalFormatting>
  <conditionalFormatting sqref="I2">
    <cfRule type="cellIs" dxfId="704" priority="4" operator="equal">
      <formula>#N/A</formula>
    </cfRule>
  </conditionalFormatting>
  <conditionalFormatting sqref="E2:G2">
    <cfRule type="cellIs" dxfId="703" priority="3" operator="equal">
      <formula>#N/A</formula>
    </cfRule>
  </conditionalFormatting>
  <conditionalFormatting sqref="H2">
    <cfRule type="cellIs" dxfId="702" priority="2" operator="equal">
      <formula>#N/A</formula>
    </cfRule>
  </conditionalFormatting>
  <conditionalFormatting sqref="I2">
    <cfRule type="cellIs" dxfId="70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024E7-CD81-4353-B90B-4B95EC651DD7}">
  <sheetPr codeName="Sheet66">
    <tabColor theme="8" tint="0.79998168889431442"/>
  </sheetPr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212</v>
      </c>
      <c r="T1" s="92">
        <v>7</v>
      </c>
      <c r="U1" s="92" t="s">
        <v>196</v>
      </c>
      <c r="V1" s="92" t="s">
        <v>180</v>
      </c>
      <c r="W1" s="92" t="s">
        <v>171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61</v>
      </c>
      <c r="B3" s="56"/>
      <c r="C3" s="55"/>
      <c r="D3" s="55"/>
      <c r="E3" s="57"/>
      <c r="F3" s="55"/>
      <c r="G3" s="58"/>
      <c r="H3" s="59"/>
      <c r="I3" s="55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IF(OR(D3=" ", D3=""), 0, VALUE(SUBSTITUTE(D3, ",", "")))</f>
        <v>0</v>
      </c>
      <c r="DE3" s="26">
        <f>IF(OR(F3=" ", F3=""),VALUE("0"),VALUE(SUBSTITUTE((F3),",","")))</f>
        <v>0</v>
      </c>
      <c r="DF3" s="26" t="str">
        <f>IF(OR(H3=" ", H3=""),"",VALUE(SUBSTITUTE((H3),",","")))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5.5">
      <c r="A4" s="311" t="s">
        <v>1090</v>
      </c>
      <c r="B4" s="311" t="s">
        <v>1091</v>
      </c>
      <c r="C4" s="312" t="s">
        <v>1092</v>
      </c>
      <c r="D4" s="328" t="s">
        <v>1093</v>
      </c>
      <c r="E4" s="328"/>
      <c r="F4" s="329" t="s">
        <v>1094</v>
      </c>
      <c r="G4" s="329"/>
      <c r="H4" s="313" t="s">
        <v>1095</v>
      </c>
      <c r="I4" s="314" t="s">
        <v>1096</v>
      </c>
      <c r="DA4" s="38" t="str">
        <f>+DA3</f>
        <v>Axis Bank A/c.</v>
      </c>
    </row>
  </sheetData>
  <sheetProtection algorithmName="SHA-512" hashValue="HFobUa850lmCrzeX78rLlaco514UwH4gZcY8Y6QALbK7OmS/sKiOaDq2okDUWlDiVOooc7tzFdNK+Ul9eid7bw==" saltValue="MaGIxndr3O00VlTIlnEz1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mergeCells count="2">
    <mergeCell ref="D4:E4"/>
    <mergeCell ref="F4:G4"/>
  </mergeCells>
  <conditionalFormatting sqref="E3">
    <cfRule type="cellIs" dxfId="700" priority="11" operator="equal">
      <formula>#N/A</formula>
    </cfRule>
  </conditionalFormatting>
  <conditionalFormatting sqref="DG2">
    <cfRule type="cellIs" dxfId="699" priority="10" operator="equal">
      <formula>#N/A</formula>
    </cfRule>
  </conditionalFormatting>
  <conditionalFormatting sqref="DH2:DI2">
    <cfRule type="cellIs" dxfId="698" priority="9" operator="equal">
      <formula>#N/A</formula>
    </cfRule>
  </conditionalFormatting>
  <conditionalFormatting sqref="I1:I2">
    <cfRule type="cellIs" dxfId="697" priority="8" operator="equal">
      <formula>#N/A</formula>
    </cfRule>
  </conditionalFormatting>
  <conditionalFormatting sqref="H1">
    <cfRule type="cellIs" dxfId="696" priority="7" operator="equal">
      <formula>#N/A</formula>
    </cfRule>
  </conditionalFormatting>
  <conditionalFormatting sqref="E1">
    <cfRule type="cellIs" dxfId="695" priority="6" operator="equal">
      <formula>#N/A</formula>
    </cfRule>
  </conditionalFormatting>
  <conditionalFormatting sqref="I1">
    <cfRule type="containsText" dxfId="694" priority="4" operator="containsText" text="All Data Import Successfully">
      <formula>NOT(ISERROR(SEARCH("All Data Import Successfully",I1)))</formula>
    </cfRule>
    <cfRule type="containsText" dxfId="693" priority="5" operator="containsText" text="Difference Entry">
      <formula>NOT(ISERROR(SEARCH("Difference Entry",I1)))</formula>
    </cfRule>
  </conditionalFormatting>
  <conditionalFormatting sqref="E2:G2">
    <cfRule type="cellIs" dxfId="692" priority="3" operator="equal">
      <formula>#N/A</formula>
    </cfRule>
  </conditionalFormatting>
  <conditionalFormatting sqref="H2">
    <cfRule type="cellIs" dxfId="691" priority="2" operator="equal">
      <formula>#N/A</formula>
    </cfRule>
  </conditionalFormatting>
  <conditionalFormatting sqref="I2">
    <cfRule type="cellIs" dxfId="69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DZ4"/>
  <sheetViews>
    <sheetView tabSelected="1" workbookViewId="0">
      <selection activeCell="D14" sqref="D14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191</v>
      </c>
      <c r="T1" s="92">
        <v>8</v>
      </c>
      <c r="U1" s="92" t="s">
        <v>171</v>
      </c>
      <c r="V1" s="92" t="s">
        <v>171</v>
      </c>
      <c r="W1" s="92" t="s">
        <v>167</v>
      </c>
      <c r="X1" s="99" t="s">
        <v>6</v>
      </c>
      <c r="Y1" s="99">
        <v>5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 ht="15.75" thickBot="1">
      <c r="A3" s="55" t="s">
        <v>109</v>
      </c>
      <c r="B3" s="56"/>
      <c r="C3" s="55"/>
      <c r="D3" s="55" t="s">
        <v>211</v>
      </c>
      <c r="E3" s="57"/>
      <c r="F3" s="55"/>
      <c r="G3" s="58"/>
      <c r="H3" s="59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 (Cur)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IF(F3="CR",VALUE("0"),VALUE(SUBSTITUTE((E3),",","")))</f>
        <v>#VALUE!</v>
      </c>
      <c r="DE3" s="26" t="e">
        <f>IF(F3="DR",VALUE("0"),VALUE(SUBSTITUTE((E3),",","")))</f>
        <v>#VALUE!</v>
      </c>
      <c r="DF3" s="26" t="e">
        <f>IF(G3=" ","",VALUE(SUBSTITUTE((G3),",","")))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 t="str">
        <f>+IF(ISBLANK(D3),C3,D3)</f>
        <v>C:\Users\ADITYA\Desktop\Ecomm\Bank Statement\axis bank .xls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39</v>
      </c>
      <c r="B4" s="101" t="s">
        <v>18</v>
      </c>
      <c r="C4" s="101" t="s">
        <v>40</v>
      </c>
      <c r="D4" s="101" t="s">
        <v>187</v>
      </c>
      <c r="E4" s="101" t="s">
        <v>188</v>
      </c>
      <c r="F4" s="101" t="s">
        <v>189</v>
      </c>
      <c r="G4" s="101" t="s">
        <v>108</v>
      </c>
      <c r="H4" s="102" t="s">
        <v>190</v>
      </c>
      <c r="DA4" s="23" t="str">
        <f>+DA3</f>
        <v>Axis Bank A/c. (Cur)</v>
      </c>
      <c r="DB4" s="24" t="e">
        <f>VALUE(A4)</f>
        <v>#VALUE!</v>
      </c>
      <c r="DC4" s="25" t="str">
        <f>+CONCATENATE(TEXT(A4,"D"),"",TEXT(A4,"MM"),"","/",SUBSTITUTE(F4,",",""),"/",DK4)</f>
        <v>Tran DateTran Date/DR|CR/2</v>
      </c>
      <c r="DD4" s="26" t="e">
        <f>IF(G4="CR",VALUE("0"),VALUE(SUBSTITUTE((F4),",","")))</f>
        <v>#VALUE!</v>
      </c>
      <c r="DE4" s="26" t="e">
        <f>IF(G4="DR",VALUE("0"),VALUE(SUBSTITUTE((F4),",","")))</f>
        <v>#VALUE!</v>
      </c>
      <c r="DF4" s="26" t="e">
        <f>IF(H4=" ","",VALUE(SUBSTITUTE((H4),",","")))</f>
        <v>#VALUE!</v>
      </c>
      <c r="DG4" s="27" t="str">
        <f ca="1">(SUBSTITUTE(TRIM(IF(LEFT(C4,3)="CLG"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6)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12))),".",""))</f>
        <v/>
      </c>
      <c r="DH4" s="28" t="e">
        <f>+VALUE(A4)</f>
        <v>#VALUE!</v>
      </c>
      <c r="DI4" s="28" t="e">
        <f>+IF(DE4=0,"Suspance Payment","Suspance Receipt")</f>
        <v>#VALUE!</v>
      </c>
      <c r="DJ4" s="39" t="str">
        <f>+C4</f>
        <v>CHQNO</v>
      </c>
      <c r="DK4" s="30">
        <f>+DK3+1</f>
        <v>2</v>
      </c>
    </row>
  </sheetData>
  <sheetProtection algorithmName="SHA-512" hashValue="gEMlqRhWIDCZSge/FT1yvnuCTVsajB6MDVN2twaL7uU93aZyy6QBUsvaoacZSjMeLBYBYmrEEnUXSfaNIB287Q==" saltValue="GiURz4+2C1niJYWdVWXPq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:DJ4 DA3:DC4 DH3:DH4" name="Range1_5"/>
    <protectedRange algorithmName="SHA-512" hashValue="FeHjunJeBmEIe1Z+x4LSLD0xeXKoeHqEB4mLNgYC3pUDxBFAiT2e1scH7F48tQXpPGOh+9Z9iw2K5jb0kUxFkQ==" saltValue="Arxg+XESKZddo6Y2q+NDbg==" spinCount="100000" sqref="DE3:DF4" name="Range1_1_2"/>
    <protectedRange algorithmName="SHA-512" hashValue="FeHjunJeBmEIe1Z+x4LSLD0xeXKoeHqEB4mLNgYC3pUDxBFAiT2e1scH7F48tQXpPGOh+9Z9iw2K5jb0kUxFkQ==" saltValue="Arxg+XESKZddo6Y2q+NDbg==" spinCount="100000" sqref="DI3:DI4" name="Range1_2_2"/>
    <protectedRange algorithmName="SHA-512" hashValue="FeHjunJeBmEIe1Z+x4LSLD0xeXKoeHqEB4mLNgYC3pUDxBFAiT2e1scH7F48tQXpPGOh+9Z9iw2K5jb0kUxFkQ==" saltValue="Arxg+XESKZddo6Y2q+NDbg==" spinCount="100000" sqref="DK3:DK4" name="Range1_3_2"/>
    <protectedRange algorithmName="SHA-512" hashValue="FeHjunJeBmEIe1Z+x4LSLD0xeXKoeHqEB4mLNgYC3pUDxBFAiT2e1scH7F48tQXpPGOh+9Z9iw2K5jb0kUxFkQ==" saltValue="Arxg+XESKZddo6Y2q+NDbg==" spinCount="100000" sqref="DD3:DD4" name="Range1_1_4"/>
  </protectedRanges>
  <conditionalFormatting sqref="E3">
    <cfRule type="cellIs" dxfId="689" priority="18" operator="equal">
      <formula>#N/A</formula>
    </cfRule>
  </conditionalFormatting>
  <conditionalFormatting sqref="DG2">
    <cfRule type="cellIs" dxfId="688" priority="13" operator="equal">
      <formula>#N/A</formula>
    </cfRule>
  </conditionalFormatting>
  <conditionalFormatting sqref="DH2:DI2">
    <cfRule type="cellIs" dxfId="687" priority="12" operator="equal">
      <formula>#N/A</formula>
    </cfRule>
  </conditionalFormatting>
  <conditionalFormatting sqref="I1:I2">
    <cfRule type="cellIs" dxfId="686" priority="8" operator="equal">
      <formula>#N/A</formula>
    </cfRule>
  </conditionalFormatting>
  <conditionalFormatting sqref="H1">
    <cfRule type="cellIs" dxfId="685" priority="7" operator="equal">
      <formula>#N/A</formula>
    </cfRule>
  </conditionalFormatting>
  <conditionalFormatting sqref="E1">
    <cfRule type="cellIs" dxfId="684" priority="6" operator="equal">
      <formula>#N/A</formula>
    </cfRule>
  </conditionalFormatting>
  <conditionalFormatting sqref="I1">
    <cfRule type="containsText" dxfId="683" priority="4" operator="containsText" text="All Data Import Successfully">
      <formula>NOT(ISERROR(SEARCH("All Data Import Successfully",I1)))</formula>
    </cfRule>
    <cfRule type="containsText" dxfId="682" priority="5" operator="containsText" text="Difference Entry">
      <formula>NOT(ISERROR(SEARCH("Difference Entry",I1)))</formula>
    </cfRule>
  </conditionalFormatting>
  <conditionalFormatting sqref="E2:G2">
    <cfRule type="cellIs" dxfId="681" priority="3" operator="equal">
      <formula>#N/A</formula>
    </cfRule>
  </conditionalFormatting>
  <conditionalFormatting sqref="H2">
    <cfRule type="cellIs" dxfId="680" priority="2" operator="equal">
      <formula>#N/A</formula>
    </cfRule>
  </conditionalFormatting>
  <conditionalFormatting sqref="I2">
    <cfRule type="cellIs" dxfId="67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0">
    <tabColor theme="8" tint="0.79998168889431442"/>
  </sheetPr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192</v>
      </c>
      <c r="T1" s="92">
        <v>8</v>
      </c>
      <c r="U1" s="92" t="s">
        <v>180</v>
      </c>
      <c r="V1" s="92" t="s">
        <v>180</v>
      </c>
      <c r="W1" s="92" t="s">
        <v>172</v>
      </c>
      <c r="X1" s="99" t="s">
        <v>6</v>
      </c>
      <c r="Y1" s="99" t="s">
        <v>6</v>
      </c>
      <c r="Z1" s="92">
        <v>0</v>
      </c>
      <c r="AA1" s="92" t="s">
        <v>255</v>
      </c>
      <c r="AB1" s="92" t="s">
        <v>254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61</v>
      </c>
      <c r="B3" s="56"/>
      <c r="C3" s="55"/>
      <c r="D3" s="55"/>
      <c r="E3" s="57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>Axis Bank A/c.</v>
      </c>
      <c r="DB3" s="165" t="e">
        <f>VALUE(A3)</f>
        <v>#VALUE!</v>
      </c>
      <c r="DC3" s="166" t="e">
        <f>+CONCATENATE(TEXT(DB3,"D"),"",TEXT(DB3,"MM"),"","/",SUBSTITUTE(DF3,",",""),"/",DK3)</f>
        <v>#VALUE!</v>
      </c>
      <c r="DD3" s="131" t="e">
        <f>IF(H3="Cr",VALUE("0"),VALUE(SUBSTITUTE((TRIM(G3)),",","")))</f>
        <v>#VALUE!</v>
      </c>
      <c r="DE3" s="131" t="e">
        <f>IF(H3="Dr",VALUE("0"),VALUE(SUBSTITUTE((TRIM(G3)),",","")))</f>
        <v>#VALUE!</v>
      </c>
      <c r="DF3" s="130" t="str">
        <f>+TRIM(I3)</f>
        <v/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 t="e">
        <f>+DB3</f>
        <v>#VALUE!</v>
      </c>
      <c r="DI3" s="168" t="e">
        <f>+IF(DE3=0,"Suspance Payment","Suspance Receipt")</f>
        <v>#VALUE!</v>
      </c>
      <c r="DJ3" s="169">
        <f>+C3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09" t="s">
        <v>302</v>
      </c>
      <c r="B4" s="210" t="s">
        <v>303</v>
      </c>
      <c r="C4" s="297" t="s">
        <v>304</v>
      </c>
      <c r="D4" s="297"/>
      <c r="E4" s="297"/>
      <c r="F4" s="210" t="s">
        <v>305</v>
      </c>
      <c r="G4" s="210" t="s">
        <v>306</v>
      </c>
      <c r="H4" s="210" t="s">
        <v>307</v>
      </c>
      <c r="I4" s="210" t="s">
        <v>308</v>
      </c>
      <c r="J4" s="211" t="s">
        <v>309</v>
      </c>
      <c r="DA4" s="38" t="str">
        <f>+DA3</f>
        <v>Axis Bank A/c.</v>
      </c>
    </row>
  </sheetData>
  <sheetProtection algorithmName="SHA-512" hashValue="XkudPpIeHq1MwaU/ldbEWD/7aZ0pDgphVKllqitCmFLlkN48hEnWq6hKXD2ej818n9qnJ9OicQB7tn+/8Vc1RA==" saltValue="k3dVZrexcT3r9aCOtbpiM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678" priority="11" operator="equal">
      <formula>#N/A</formula>
    </cfRule>
  </conditionalFormatting>
  <conditionalFormatting sqref="DG2">
    <cfRule type="cellIs" dxfId="677" priority="10" operator="equal">
      <formula>#N/A</formula>
    </cfRule>
  </conditionalFormatting>
  <conditionalFormatting sqref="DH2:DI2">
    <cfRule type="cellIs" dxfId="676" priority="9" operator="equal">
      <formula>#N/A</formula>
    </cfRule>
  </conditionalFormatting>
  <conditionalFormatting sqref="I1:I2">
    <cfRule type="cellIs" dxfId="675" priority="8" operator="equal">
      <formula>#N/A</formula>
    </cfRule>
  </conditionalFormatting>
  <conditionalFormatting sqref="H1">
    <cfRule type="cellIs" dxfId="674" priority="7" operator="equal">
      <formula>#N/A</formula>
    </cfRule>
  </conditionalFormatting>
  <conditionalFormatting sqref="E1">
    <cfRule type="cellIs" dxfId="673" priority="6" operator="equal">
      <formula>#N/A</formula>
    </cfRule>
  </conditionalFormatting>
  <conditionalFormatting sqref="I1">
    <cfRule type="containsText" dxfId="672" priority="4" operator="containsText" text="All Data Import Successfully">
      <formula>NOT(ISERROR(SEARCH("All Data Import Successfully",I1)))</formula>
    </cfRule>
    <cfRule type="containsText" dxfId="671" priority="5" operator="containsText" text="Difference Entry">
      <formula>NOT(ISERROR(SEARCH("Difference Entry",I1)))</formula>
    </cfRule>
  </conditionalFormatting>
  <conditionalFormatting sqref="E2:G2">
    <cfRule type="cellIs" dxfId="670" priority="3" operator="equal">
      <formula>#N/A</formula>
    </cfRule>
  </conditionalFormatting>
  <conditionalFormatting sqref="H2">
    <cfRule type="cellIs" dxfId="669" priority="2" operator="equal">
      <formula>#N/A</formula>
    </cfRule>
  </conditionalFormatting>
  <conditionalFormatting sqref="I2">
    <cfRule type="cellIs" dxfId="66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4"/>
  <dimension ref="A1:DZ4"/>
  <sheetViews>
    <sheetView topLeftCell="DB1" workbookViewId="0">
      <selection activeCell="DC2" sqref="DC2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212</v>
      </c>
      <c r="T1" s="92">
        <v>7</v>
      </c>
      <c r="U1" s="92" t="s">
        <v>196</v>
      </c>
      <c r="V1" s="92" t="s">
        <v>180</v>
      </c>
      <c r="W1" s="92" t="s">
        <v>171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61</v>
      </c>
      <c r="B3" s="56"/>
      <c r="C3" s="55"/>
      <c r="D3" s="55" t="s">
        <v>211</v>
      </c>
      <c r="E3" s="57"/>
      <c r="F3" s="55"/>
      <c r="G3" s="58"/>
      <c r="H3" s="21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 ",VALUE("0"),VALUE(SUBSTITUTE((D3),",","")))</f>
        <v>#VALUE!</v>
      </c>
      <c r="DE3" s="26" t="e">
        <f>IF(E3=" ",VALUE("0"),VALUE(SUBSTITUTE((E3),",","")))</f>
        <v>#VALUE!</v>
      </c>
      <c r="DF3" s="26" t="e">
        <f>IF(F3=" ","",VALUE(SUBSTITUTE((F3),",","")))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39</v>
      </c>
      <c r="B4" s="101" t="s">
        <v>40</v>
      </c>
      <c r="C4" s="101" t="s">
        <v>41</v>
      </c>
      <c r="D4" s="101" t="s">
        <v>42</v>
      </c>
      <c r="E4" s="101" t="s">
        <v>43</v>
      </c>
      <c r="F4" s="101" t="s">
        <v>44</v>
      </c>
      <c r="G4" s="102" t="s">
        <v>45</v>
      </c>
      <c r="DA4" s="38" t="str">
        <f>+DA3</f>
        <v>Axis Bank A/c.</v>
      </c>
    </row>
  </sheetData>
  <sheetProtection algorithmName="SHA-512" hashValue="ZSHr5WoPyFXQBZ10yFutZjPrLqHeW1zWthSVdslkHP6JWKAQNGffcDgBHpZ3g8cB9otMJr9htpaP5Ri0Plqcwg==" saltValue="+FqDpnHXrkAjlgLO3fbQx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667" priority="18" operator="equal">
      <formula>#N/A</formula>
    </cfRule>
  </conditionalFormatting>
  <conditionalFormatting sqref="DG2">
    <cfRule type="cellIs" dxfId="666" priority="13" operator="equal">
      <formula>#N/A</formula>
    </cfRule>
  </conditionalFormatting>
  <conditionalFormatting sqref="DH2:DI2">
    <cfRule type="cellIs" dxfId="665" priority="12" operator="equal">
      <formula>#N/A</formula>
    </cfRule>
  </conditionalFormatting>
  <conditionalFormatting sqref="I1:I2">
    <cfRule type="cellIs" dxfId="664" priority="8" operator="equal">
      <formula>#N/A</formula>
    </cfRule>
  </conditionalFormatting>
  <conditionalFormatting sqref="H1">
    <cfRule type="cellIs" dxfId="663" priority="7" operator="equal">
      <formula>#N/A</formula>
    </cfRule>
  </conditionalFormatting>
  <conditionalFormatting sqref="E1">
    <cfRule type="cellIs" dxfId="662" priority="6" operator="equal">
      <formula>#N/A</formula>
    </cfRule>
  </conditionalFormatting>
  <conditionalFormatting sqref="I1">
    <cfRule type="containsText" dxfId="661" priority="4" operator="containsText" text="All Data Import Successfully">
      <formula>NOT(ISERROR(SEARCH("All Data Import Successfully",I1)))</formula>
    </cfRule>
    <cfRule type="containsText" dxfId="660" priority="5" operator="containsText" text="Difference Entry">
      <formula>NOT(ISERROR(SEARCH("Difference Entry",I1)))</formula>
    </cfRule>
  </conditionalFormatting>
  <conditionalFormatting sqref="E2:G2">
    <cfRule type="cellIs" dxfId="659" priority="3" operator="equal">
      <formula>#N/A</formula>
    </cfRule>
  </conditionalFormatting>
  <conditionalFormatting sqref="H2">
    <cfRule type="cellIs" dxfId="658" priority="2" operator="equal">
      <formula>#N/A</formula>
    </cfRule>
  </conditionalFormatting>
  <conditionalFormatting sqref="I2">
    <cfRule type="cellIs" dxfId="65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207</v>
      </c>
      <c r="T1" s="92">
        <v>9</v>
      </c>
      <c r="U1" s="92" t="s">
        <v>180</v>
      </c>
      <c r="V1" s="92" t="s">
        <v>171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61</v>
      </c>
      <c r="B3" s="56"/>
      <c r="C3" s="55"/>
      <c r="D3" s="55" t="s">
        <v>332</v>
      </c>
      <c r="E3" s="57"/>
      <c r="F3" s="55"/>
      <c r="G3" s="58"/>
      <c r="H3" s="59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e">
        <f>IF(G3=" ","",VALUE(SUBSTITUTE((G3),",","")))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 t="str">
        <f>+D3</f>
        <v>C:\Users\ADITYA\Desktop\Ecomm\Bank Statement\axis 2.xls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37" t="s">
        <v>331</v>
      </c>
      <c r="B4" s="238" t="s">
        <v>39</v>
      </c>
      <c r="C4" s="238" t="s">
        <v>40</v>
      </c>
      <c r="D4" s="238" t="s">
        <v>41</v>
      </c>
      <c r="E4" s="238" t="s">
        <v>42</v>
      </c>
      <c r="F4" s="238" t="s">
        <v>43</v>
      </c>
      <c r="G4" s="239" t="s">
        <v>44</v>
      </c>
      <c r="H4" s="220" t="s">
        <v>45</v>
      </c>
      <c r="DA4" s="38" t="str">
        <f>+DA3</f>
        <v>Axis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656" priority="11" operator="equal">
      <formula>#N/A</formula>
    </cfRule>
  </conditionalFormatting>
  <conditionalFormatting sqref="DG2">
    <cfRule type="cellIs" dxfId="655" priority="10" operator="equal">
      <formula>#N/A</formula>
    </cfRule>
  </conditionalFormatting>
  <conditionalFormatting sqref="DH2:DI2">
    <cfRule type="cellIs" dxfId="654" priority="9" operator="equal">
      <formula>#N/A</formula>
    </cfRule>
  </conditionalFormatting>
  <conditionalFormatting sqref="I1:I2">
    <cfRule type="cellIs" dxfId="653" priority="8" operator="equal">
      <formula>#N/A</formula>
    </cfRule>
  </conditionalFormatting>
  <conditionalFormatting sqref="H1">
    <cfRule type="cellIs" dxfId="652" priority="7" operator="equal">
      <formula>#N/A</formula>
    </cfRule>
  </conditionalFormatting>
  <conditionalFormatting sqref="E1">
    <cfRule type="cellIs" dxfId="651" priority="6" operator="equal">
      <formula>#N/A</formula>
    </cfRule>
  </conditionalFormatting>
  <conditionalFormatting sqref="I1">
    <cfRule type="containsText" dxfId="650" priority="4" operator="containsText" text="All Data Import Successfully">
      <formula>NOT(ISERROR(SEARCH("All Data Import Successfully",I1)))</formula>
    </cfRule>
    <cfRule type="containsText" dxfId="649" priority="5" operator="containsText" text="Difference Entry">
      <formula>NOT(ISERROR(SEARCH("Difference Entry",I1)))</formula>
    </cfRule>
  </conditionalFormatting>
  <conditionalFormatting sqref="E2:G2">
    <cfRule type="cellIs" dxfId="648" priority="3" operator="equal">
      <formula>#N/A</formula>
    </cfRule>
  </conditionalFormatting>
  <conditionalFormatting sqref="H2">
    <cfRule type="cellIs" dxfId="647" priority="2" operator="equal">
      <formula>#N/A</formula>
    </cfRule>
  </conditionalFormatting>
  <conditionalFormatting sqref="I2">
    <cfRule type="cellIs" dxfId="646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5">
    <tabColor theme="8" tint="0.79998168889431442"/>
  </sheetPr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212</v>
      </c>
      <c r="T1" s="92">
        <v>7</v>
      </c>
      <c r="U1" s="92" t="s">
        <v>196</v>
      </c>
      <c r="V1" s="92" t="s">
        <v>180</v>
      </c>
      <c r="W1" s="92" t="s">
        <v>171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61</v>
      </c>
      <c r="B3" s="56"/>
      <c r="C3" s="55"/>
      <c r="D3" s="55"/>
      <c r="E3" s="57"/>
      <c r="F3" s="55"/>
      <c r="G3" s="58"/>
      <c r="H3" s="21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Axis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IF(OR(D3=" ", D3=""), 0, VALUE(SUBSTITUTE(D3, ",", "")))</f>
        <v>0</v>
      </c>
      <c r="DE3" s="26">
        <f>IF(OR(E3=" ", E3=""),VALUE("0"),VALUE(SUBSTITUTE((E3),",","")))</f>
        <v>0</v>
      </c>
      <c r="DF3" s="26" t="str">
        <f>IF(OR(F3=" ", F3=""),"",VALUE(SUBSTITUTE((F3),",","")))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39</v>
      </c>
      <c r="B4" s="101" t="s">
        <v>40</v>
      </c>
      <c r="C4" s="101" t="s">
        <v>41</v>
      </c>
      <c r="D4" s="101" t="s">
        <v>42</v>
      </c>
      <c r="E4" s="101" t="s">
        <v>43</v>
      </c>
      <c r="F4" s="101" t="s">
        <v>44</v>
      </c>
      <c r="G4" s="102" t="s">
        <v>45</v>
      </c>
      <c r="DA4" s="38" t="str">
        <f>+DA3</f>
        <v>Axis Bank A/c.</v>
      </c>
    </row>
  </sheetData>
  <sheetProtection algorithmName="SHA-512" hashValue="ogbpOy/vx4+li5+sbT1yJ/CJ/m7iVM/KlgrIXGrjaZ+eUCOZoSXZygS3JtIMVeg1IXHgJ4ccpV8W0XASpr2sQg==" saltValue="zMy0SQo34uPhw1ma6WwlL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645" priority="11" operator="equal">
      <formula>#N/A</formula>
    </cfRule>
  </conditionalFormatting>
  <conditionalFormatting sqref="DG2">
    <cfRule type="cellIs" dxfId="644" priority="10" operator="equal">
      <formula>#N/A</formula>
    </cfRule>
  </conditionalFormatting>
  <conditionalFormatting sqref="DH2:DI2">
    <cfRule type="cellIs" dxfId="643" priority="9" operator="equal">
      <formula>#N/A</formula>
    </cfRule>
  </conditionalFormatting>
  <conditionalFormatting sqref="I1:I2">
    <cfRule type="cellIs" dxfId="642" priority="8" operator="equal">
      <formula>#N/A</formula>
    </cfRule>
  </conditionalFormatting>
  <conditionalFormatting sqref="H1">
    <cfRule type="cellIs" dxfId="641" priority="7" operator="equal">
      <formula>#N/A</formula>
    </cfRule>
  </conditionalFormatting>
  <conditionalFormatting sqref="E1">
    <cfRule type="cellIs" dxfId="640" priority="6" operator="equal">
      <formula>#N/A</formula>
    </cfRule>
  </conditionalFormatting>
  <conditionalFormatting sqref="I1">
    <cfRule type="containsText" dxfId="639" priority="4" operator="containsText" text="All Data Import Successfully">
      <formula>NOT(ISERROR(SEARCH("All Data Import Successfully",I1)))</formula>
    </cfRule>
    <cfRule type="containsText" dxfId="638" priority="5" operator="containsText" text="Difference Entry">
      <formula>NOT(ISERROR(SEARCH("Difference Entry",I1)))</formula>
    </cfRule>
  </conditionalFormatting>
  <conditionalFormatting sqref="E2:G2">
    <cfRule type="cellIs" dxfId="637" priority="3" operator="equal">
      <formula>#N/A</formula>
    </cfRule>
  </conditionalFormatting>
  <conditionalFormatting sqref="H2">
    <cfRule type="cellIs" dxfId="636" priority="2" operator="equal">
      <formula>#N/A</formula>
    </cfRule>
  </conditionalFormatting>
  <conditionalFormatting sqref="I2">
    <cfRule type="cellIs" dxfId="63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11"/>
  <dimension ref="A1:DZ4"/>
  <sheetViews>
    <sheetView workbookViewId="0">
      <selection activeCell="E17" sqref="E17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Bandhan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90</v>
      </c>
      <c r="B3" s="56"/>
      <c r="C3" s="55"/>
      <c r="D3" s="55"/>
      <c r="E3" s="57"/>
      <c r="F3" s="55"/>
      <c r="G3" s="58"/>
      <c r="H3" s="59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Bandhan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4" t="e">
        <f>+DB3</f>
        <v>#VALUE!</v>
      </c>
      <c r="DI3" s="28" t="str">
        <f>+IF(DE3=0,"Suspance Payment","Suspance Receipt")</f>
        <v>Suspance Payment</v>
      </c>
      <c r="DJ3" s="3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43" customFormat="1" ht="15.75" thickBot="1">
      <c r="A4" s="287" t="s">
        <v>82</v>
      </c>
      <c r="B4" s="288" t="s">
        <v>83</v>
      </c>
      <c r="C4" s="288" t="s">
        <v>84</v>
      </c>
      <c r="D4" s="288" t="s">
        <v>85</v>
      </c>
      <c r="E4" s="288" t="s">
        <v>86</v>
      </c>
      <c r="F4" s="289" t="s">
        <v>87</v>
      </c>
      <c r="G4" s="288" t="s">
        <v>88</v>
      </c>
      <c r="H4" s="290" t="s">
        <v>89</v>
      </c>
      <c r="DA4" s="44" t="str">
        <f>+DA3</f>
        <v>Bandhan Bank</v>
      </c>
    </row>
  </sheetData>
  <sheetProtection algorithmName="SHA-512" hashValue="JIzrxHZ90/Q5fDsc+nP3gxB4T0MP3VmB63MDsQmw6HmrCP0+cT9tKGoSo69bm/2h1KlP1vz35IPTk0+rIssDVQ==" saltValue="hVnog4Jf07U7p9z3cZYV/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 DH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634" priority="10" operator="equal">
      <formula>#N/A</formula>
    </cfRule>
  </conditionalFormatting>
  <conditionalFormatting sqref="H1">
    <cfRule type="cellIs" dxfId="633" priority="9" operator="equal">
      <formula>#N/A</formula>
    </cfRule>
  </conditionalFormatting>
  <conditionalFormatting sqref="E1">
    <cfRule type="cellIs" dxfId="632" priority="8" operator="equal">
      <formula>#N/A</formula>
    </cfRule>
  </conditionalFormatting>
  <conditionalFormatting sqref="I1">
    <cfRule type="containsText" dxfId="631" priority="6" operator="containsText" text="All Data Import Successfully">
      <formula>NOT(ISERROR(SEARCH("All Data Import Successfully",I1)))</formula>
    </cfRule>
    <cfRule type="containsText" dxfId="630" priority="7" operator="containsText" text="Difference Entry">
      <formula>NOT(ISERROR(SEARCH("Difference Entry",I1)))</formula>
    </cfRule>
  </conditionalFormatting>
  <conditionalFormatting sqref="DG2">
    <cfRule type="cellIs" dxfId="629" priority="5" operator="equal">
      <formula>#N/A</formula>
    </cfRule>
  </conditionalFormatting>
  <conditionalFormatting sqref="DH2:DI2">
    <cfRule type="cellIs" dxfId="628" priority="4" operator="equal">
      <formula>#N/A</formula>
    </cfRule>
  </conditionalFormatting>
  <conditionalFormatting sqref="E2:G2">
    <cfRule type="cellIs" dxfId="627" priority="3" operator="equal">
      <formula>#N/A</formula>
    </cfRule>
  </conditionalFormatting>
  <conditionalFormatting sqref="H2">
    <cfRule type="cellIs" dxfId="626" priority="2" operator="equal">
      <formula>#N/A</formula>
    </cfRule>
  </conditionalFormatting>
  <conditionalFormatting sqref="I2">
    <cfRule type="cellIs" dxfId="62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Sheet7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1" width="27.42578125" style="6" customWidth="1"/>
    <col min="12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66</v>
      </c>
      <c r="B3" s="18" t="s">
        <v>91</v>
      </c>
      <c r="C3" s="17"/>
      <c r="D3" s="17"/>
      <c r="E3" s="19"/>
      <c r="F3" s="17"/>
      <c r="G3" s="20"/>
      <c r="H3" s="21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Bank of Baroda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IF(K3="",VALUE("0"),VALUE(SUBSTITUTE((K3),",","")))</f>
        <v>0</v>
      </c>
      <c r="DE3" s="26">
        <f>IF(Q3="",VALUE("0"),VALUE(SUBSTITUTE((Q3),",","")))</f>
        <v>0</v>
      </c>
      <c r="DF3" s="26" t="e">
        <f>IF(T3=" ","",VALUE(SUBSTITUTE((SUBSTITUTE((T3),"Cr","")),",","")))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customHeight="1">
      <c r="A4" s="40" t="s">
        <v>51</v>
      </c>
      <c r="B4" s="45"/>
      <c r="C4" s="45" t="s">
        <v>52</v>
      </c>
      <c r="D4" s="45"/>
      <c r="E4" s="45"/>
      <c r="F4" s="45"/>
      <c r="G4" s="45"/>
      <c r="H4" s="330" t="s">
        <v>53</v>
      </c>
      <c r="I4" s="330"/>
      <c r="J4" s="45"/>
      <c r="K4" s="45" t="s">
        <v>54</v>
      </c>
      <c r="L4" s="45"/>
      <c r="M4" s="45"/>
      <c r="N4" s="45"/>
      <c r="O4" s="45"/>
      <c r="P4" s="45"/>
      <c r="Q4" s="45" t="s">
        <v>55</v>
      </c>
      <c r="R4" s="45"/>
      <c r="S4" s="45"/>
      <c r="T4" s="45" t="s">
        <v>56</v>
      </c>
      <c r="U4" s="41"/>
      <c r="V4" s="45"/>
      <c r="W4" s="45"/>
      <c r="X4" s="45"/>
      <c r="DA4" s="38" t="str">
        <f>+DA3</f>
        <v>Bank of Baroda A/c.</v>
      </c>
    </row>
  </sheetData>
  <sheetProtection algorithmName="SHA-512" hashValue="gSxlmGL9LVoxgVHh6YtQL7m8CDLshO/meZWXsM+wsvFo2VmEYTJ7Zg8hQgiR+Y4w9zE48n+tzH7V8+LXNNMHww==" saltValue="SKoMVhLNSn2L1iuNWK4S9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mergeCells count="1">
    <mergeCell ref="H4:I4"/>
  </mergeCells>
  <conditionalFormatting sqref="E3 I1:I2">
    <cfRule type="cellIs" dxfId="624" priority="10" operator="equal">
      <formula>#N/A</formula>
    </cfRule>
  </conditionalFormatting>
  <conditionalFormatting sqref="H1">
    <cfRule type="cellIs" dxfId="623" priority="9" operator="equal">
      <formula>#N/A</formula>
    </cfRule>
  </conditionalFormatting>
  <conditionalFormatting sqref="E1">
    <cfRule type="cellIs" dxfId="622" priority="8" operator="equal">
      <formula>#N/A</formula>
    </cfRule>
  </conditionalFormatting>
  <conditionalFormatting sqref="I1">
    <cfRule type="containsText" dxfId="621" priority="6" operator="containsText" text="All Data Import Successfully">
      <formula>NOT(ISERROR(SEARCH("All Data Import Successfully",I1)))</formula>
    </cfRule>
    <cfRule type="containsText" dxfId="620" priority="7" operator="containsText" text="Difference Entry">
      <formula>NOT(ISERROR(SEARCH("Difference Entry",I1)))</formula>
    </cfRule>
  </conditionalFormatting>
  <conditionalFormatting sqref="DG2">
    <cfRule type="cellIs" dxfId="619" priority="5" operator="equal">
      <formula>#N/A</formula>
    </cfRule>
  </conditionalFormatting>
  <conditionalFormatting sqref="DH2:DI2">
    <cfRule type="cellIs" dxfId="618" priority="4" operator="equal">
      <formula>#N/A</formula>
    </cfRule>
  </conditionalFormatting>
  <conditionalFormatting sqref="E2:G2">
    <cfRule type="cellIs" dxfId="617" priority="3" operator="equal">
      <formula>#N/A</formula>
    </cfRule>
  </conditionalFormatting>
  <conditionalFormatting sqref="H2">
    <cfRule type="cellIs" dxfId="616" priority="2" operator="equal">
      <formula>#N/A</formula>
    </cfRule>
  </conditionalFormatting>
  <conditionalFormatting sqref="I2">
    <cfRule type="cellIs" dxfId="61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ABED97-B469-4F6C-9BEF-D0B3C6E75F8A}">
  <sheetPr codeName="Sheet62">
    <tabColor theme="8" tint="0.79998168889431442"/>
  </sheetPr>
  <dimension ref="A1:DZ4"/>
  <sheetViews>
    <sheetView workbookViewId="0">
      <selection activeCell="C18" sqref="C18"/>
    </sheetView>
  </sheetViews>
  <sheetFormatPr defaultRowHeight="15"/>
  <cols>
    <col min="1" max="9" width="25.42578125" style="6" customWidth="1"/>
    <col min="10" max="10" width="17.7109375" style="6" customWidth="1"/>
    <col min="11" max="11" width="16.28515625" style="6" customWidth="1"/>
    <col min="12" max="12" width="18" style="6" customWidth="1"/>
    <col min="13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22" width="9.140625" style="6"/>
    <col min="23" max="23" width="17.7109375" style="6" customWidth="1"/>
    <col min="24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66</v>
      </c>
      <c r="B3" s="18" t="s">
        <v>92</v>
      </c>
      <c r="C3" s="17"/>
      <c r="D3" s="17"/>
      <c r="E3" s="19"/>
      <c r="F3" s="17"/>
      <c r="G3" s="20"/>
      <c r="H3" s="21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Bank of Baroda A/c.</v>
      </c>
      <c r="DB3" s="24" t="e">
        <f>VALUE(B3)</f>
        <v>#VALUE!</v>
      </c>
      <c r="DC3" s="25" t="e">
        <f>+CONCATENATE(TEXT(DB3,"D"),"",TEXT(DB3,"MM"),"","/",SUBSTITUTE(DF3,",",""),"/",DK3)</f>
        <v>#VALUE!</v>
      </c>
      <c r="DD3" s="26" t="e">
        <f>IF(F3="-",VALUE("0"),VALUE(SUBSTITUTE((F3),"-","")))</f>
        <v>#VALUE!</v>
      </c>
      <c r="DE3" s="26" t="e">
        <f>IF(G3="-",VALUE("0"),VALUE(SUBSTITUTE((G3),"-","")))</f>
        <v>#VALUE!</v>
      </c>
      <c r="DF3" s="26" t="e">
        <f>IF(H3=" ","",VALUE(SUBSTITUTE((SUBSTITUTE((H3),"Cr","")),",","")))</f>
        <v>#VALUE!</v>
      </c>
      <c r="DG3" s="302" t="s">
        <v>6</v>
      </c>
      <c r="DH3" s="28" t="e">
        <f>VALUE(B3)</f>
        <v>#VALUE!</v>
      </c>
      <c r="DI3" s="28" t="e">
        <f>+IF(DE3=0,"Suspance Payment","Suspance Receipt")</f>
        <v>#VALUE!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customHeight="1">
      <c r="A4" s="298" t="s">
        <v>433</v>
      </c>
      <c r="B4" s="299" t="s">
        <v>434</v>
      </c>
      <c r="C4" s="299" t="s">
        <v>435</v>
      </c>
      <c r="D4" s="331" t="s">
        <v>436</v>
      </c>
      <c r="E4" s="331"/>
      <c r="F4" s="300" t="s">
        <v>100</v>
      </c>
      <c r="G4" s="300" t="s">
        <v>22</v>
      </c>
      <c r="H4" s="301" t="s">
        <v>11</v>
      </c>
      <c r="I4" s="6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DA4" s="48" t="str">
        <f>+DA3</f>
        <v>Bank of Baroda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9_1"/>
    <protectedRange algorithmName="SHA-512" hashValue="FeHjunJeBmEIe1Z+x4LSLD0xeXKoeHqEB4mLNgYC3pUDxBFAiT2e1scH7F48tQXpPGOh+9Z9iw2K5jb0kUxFkQ==" saltValue="Arxg+XESKZddo6Y2q+NDbg==" spinCount="100000" sqref="DD3:DF3" name="Range1_1_6_1"/>
    <protectedRange algorithmName="SHA-512" hashValue="FeHjunJeBmEIe1Z+x4LSLD0xeXKoeHqEB4mLNgYC3pUDxBFAiT2e1scH7F48tQXpPGOh+9Z9iw2K5jb0kUxFkQ==" saltValue="Arxg+XESKZddo6Y2q+NDbg==" spinCount="100000" sqref="DI3" name="Range1_2_6_1"/>
    <protectedRange algorithmName="SHA-512" hashValue="FeHjunJeBmEIe1Z+x4LSLD0xeXKoeHqEB4mLNgYC3pUDxBFAiT2e1scH7F48tQXpPGOh+9Z9iw2K5jb0kUxFkQ==" saltValue="Arxg+XESKZddo6Y2q+NDbg==" spinCount="100000" sqref="DK3" name="Range1_3_5_1"/>
    <protectedRange algorithmName="SHA-512" hashValue="FeHjunJeBmEIe1Z+x4LSLD0xeXKoeHqEB4mLNgYC3pUDxBFAiT2e1scH7F48tQXpPGOh+9Z9iw2K5jb0kUxFkQ==" saltValue="Arxg+XESKZddo6Y2q+NDbg==" spinCount="100000" sqref="DC3" name="Range1_7_1"/>
  </protectedRanges>
  <mergeCells count="1">
    <mergeCell ref="D4:E4"/>
  </mergeCells>
  <conditionalFormatting sqref="E3 I1:I2">
    <cfRule type="cellIs" dxfId="614" priority="10" operator="equal">
      <formula>#N/A</formula>
    </cfRule>
  </conditionalFormatting>
  <conditionalFormatting sqref="H1">
    <cfRule type="cellIs" dxfId="613" priority="9" operator="equal">
      <formula>#N/A</formula>
    </cfRule>
  </conditionalFormatting>
  <conditionalFormatting sqref="E1">
    <cfRule type="cellIs" dxfId="612" priority="8" operator="equal">
      <formula>#N/A</formula>
    </cfRule>
  </conditionalFormatting>
  <conditionalFormatting sqref="I1">
    <cfRule type="containsText" dxfId="611" priority="6" operator="containsText" text="All Data Import Successfully">
      <formula>NOT(ISERROR(SEARCH("All Data Import Successfully",I1)))</formula>
    </cfRule>
    <cfRule type="containsText" dxfId="610" priority="7" operator="containsText" text="Difference Entry">
      <formula>NOT(ISERROR(SEARCH("Difference Entry",I1)))</formula>
    </cfRule>
  </conditionalFormatting>
  <conditionalFormatting sqref="DG2">
    <cfRule type="cellIs" dxfId="609" priority="5" operator="equal">
      <formula>#N/A</formula>
    </cfRule>
  </conditionalFormatting>
  <conditionalFormatting sqref="DH2:DI2">
    <cfRule type="cellIs" dxfId="608" priority="4" operator="equal">
      <formula>#N/A</formula>
    </cfRule>
  </conditionalFormatting>
  <conditionalFormatting sqref="E2:G2">
    <cfRule type="cellIs" dxfId="607" priority="3" operator="equal">
      <formula>#N/A</formula>
    </cfRule>
  </conditionalFormatting>
  <conditionalFormatting sqref="H2">
    <cfRule type="cellIs" dxfId="606" priority="2" operator="equal">
      <formula>#N/A</formula>
    </cfRule>
  </conditionalFormatting>
  <conditionalFormatting sqref="I2">
    <cfRule type="cellIs" dxfId="60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6E933-6FCD-44B2-8A72-DB654C4B477E}">
  <sheetPr codeName="Sheet67">
    <tabColor theme="8" tint="0.79998168889431442"/>
  </sheetPr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1" width="16.28515625" style="6" customWidth="1"/>
    <col min="12" max="12" width="18" style="6" customWidth="1"/>
    <col min="13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22" width="9.140625" style="6"/>
    <col min="23" max="23" width="17.7109375" style="6" customWidth="1"/>
    <col min="24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66</v>
      </c>
      <c r="B3" s="18" t="s">
        <v>92</v>
      </c>
      <c r="C3" s="17"/>
      <c r="D3" s="17"/>
      <c r="E3" s="19"/>
      <c r="F3" s="17"/>
      <c r="G3" s="20"/>
      <c r="H3" s="21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Bank of Baroda A/c.</v>
      </c>
      <c r="DB3" s="24" t="e">
        <f>VALUE(B3)</f>
        <v>#VALUE!</v>
      </c>
      <c r="DC3" s="25" t="e">
        <f>+CONCATENATE(TEXT(DB3,"D"),"",TEXT(DB3,"MM"),"","/",SUBSTITUTE(DF3,",",""),"/",DK3)</f>
        <v>#VALUE!</v>
      </c>
      <c r="DD3" s="26" t="e">
        <f>IF(G3="-",VALUE("0"),VALUE(SUBSTITUTE((G3),"-","")))</f>
        <v>#VALUE!</v>
      </c>
      <c r="DE3" s="26" t="e">
        <f>IF(H3="-",VALUE("0"),VALUE(SUBSTITUTE((H3),"-","")))</f>
        <v>#VALUE!</v>
      </c>
      <c r="DF3" s="26" t="e">
        <f>IF(J3=" ","",VALUE(SUBSTITUTE((SUBSTITUTE((H3),"Cr","")),",","")))</f>
        <v>#VALUE!</v>
      </c>
      <c r="DG3" s="302" t="s">
        <v>6</v>
      </c>
      <c r="DH3" s="28" t="e">
        <f>VALUE(B3)</f>
        <v>#VALUE!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customHeight="1">
      <c r="A4" s="316" t="s">
        <v>1098</v>
      </c>
      <c r="B4" s="317" t="s">
        <v>1099</v>
      </c>
      <c r="C4" s="332" t="s">
        <v>1100</v>
      </c>
      <c r="D4" s="332"/>
      <c r="E4" s="333" t="s">
        <v>1101</v>
      </c>
      <c r="F4" s="333"/>
      <c r="G4" s="315" t="s">
        <v>1102</v>
      </c>
      <c r="H4" s="334" t="s">
        <v>1103</v>
      </c>
      <c r="I4" s="334"/>
      <c r="J4" s="318" t="s">
        <v>1104</v>
      </c>
      <c r="K4" s="6"/>
      <c r="L4" s="6"/>
      <c r="M4" s="6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  <c r="AW4" s="6"/>
      <c r="AX4" s="6"/>
      <c r="AY4" s="6"/>
      <c r="AZ4" s="6"/>
      <c r="BA4" s="6"/>
      <c r="BB4" s="6"/>
      <c r="BC4" s="6"/>
      <c r="BD4" s="6"/>
      <c r="BE4" s="6"/>
      <c r="BF4" s="6"/>
      <c r="BG4" s="6"/>
      <c r="BH4" s="6"/>
      <c r="BI4" s="6"/>
      <c r="BJ4" s="6"/>
      <c r="BK4" s="6"/>
      <c r="BL4" s="6"/>
      <c r="BM4" s="6"/>
      <c r="BN4" s="6"/>
      <c r="BO4" s="6"/>
      <c r="BP4" s="6"/>
      <c r="BQ4" s="6"/>
      <c r="BR4" s="6"/>
      <c r="BS4" s="6"/>
      <c r="BT4" s="6"/>
      <c r="BU4" s="6"/>
      <c r="BV4" s="6"/>
      <c r="BW4" s="6"/>
      <c r="BX4" s="6"/>
      <c r="BY4" s="6"/>
      <c r="BZ4" s="6"/>
      <c r="CA4" s="6"/>
      <c r="CB4" s="6"/>
      <c r="CC4" s="6"/>
      <c r="CD4" s="6"/>
      <c r="CE4" s="6"/>
      <c r="CF4" s="6"/>
      <c r="CG4" s="6"/>
      <c r="CH4" s="6"/>
      <c r="CI4" s="6"/>
      <c r="CJ4" s="6"/>
      <c r="CK4" s="6"/>
      <c r="CL4" s="6"/>
      <c r="CM4" s="6"/>
      <c r="CN4" s="6"/>
      <c r="CO4" s="6"/>
      <c r="CP4" s="6"/>
      <c r="CQ4" s="6"/>
      <c r="CR4" s="6"/>
      <c r="CS4" s="6"/>
      <c r="CT4" s="6"/>
      <c r="CU4" s="6"/>
      <c r="CV4" s="6"/>
      <c r="CW4" s="6"/>
      <c r="CX4" s="6"/>
      <c r="CY4" s="6"/>
      <c r="DA4" s="48" t="str">
        <f>+DA3</f>
        <v>Bank of Baroda A/c.</v>
      </c>
    </row>
  </sheetData>
  <sheetProtection algorithmName="SHA-512" hashValue="w1WnRSZFj3QawPgkw5ES8F+pRQ3JSeUVQGMlw0oF7NSYi+cccBLmz+bveZtQPj+6hO6v0t/v4IMq0tzmt8+3ag==" saltValue="vz3EGQKDGZsniIrIwzRLl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_1"/>
    <protectedRange algorithmName="SHA-512" hashValue="FeHjunJeBmEIe1Z+x4LSLD0xeXKoeHqEB4mLNgYC3pUDxBFAiT2e1scH7F48tQXpPGOh+9Z9iw2K5jb0kUxFkQ==" saltValue="Arxg+XESKZddo6Y2q+NDbg==" spinCount="100000" sqref="DD3:DF3" name="Range1_1_6_1"/>
    <protectedRange algorithmName="SHA-512" hashValue="FeHjunJeBmEIe1Z+x4LSLD0xeXKoeHqEB4mLNgYC3pUDxBFAiT2e1scH7F48tQXpPGOh+9Z9iw2K5jb0kUxFkQ==" saltValue="Arxg+XESKZddo6Y2q+NDbg==" spinCount="100000" sqref="DI3" name="Range1_2_6_1"/>
    <protectedRange algorithmName="SHA-512" hashValue="FeHjunJeBmEIe1Z+x4LSLD0xeXKoeHqEB4mLNgYC3pUDxBFAiT2e1scH7F48tQXpPGOh+9Z9iw2K5jb0kUxFkQ==" saltValue="Arxg+XESKZddo6Y2q+NDbg==" spinCount="100000" sqref="DK3" name="Range1_3_5_1"/>
    <protectedRange algorithmName="SHA-512" hashValue="FeHjunJeBmEIe1Z+x4LSLD0xeXKoeHqEB4mLNgYC3pUDxBFAiT2e1scH7F48tQXpPGOh+9Z9iw2K5jb0kUxFkQ==" saltValue="Arxg+XESKZddo6Y2q+NDbg==" spinCount="100000" sqref="DC3" name="Range1_7_1"/>
  </protectedRanges>
  <mergeCells count="3">
    <mergeCell ref="C4:D4"/>
    <mergeCell ref="E4:F4"/>
    <mergeCell ref="H4:I4"/>
  </mergeCells>
  <conditionalFormatting sqref="E3 I1:I2">
    <cfRule type="cellIs" dxfId="604" priority="10" operator="equal">
      <formula>#N/A</formula>
    </cfRule>
  </conditionalFormatting>
  <conditionalFormatting sqref="H1">
    <cfRule type="cellIs" dxfId="603" priority="9" operator="equal">
      <formula>#N/A</formula>
    </cfRule>
  </conditionalFormatting>
  <conditionalFormatting sqref="E1">
    <cfRule type="cellIs" dxfId="602" priority="8" operator="equal">
      <formula>#N/A</formula>
    </cfRule>
  </conditionalFormatting>
  <conditionalFormatting sqref="I1">
    <cfRule type="containsText" dxfId="601" priority="6" operator="containsText" text="All Data Import Successfully">
      <formula>NOT(ISERROR(SEARCH("All Data Import Successfully",I1)))</formula>
    </cfRule>
    <cfRule type="containsText" dxfId="600" priority="7" operator="containsText" text="Difference Entry">
      <formula>NOT(ISERROR(SEARCH("Difference Entry",I1)))</formula>
    </cfRule>
  </conditionalFormatting>
  <conditionalFormatting sqref="DG2">
    <cfRule type="cellIs" dxfId="599" priority="5" operator="equal">
      <formula>#N/A</formula>
    </cfRule>
  </conditionalFormatting>
  <conditionalFormatting sqref="DH2:DI2">
    <cfRule type="cellIs" dxfId="598" priority="4" operator="equal">
      <formula>#N/A</formula>
    </cfRule>
  </conditionalFormatting>
  <conditionalFormatting sqref="E2:G2">
    <cfRule type="cellIs" dxfId="597" priority="3" operator="equal">
      <formula>#N/A</formula>
    </cfRule>
  </conditionalFormatting>
  <conditionalFormatting sqref="H2">
    <cfRule type="cellIs" dxfId="596" priority="2" operator="equal">
      <formula>#N/A</formula>
    </cfRule>
  </conditionalFormatting>
  <conditionalFormatting sqref="I2">
    <cfRule type="cellIs" dxfId="59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Sheet13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1" width="16.28515625" style="6" customWidth="1"/>
    <col min="12" max="12" width="18" style="6" customWidth="1"/>
    <col min="13" max="16" width="9.140625" style="6"/>
    <col min="17" max="17" width="16.5703125" style="6" customWidth="1"/>
    <col min="18" max="19" width="9.140625" style="6"/>
    <col min="20" max="20" width="14.28515625" style="6" bestFit="1" customWidth="1"/>
    <col min="21" max="22" width="9.140625" style="6"/>
    <col min="23" max="23" width="17.7109375" style="6" customWidth="1"/>
    <col min="24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Bank of Baroda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66</v>
      </c>
      <c r="B3" s="18" t="s">
        <v>92</v>
      </c>
      <c r="C3" s="17"/>
      <c r="D3" s="17"/>
      <c r="E3" s="19"/>
      <c r="F3" s="17"/>
      <c r="G3" s="20"/>
      <c r="H3" s="21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Bank of Baroda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IF(L3="",VALUE("0"),VALUE(SUBSTITUTE((L3),",","")))</f>
        <v>#VALUE!</v>
      </c>
      <c r="DE3" s="26">
        <f>IF(Q3="",VALUE("0"),VALUE(SUBSTITUTE((Q3),",","")))</f>
        <v>0</v>
      </c>
      <c r="DF3" s="26" t="e">
        <f>IF(W3=" ","",VALUE(SUBSTITUTE((SUBSTITUTE((W3),"Cr","")),",","")))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customHeight="1">
      <c r="A4" s="46" t="s">
        <v>51</v>
      </c>
      <c r="B4" s="46"/>
      <c r="C4" s="46"/>
      <c r="D4" s="46" t="s">
        <v>52</v>
      </c>
      <c r="E4" s="46"/>
      <c r="F4" s="46"/>
      <c r="G4" s="46"/>
      <c r="H4" s="335" t="s">
        <v>53</v>
      </c>
      <c r="I4" s="335"/>
      <c r="J4" s="46"/>
      <c r="K4" s="46"/>
      <c r="L4" s="46" t="s">
        <v>54</v>
      </c>
      <c r="M4" s="46"/>
      <c r="N4" s="46"/>
      <c r="O4" s="46"/>
      <c r="P4" s="46"/>
      <c r="Q4" s="46" t="s">
        <v>55</v>
      </c>
      <c r="R4" s="46"/>
      <c r="S4" s="46"/>
      <c r="T4" s="46"/>
      <c r="U4" s="47"/>
      <c r="V4" s="46"/>
      <c r="W4" s="46" t="s">
        <v>56</v>
      </c>
      <c r="X4" s="46"/>
      <c r="DA4" s="48" t="str">
        <f>+DA3</f>
        <v>Bank of Baroda A/c.</v>
      </c>
    </row>
  </sheetData>
  <sheetProtection algorithmName="SHA-512" hashValue="EG5VoUMm04Bvjy1ZZSVG19j6C0vVXvWGs7+ya2X3MyzQbXm15UcjyTcCuh0hSgfu1CUzsgKJiuaARYYgBT2KmQ==" saltValue="nsH1tN0L3rXlAzA3+8oUm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9"/>
    <protectedRange algorithmName="SHA-512" hashValue="FeHjunJeBmEIe1Z+x4LSLD0xeXKoeHqEB4mLNgYC3pUDxBFAiT2e1scH7F48tQXpPGOh+9Z9iw2K5jb0kUxFkQ==" saltValue="Arxg+XESKZddo6Y2q+NDbg==" spinCount="100000" sqref="DD3:DF3" name="Range1_1_6"/>
    <protectedRange algorithmName="SHA-512" hashValue="FeHjunJeBmEIe1Z+x4LSLD0xeXKoeHqEB4mLNgYC3pUDxBFAiT2e1scH7F48tQXpPGOh+9Z9iw2K5jb0kUxFkQ==" saltValue="Arxg+XESKZddo6Y2q+NDbg==" spinCount="100000" sqref="DI3" name="Range1_2_6"/>
    <protectedRange algorithmName="SHA-512" hashValue="FeHjunJeBmEIe1Z+x4LSLD0xeXKoeHqEB4mLNgYC3pUDxBFAiT2e1scH7F48tQXpPGOh+9Z9iw2K5jb0kUxFkQ==" saltValue="Arxg+XESKZddo6Y2q+NDbg==" spinCount="100000" sqref="DK3" name="Range1_3_5"/>
    <protectedRange algorithmName="SHA-512" hashValue="FeHjunJeBmEIe1Z+x4LSLD0xeXKoeHqEB4mLNgYC3pUDxBFAiT2e1scH7F48tQXpPGOh+9Z9iw2K5jb0kUxFkQ==" saltValue="Arxg+XESKZddo6Y2q+NDbg==" spinCount="100000" sqref="DC3" name="Range1_7"/>
  </protectedRanges>
  <mergeCells count="1">
    <mergeCell ref="H4:I4"/>
  </mergeCells>
  <conditionalFormatting sqref="E3 I1:I2">
    <cfRule type="cellIs" dxfId="594" priority="10" operator="equal">
      <formula>#N/A</formula>
    </cfRule>
  </conditionalFormatting>
  <conditionalFormatting sqref="H1">
    <cfRule type="cellIs" dxfId="593" priority="9" operator="equal">
      <formula>#N/A</formula>
    </cfRule>
  </conditionalFormatting>
  <conditionalFormatting sqref="E1">
    <cfRule type="cellIs" dxfId="592" priority="8" operator="equal">
      <formula>#N/A</formula>
    </cfRule>
  </conditionalFormatting>
  <conditionalFormatting sqref="I1">
    <cfRule type="containsText" dxfId="591" priority="6" operator="containsText" text="All Data Import Successfully">
      <formula>NOT(ISERROR(SEARCH("All Data Import Successfully",I1)))</formula>
    </cfRule>
    <cfRule type="containsText" dxfId="590" priority="7" operator="containsText" text="Difference Entry">
      <formula>NOT(ISERROR(SEARCH("Difference Entry",I1)))</formula>
    </cfRule>
  </conditionalFormatting>
  <conditionalFormatting sqref="DG2">
    <cfRule type="cellIs" dxfId="589" priority="5" operator="equal">
      <formula>#N/A</formula>
    </cfRule>
  </conditionalFormatting>
  <conditionalFormatting sqref="DH2:DI2">
    <cfRule type="cellIs" dxfId="588" priority="4" operator="equal">
      <formula>#N/A</formula>
    </cfRule>
  </conditionalFormatting>
  <conditionalFormatting sqref="E2:G2">
    <cfRule type="cellIs" dxfId="587" priority="3" operator="equal">
      <formula>#N/A</formula>
    </cfRule>
  </conditionalFormatting>
  <conditionalFormatting sqref="H2">
    <cfRule type="cellIs" dxfId="586" priority="2" operator="equal">
      <formula>#N/A</formula>
    </cfRule>
  </conditionalFormatting>
  <conditionalFormatting sqref="I2">
    <cfRule type="cellIs" dxfId="58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6"/>
  <dimension ref="A1:DZ4"/>
  <sheetViews>
    <sheetView showRuler="0" workbookViewId="0">
      <selection activeCell="D30" sqref="D30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207</v>
      </c>
      <c r="T1" s="92">
        <v>7</v>
      </c>
      <c r="U1" s="92" t="s">
        <v>171</v>
      </c>
      <c r="V1" s="92" t="s">
        <v>171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103</v>
      </c>
      <c r="B3" s="56"/>
      <c r="C3" s="55"/>
      <c r="D3" s="55" t="s">
        <v>208</v>
      </c>
      <c r="E3" s="57"/>
      <c r="F3" s="55"/>
      <c r="G3" s="58"/>
      <c r="H3" s="21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Bank of India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IF(E3="CR",VALUE("0"),VALUE(SUBSTITUTE((F3),",","")))</f>
        <v>#VALUE!</v>
      </c>
      <c r="DE3" s="26" t="e">
        <f>IF(E3="DR",VALUE("0"),VALUE(SUBSTITUTE((F3),",","")))</f>
        <v>#VALUE!</v>
      </c>
      <c r="DF3" s="26" t="str">
        <f>IF(G3="","",VALUE(SUBSTITUTE((G3),",","")))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>
        <f>VALUE(B3)</f>
        <v>0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24" t="s">
        <v>104</v>
      </c>
      <c r="B4" s="125" t="s">
        <v>17</v>
      </c>
      <c r="C4" s="125" t="s">
        <v>19</v>
      </c>
      <c r="D4" s="125" t="s">
        <v>105</v>
      </c>
      <c r="E4" s="125" t="s">
        <v>106</v>
      </c>
      <c r="F4" s="125" t="s">
        <v>107</v>
      </c>
      <c r="G4" s="126" t="s">
        <v>108</v>
      </c>
      <c r="DA4" s="38" t="str">
        <f>+DA3</f>
        <v>Bank of India A/c.</v>
      </c>
      <c r="DD4" s="50"/>
      <c r="DE4" s="50"/>
    </row>
  </sheetData>
  <sheetProtection algorithmName="SHA-512" hashValue="C03a9fHrnS6KbG4mV2wz8XEzMS9EuLUmI40S0QoRM3nYt9B5fvB3119WZpWwnxHJIbH6KlndHtbx7qMKg0aSmg==" saltValue="NQGGYdhmZH5b+Yer80qGz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 DD4:DE4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584" priority="18" operator="equal">
      <formula>#N/A</formula>
    </cfRule>
  </conditionalFormatting>
  <conditionalFormatting sqref="DG2">
    <cfRule type="cellIs" dxfId="583" priority="13" operator="equal">
      <formula>#N/A</formula>
    </cfRule>
  </conditionalFormatting>
  <conditionalFormatting sqref="DH2:DI2">
    <cfRule type="cellIs" dxfId="582" priority="12" operator="equal">
      <formula>#N/A</formula>
    </cfRule>
  </conditionalFormatting>
  <conditionalFormatting sqref="I1:I2">
    <cfRule type="cellIs" dxfId="581" priority="8" operator="equal">
      <formula>#N/A</formula>
    </cfRule>
  </conditionalFormatting>
  <conditionalFormatting sqref="H1">
    <cfRule type="cellIs" dxfId="580" priority="7" operator="equal">
      <formula>#N/A</formula>
    </cfRule>
  </conditionalFormatting>
  <conditionalFormatting sqref="E1">
    <cfRule type="cellIs" dxfId="579" priority="6" operator="equal">
      <formula>#N/A</formula>
    </cfRule>
  </conditionalFormatting>
  <conditionalFormatting sqref="I1">
    <cfRule type="containsText" dxfId="578" priority="4" operator="containsText" text="All Data Import Successfully">
      <formula>NOT(ISERROR(SEARCH("All Data Import Successfully",I1)))</formula>
    </cfRule>
    <cfRule type="containsText" dxfId="577" priority="5" operator="containsText" text="Difference Entry">
      <formula>NOT(ISERROR(SEARCH("Difference Entry",I1)))</formula>
    </cfRule>
  </conditionalFormatting>
  <conditionalFormatting sqref="E2:G2">
    <cfRule type="cellIs" dxfId="576" priority="3" operator="equal">
      <formula>#N/A</formula>
    </cfRule>
  </conditionalFormatting>
  <conditionalFormatting sqref="H2">
    <cfRule type="cellIs" dxfId="575" priority="2" operator="equal">
      <formula>#N/A</formula>
    </cfRule>
  </conditionalFormatting>
  <conditionalFormatting sqref="I2">
    <cfRule type="cellIs" dxfId="57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E2D79-76D2-4118-B849-720796A6EF6A}">
  <sheetPr codeName="Sheet65">
    <tabColor theme="8" tint="0.79998168889431442"/>
  </sheetPr>
  <dimension ref="A1:DZ4"/>
  <sheetViews>
    <sheetView workbookViewId="0">
      <selection activeCell="D38" sqref="D38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 xml:space="preserve">Bank of India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1089</v>
      </c>
      <c r="B3" s="18"/>
      <c r="C3" s="17"/>
      <c r="D3" s="17"/>
      <c r="E3" s="19"/>
      <c r="F3" s="17"/>
      <c r="G3" s="20"/>
      <c r="H3" s="21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 xml:space="preserve">Bank of India </v>
      </c>
      <c r="DB3" s="24">
        <f>+VALUE(B3)</f>
        <v>0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e">
        <f>IF(H3=" ","",VALUE(SUBSTITUTE((SUBSTITUTE((H3),"Cr.","")),",","")))</f>
        <v>#VALUE!</v>
      </c>
      <c r="DG3" s="302" t="s">
        <v>6</v>
      </c>
      <c r="DH3" s="28">
        <f>+VALUE(B3)</f>
        <v>0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309" t="s">
        <v>1083</v>
      </c>
      <c r="B4" s="309" t="s">
        <v>1084</v>
      </c>
      <c r="C4" s="309"/>
      <c r="D4" s="309" t="s">
        <v>1085</v>
      </c>
      <c r="E4" s="309"/>
      <c r="F4" s="309" t="s">
        <v>1086</v>
      </c>
      <c r="G4" s="310" t="s">
        <v>1087</v>
      </c>
      <c r="H4" s="310" t="s">
        <v>1088</v>
      </c>
      <c r="DA4" s="38" t="str">
        <f>+DA3</f>
        <v xml:space="preserve">Bank of India </v>
      </c>
    </row>
  </sheetData>
  <sheetProtection algorithmName="SHA-512" hashValue="Kkbd1dEFKtBPaKAnKOzsWWPmYSWHzwlHUNW8ZgkVAMUDp/4DuoYC8SHHUoFk+kkp/2IkuqVdvqg17jFtPp6rBw==" saltValue="ec8Q4j+YLBAaadYuz/xEu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573" priority="10" operator="equal">
      <formula>#N/A</formula>
    </cfRule>
  </conditionalFormatting>
  <conditionalFormatting sqref="H1">
    <cfRule type="cellIs" dxfId="572" priority="9" operator="equal">
      <formula>#N/A</formula>
    </cfRule>
  </conditionalFormatting>
  <conditionalFormatting sqref="E1">
    <cfRule type="cellIs" dxfId="571" priority="8" operator="equal">
      <formula>#N/A</formula>
    </cfRule>
  </conditionalFormatting>
  <conditionalFormatting sqref="I1">
    <cfRule type="containsText" dxfId="570" priority="6" operator="containsText" text="All Data Import Successfully">
      <formula>NOT(ISERROR(SEARCH("All Data Import Successfully",I1)))</formula>
    </cfRule>
    <cfRule type="containsText" dxfId="569" priority="7" operator="containsText" text="Difference Entry">
      <formula>NOT(ISERROR(SEARCH("Difference Entry",I1)))</formula>
    </cfRule>
  </conditionalFormatting>
  <conditionalFormatting sqref="DG2">
    <cfRule type="cellIs" dxfId="568" priority="5" operator="equal">
      <formula>#N/A</formula>
    </cfRule>
  </conditionalFormatting>
  <conditionalFormatting sqref="DH2:DI2">
    <cfRule type="cellIs" dxfId="567" priority="4" operator="equal">
      <formula>#N/A</formula>
    </cfRule>
  </conditionalFormatting>
  <conditionalFormatting sqref="E2:G2">
    <cfRule type="cellIs" dxfId="566" priority="3" operator="equal">
      <formula>#N/A</formula>
    </cfRule>
  </conditionalFormatting>
  <conditionalFormatting sqref="H2">
    <cfRule type="cellIs" dxfId="565" priority="2" operator="equal">
      <formula>#N/A</formula>
    </cfRule>
  </conditionalFormatting>
  <conditionalFormatting sqref="I2">
    <cfRule type="cellIs" dxfId="56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7C4A94-46F0-4AB5-AD35-4EC537ECC85A}">
  <sheetPr codeName="Sheet61"/>
  <dimension ref="A1:DZ294"/>
  <sheetViews>
    <sheetView zoomScale="106" zoomScaleNormal="106" workbookViewId="0">
      <selection activeCell="E11" sqref="E11"/>
    </sheetView>
  </sheetViews>
  <sheetFormatPr defaultRowHeight="15"/>
  <cols>
    <col min="1" max="1" width="25.7109375" style="192" customWidth="1"/>
    <col min="2" max="9" width="25.7109375" style="6" customWidth="1"/>
    <col min="10" max="10" width="17.7109375" style="6" customWidth="1"/>
    <col min="11" max="104" width="9.140625" style="6"/>
    <col min="105" max="110" width="24.7109375" style="6" customWidth="1"/>
    <col min="111" max="111" width="54.140625" style="6" bestFit="1" customWidth="1"/>
    <col min="112" max="113" width="24.7109375" style="6" customWidth="1"/>
    <col min="114" max="114" width="132" style="6" bestFit="1" customWidth="1"/>
    <col min="115" max="115" width="24.7109375" style="6" customWidth="1"/>
    <col min="116" max="16384" width="9.140625" style="6"/>
  </cols>
  <sheetData>
    <row r="1" spans="1:130" ht="45" customHeight="1">
      <c r="A1" s="188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192</v>
      </c>
      <c r="T1" s="92">
        <v>6</v>
      </c>
      <c r="U1" s="92" t="s">
        <v>183</v>
      </c>
      <c r="V1" s="92" t="s">
        <v>196</v>
      </c>
      <c r="W1" s="92" t="s">
        <v>180</v>
      </c>
      <c r="X1" s="99" t="s">
        <v>6</v>
      </c>
      <c r="Y1" s="99">
        <v>1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89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72" t="s">
        <v>428</v>
      </c>
      <c r="B3" s="56"/>
      <c r="C3" s="55"/>
      <c r="D3" s="55" t="s">
        <v>431</v>
      </c>
      <c r="E3" s="57"/>
      <c r="F3" s="55"/>
      <c r="G3" s="20"/>
      <c r="H3" s="21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Canara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IF(C3=" ",VALUE("0"),VALUE(SUBSTITUTE((C3),",","")))</f>
        <v>#VALUE!</v>
      </c>
      <c r="DE3" s="26" t="e">
        <f>IF(D3=" ",VALUE("0"),VALUE(SUBSTITUTE((D3),",","")))</f>
        <v>#VALUE!</v>
      </c>
      <c r="DF3" s="26" t="e">
        <f>IF(E3=" ","",VALUE(SUBSTITUTE((SUBSTITUTE((E3),"Cr","")),",","")))</f>
        <v>#VALUE!</v>
      </c>
      <c r="DG3" s="294" t="s">
        <v>6</v>
      </c>
      <c r="DH3" s="28" t="e">
        <f>+VALUE(A3)</f>
        <v>#VALUE!</v>
      </c>
      <c r="DI3" s="28" t="e">
        <f>+IF(DE3=0,"Suspance Payment","Suspance Receipt")</f>
        <v>#VALUE!</v>
      </c>
      <c r="DJ3" s="39">
        <f>+F3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91" t="s">
        <v>32</v>
      </c>
      <c r="B4" s="292" t="s">
        <v>429</v>
      </c>
      <c r="C4" s="292" t="s">
        <v>68</v>
      </c>
      <c r="D4" s="292" t="s">
        <v>69</v>
      </c>
      <c r="E4" s="292" t="s">
        <v>11</v>
      </c>
      <c r="F4" s="293" t="s">
        <v>125</v>
      </c>
      <c r="DA4" s="38" t="str">
        <f>+DA3</f>
        <v>Canara Bank</v>
      </c>
    </row>
    <row r="5" spans="1:130">
      <c r="DJ5" s="295"/>
    </row>
    <row r="6" spans="1:130">
      <c r="DJ6" s="295"/>
    </row>
    <row r="7" spans="1:130">
      <c r="DJ7" s="295"/>
    </row>
    <row r="8" spans="1:130">
      <c r="DJ8" s="295"/>
    </row>
    <row r="9" spans="1:130">
      <c r="DJ9" s="295"/>
    </row>
    <row r="10" spans="1:130">
      <c r="DJ10" s="295"/>
    </row>
    <row r="11" spans="1:130">
      <c r="DJ11" s="295"/>
    </row>
    <row r="12" spans="1:130">
      <c r="DJ12" s="295"/>
    </row>
    <row r="13" spans="1:130">
      <c r="DJ13" s="295"/>
    </row>
    <row r="14" spans="1:130">
      <c r="DJ14" s="295"/>
    </row>
    <row r="15" spans="1:130">
      <c r="DJ15" s="295"/>
    </row>
    <row r="16" spans="1:130">
      <c r="DJ16" s="295"/>
    </row>
    <row r="17" spans="114:114">
      <c r="DJ17" s="295"/>
    </row>
    <row r="18" spans="114:114">
      <c r="DJ18" s="295"/>
    </row>
    <row r="19" spans="114:114">
      <c r="DJ19" s="295"/>
    </row>
    <row r="20" spans="114:114">
      <c r="DJ20" s="295"/>
    </row>
    <row r="21" spans="114:114">
      <c r="DJ21" s="295"/>
    </row>
    <row r="22" spans="114:114">
      <c r="DJ22" s="295"/>
    </row>
    <row r="23" spans="114:114">
      <c r="DJ23" s="295"/>
    </row>
    <row r="24" spans="114:114">
      <c r="DJ24" s="295"/>
    </row>
    <row r="25" spans="114:114">
      <c r="DJ25" s="295"/>
    </row>
    <row r="26" spans="114:114">
      <c r="DJ26" s="295"/>
    </row>
    <row r="27" spans="114:114">
      <c r="DJ27" s="295"/>
    </row>
    <row r="28" spans="114:114">
      <c r="DJ28" s="295"/>
    </row>
    <row r="29" spans="114:114">
      <c r="DJ29" s="295"/>
    </row>
    <row r="30" spans="114:114">
      <c r="DJ30" s="295"/>
    </row>
    <row r="31" spans="114:114">
      <c r="DJ31" s="295"/>
    </row>
    <row r="32" spans="114:114">
      <c r="DJ32" s="295"/>
    </row>
    <row r="33" spans="114:114">
      <c r="DJ33" s="295"/>
    </row>
    <row r="34" spans="114:114">
      <c r="DJ34" s="295"/>
    </row>
    <row r="35" spans="114:114">
      <c r="DJ35" s="295"/>
    </row>
    <row r="36" spans="114:114">
      <c r="DJ36" s="295"/>
    </row>
    <row r="37" spans="114:114">
      <c r="DJ37" s="295"/>
    </row>
    <row r="38" spans="114:114">
      <c r="DJ38" s="295"/>
    </row>
    <row r="39" spans="114:114">
      <c r="DJ39" s="295"/>
    </row>
    <row r="40" spans="114:114">
      <c r="DJ40" s="295"/>
    </row>
    <row r="41" spans="114:114">
      <c r="DJ41" s="295"/>
    </row>
    <row r="42" spans="114:114">
      <c r="DJ42" s="295"/>
    </row>
    <row r="43" spans="114:114">
      <c r="DJ43" s="295"/>
    </row>
    <row r="44" spans="114:114">
      <c r="DJ44" s="295"/>
    </row>
    <row r="45" spans="114:114">
      <c r="DJ45" s="295"/>
    </row>
    <row r="46" spans="114:114">
      <c r="DJ46" s="295"/>
    </row>
    <row r="47" spans="114:114">
      <c r="DJ47" s="295"/>
    </row>
    <row r="48" spans="114:114">
      <c r="DJ48" s="295"/>
    </row>
    <row r="49" spans="114:114">
      <c r="DJ49" s="295"/>
    </row>
    <row r="50" spans="114:114">
      <c r="DJ50" s="295"/>
    </row>
    <row r="51" spans="114:114">
      <c r="DJ51" s="295"/>
    </row>
    <row r="52" spans="114:114">
      <c r="DJ52" s="295"/>
    </row>
    <row r="53" spans="114:114">
      <c r="DJ53" s="295"/>
    </row>
    <row r="54" spans="114:114">
      <c r="DJ54" s="295"/>
    </row>
    <row r="55" spans="114:114">
      <c r="DJ55" s="295"/>
    </row>
    <row r="56" spans="114:114">
      <c r="DJ56" s="295"/>
    </row>
    <row r="57" spans="114:114">
      <c r="DJ57" s="295"/>
    </row>
    <row r="58" spans="114:114">
      <c r="DJ58" s="295"/>
    </row>
    <row r="59" spans="114:114">
      <c r="DJ59" s="295"/>
    </row>
    <row r="60" spans="114:114">
      <c r="DJ60" s="295"/>
    </row>
    <row r="61" spans="114:114">
      <c r="DJ61" s="295"/>
    </row>
    <row r="62" spans="114:114">
      <c r="DJ62" s="295"/>
    </row>
    <row r="63" spans="114:114">
      <c r="DJ63" s="295"/>
    </row>
    <row r="64" spans="114:114">
      <c r="DJ64" s="295"/>
    </row>
    <row r="65" spans="114:114">
      <c r="DJ65" s="295"/>
    </row>
    <row r="66" spans="114:114">
      <c r="DJ66" s="295"/>
    </row>
    <row r="67" spans="114:114">
      <c r="DJ67" s="295"/>
    </row>
    <row r="68" spans="114:114">
      <c r="DJ68" s="295"/>
    </row>
    <row r="69" spans="114:114">
      <c r="DJ69" s="295"/>
    </row>
    <row r="70" spans="114:114">
      <c r="DJ70" s="295"/>
    </row>
    <row r="71" spans="114:114">
      <c r="DJ71" s="295"/>
    </row>
    <row r="72" spans="114:114">
      <c r="DJ72" s="295"/>
    </row>
    <row r="73" spans="114:114">
      <c r="DJ73" s="295"/>
    </row>
    <row r="74" spans="114:114">
      <c r="DJ74" s="295"/>
    </row>
    <row r="75" spans="114:114">
      <c r="DJ75" s="295"/>
    </row>
    <row r="76" spans="114:114">
      <c r="DJ76" s="295"/>
    </row>
    <row r="77" spans="114:114">
      <c r="DJ77" s="295"/>
    </row>
    <row r="78" spans="114:114">
      <c r="DJ78" s="295"/>
    </row>
    <row r="79" spans="114:114">
      <c r="DJ79" s="295"/>
    </row>
    <row r="80" spans="114:114">
      <c r="DJ80" s="295"/>
    </row>
    <row r="81" spans="114:114">
      <c r="DJ81" s="295"/>
    </row>
    <row r="82" spans="114:114">
      <c r="DJ82" s="295"/>
    </row>
    <row r="83" spans="114:114">
      <c r="DJ83" s="295"/>
    </row>
    <row r="84" spans="114:114">
      <c r="DJ84" s="295"/>
    </row>
    <row r="85" spans="114:114">
      <c r="DJ85" s="295"/>
    </row>
    <row r="86" spans="114:114">
      <c r="DJ86" s="295"/>
    </row>
    <row r="87" spans="114:114">
      <c r="DJ87" s="295"/>
    </row>
    <row r="88" spans="114:114">
      <c r="DJ88" s="295"/>
    </row>
    <row r="89" spans="114:114">
      <c r="DJ89" s="295"/>
    </row>
    <row r="90" spans="114:114">
      <c r="DJ90" s="295"/>
    </row>
    <row r="91" spans="114:114">
      <c r="DJ91" s="295"/>
    </row>
    <row r="92" spans="114:114">
      <c r="DJ92" s="295"/>
    </row>
    <row r="93" spans="114:114">
      <c r="DJ93" s="295"/>
    </row>
    <row r="94" spans="114:114">
      <c r="DJ94" s="295"/>
    </row>
    <row r="95" spans="114:114">
      <c r="DJ95" s="295"/>
    </row>
    <row r="96" spans="114:114">
      <c r="DJ96" s="295"/>
    </row>
    <row r="97" spans="114:114">
      <c r="DJ97" s="295"/>
    </row>
    <row r="98" spans="114:114">
      <c r="DJ98" s="295"/>
    </row>
    <row r="99" spans="114:114">
      <c r="DJ99" s="295"/>
    </row>
    <row r="100" spans="114:114">
      <c r="DJ100" s="295"/>
    </row>
    <row r="101" spans="114:114">
      <c r="DJ101" s="295"/>
    </row>
    <row r="102" spans="114:114">
      <c r="DJ102" s="295"/>
    </row>
    <row r="103" spans="114:114">
      <c r="DJ103" s="295"/>
    </row>
    <row r="104" spans="114:114">
      <c r="DJ104" s="295"/>
    </row>
    <row r="105" spans="114:114">
      <c r="DJ105" s="295"/>
    </row>
    <row r="106" spans="114:114">
      <c r="DJ106" s="295"/>
    </row>
    <row r="107" spans="114:114">
      <c r="DJ107" s="295"/>
    </row>
    <row r="108" spans="114:114">
      <c r="DJ108" s="295"/>
    </row>
    <row r="109" spans="114:114">
      <c r="DJ109" s="295"/>
    </row>
    <row r="110" spans="114:114">
      <c r="DJ110" s="295"/>
    </row>
    <row r="111" spans="114:114">
      <c r="DJ111" s="295"/>
    </row>
    <row r="112" spans="114:114">
      <c r="DJ112" s="295"/>
    </row>
    <row r="113" spans="114:114">
      <c r="DJ113" s="295"/>
    </row>
    <row r="114" spans="114:114">
      <c r="DJ114" s="295"/>
    </row>
    <row r="115" spans="114:114">
      <c r="DJ115" s="295"/>
    </row>
    <row r="116" spans="114:114">
      <c r="DJ116" s="295"/>
    </row>
    <row r="117" spans="114:114">
      <c r="DJ117" s="295"/>
    </row>
    <row r="118" spans="114:114">
      <c r="DJ118" s="295"/>
    </row>
    <row r="119" spans="114:114">
      <c r="DJ119" s="295"/>
    </row>
    <row r="120" spans="114:114">
      <c r="DJ120" s="295"/>
    </row>
    <row r="121" spans="114:114">
      <c r="DJ121" s="295"/>
    </row>
    <row r="122" spans="114:114">
      <c r="DJ122" s="295"/>
    </row>
    <row r="123" spans="114:114">
      <c r="DJ123" s="295"/>
    </row>
    <row r="124" spans="114:114">
      <c r="DJ124" s="295"/>
    </row>
    <row r="125" spans="114:114">
      <c r="DJ125" s="295"/>
    </row>
    <row r="126" spans="114:114">
      <c r="DJ126" s="295"/>
    </row>
    <row r="127" spans="114:114">
      <c r="DJ127" s="295"/>
    </row>
    <row r="128" spans="114:114">
      <c r="DJ128" s="295"/>
    </row>
    <row r="129" spans="114:114">
      <c r="DJ129" s="295"/>
    </row>
    <row r="130" spans="114:114">
      <c r="DJ130" s="295"/>
    </row>
    <row r="131" spans="114:114">
      <c r="DJ131" s="295"/>
    </row>
    <row r="132" spans="114:114">
      <c r="DJ132" s="295"/>
    </row>
    <row r="133" spans="114:114">
      <c r="DJ133" s="295"/>
    </row>
    <row r="134" spans="114:114">
      <c r="DJ134" s="295"/>
    </row>
    <row r="135" spans="114:114">
      <c r="DJ135" s="295"/>
    </row>
    <row r="136" spans="114:114">
      <c r="DJ136" s="295"/>
    </row>
    <row r="137" spans="114:114">
      <c r="DJ137" s="295"/>
    </row>
    <row r="138" spans="114:114">
      <c r="DJ138" s="295"/>
    </row>
    <row r="139" spans="114:114">
      <c r="DJ139" s="295"/>
    </row>
    <row r="140" spans="114:114">
      <c r="DJ140" s="295"/>
    </row>
    <row r="141" spans="114:114">
      <c r="DJ141" s="295"/>
    </row>
    <row r="142" spans="114:114">
      <c r="DJ142" s="295"/>
    </row>
    <row r="143" spans="114:114">
      <c r="DJ143" s="295"/>
    </row>
    <row r="144" spans="114:114">
      <c r="DJ144" s="295"/>
    </row>
    <row r="145" spans="114:114">
      <c r="DJ145" s="295"/>
    </row>
    <row r="146" spans="114:114">
      <c r="DJ146" s="295"/>
    </row>
    <row r="147" spans="114:114">
      <c r="DJ147" s="295"/>
    </row>
    <row r="148" spans="114:114">
      <c r="DJ148" s="295"/>
    </row>
    <row r="149" spans="114:114">
      <c r="DJ149" s="295"/>
    </row>
    <row r="150" spans="114:114">
      <c r="DJ150" s="295"/>
    </row>
    <row r="151" spans="114:114">
      <c r="DJ151" s="295"/>
    </row>
    <row r="152" spans="114:114">
      <c r="DJ152" s="295"/>
    </row>
    <row r="153" spans="114:114">
      <c r="DJ153" s="295"/>
    </row>
    <row r="154" spans="114:114">
      <c r="DJ154" s="295"/>
    </row>
    <row r="155" spans="114:114">
      <c r="DJ155" s="295"/>
    </row>
    <row r="156" spans="114:114">
      <c r="DJ156" s="295"/>
    </row>
    <row r="157" spans="114:114">
      <c r="DJ157" s="295"/>
    </row>
    <row r="158" spans="114:114">
      <c r="DJ158" s="295"/>
    </row>
    <row r="159" spans="114:114">
      <c r="DJ159" s="295"/>
    </row>
    <row r="160" spans="114:114">
      <c r="DJ160" s="295"/>
    </row>
    <row r="161" spans="114:114">
      <c r="DJ161" s="295"/>
    </row>
    <row r="162" spans="114:114">
      <c r="DJ162" s="295"/>
    </row>
    <row r="163" spans="114:114">
      <c r="DJ163" s="295"/>
    </row>
    <row r="164" spans="114:114">
      <c r="DJ164" s="295"/>
    </row>
    <row r="165" spans="114:114">
      <c r="DJ165" s="295"/>
    </row>
    <row r="166" spans="114:114">
      <c r="DJ166" s="295"/>
    </row>
    <row r="167" spans="114:114">
      <c r="DJ167" s="295"/>
    </row>
    <row r="168" spans="114:114">
      <c r="DJ168" s="295"/>
    </row>
    <row r="169" spans="114:114">
      <c r="DJ169" s="295"/>
    </row>
    <row r="170" spans="114:114">
      <c r="DJ170" s="295"/>
    </row>
    <row r="171" spans="114:114">
      <c r="DJ171" s="295"/>
    </row>
    <row r="172" spans="114:114">
      <c r="DJ172" s="295"/>
    </row>
    <row r="173" spans="114:114">
      <c r="DJ173" s="295"/>
    </row>
    <row r="174" spans="114:114">
      <c r="DJ174" s="295"/>
    </row>
    <row r="175" spans="114:114">
      <c r="DJ175" s="295"/>
    </row>
    <row r="176" spans="114:114">
      <c r="DJ176" s="295"/>
    </row>
    <row r="177" spans="114:114">
      <c r="DJ177" s="295"/>
    </row>
    <row r="178" spans="114:114">
      <c r="DJ178" s="295"/>
    </row>
    <row r="179" spans="114:114">
      <c r="DJ179" s="295"/>
    </row>
    <row r="180" spans="114:114">
      <c r="DJ180" s="295"/>
    </row>
    <row r="181" spans="114:114">
      <c r="DJ181" s="295"/>
    </row>
    <row r="182" spans="114:114">
      <c r="DJ182" s="295"/>
    </row>
    <row r="183" spans="114:114">
      <c r="DJ183" s="295"/>
    </row>
    <row r="184" spans="114:114">
      <c r="DJ184" s="295"/>
    </row>
    <row r="185" spans="114:114">
      <c r="DJ185" s="295"/>
    </row>
    <row r="186" spans="114:114">
      <c r="DJ186" s="295"/>
    </row>
    <row r="187" spans="114:114">
      <c r="DJ187" s="295"/>
    </row>
    <row r="188" spans="114:114">
      <c r="DJ188" s="295"/>
    </row>
    <row r="189" spans="114:114">
      <c r="DJ189" s="295"/>
    </row>
    <row r="190" spans="114:114">
      <c r="DJ190" s="295"/>
    </row>
    <row r="191" spans="114:114">
      <c r="DJ191" s="295"/>
    </row>
    <row r="192" spans="114:114">
      <c r="DJ192" s="295"/>
    </row>
    <row r="193" spans="114:114">
      <c r="DJ193" s="295"/>
    </row>
    <row r="194" spans="114:114">
      <c r="DJ194" s="295"/>
    </row>
    <row r="195" spans="114:114">
      <c r="DJ195" s="295"/>
    </row>
    <row r="196" spans="114:114">
      <c r="DJ196" s="295"/>
    </row>
    <row r="197" spans="114:114">
      <c r="DJ197" s="295"/>
    </row>
    <row r="198" spans="114:114">
      <c r="DJ198" s="295"/>
    </row>
    <row r="199" spans="114:114">
      <c r="DJ199" s="295"/>
    </row>
    <row r="200" spans="114:114">
      <c r="DJ200" s="295"/>
    </row>
    <row r="201" spans="114:114">
      <c r="DJ201" s="295"/>
    </row>
    <row r="202" spans="114:114">
      <c r="DJ202" s="295"/>
    </row>
    <row r="203" spans="114:114">
      <c r="DJ203" s="295"/>
    </row>
    <row r="204" spans="114:114">
      <c r="DJ204" s="295"/>
    </row>
    <row r="205" spans="114:114">
      <c r="DJ205" s="295"/>
    </row>
    <row r="206" spans="114:114">
      <c r="DJ206" s="295"/>
    </row>
    <row r="207" spans="114:114">
      <c r="DJ207" s="295"/>
    </row>
    <row r="208" spans="114:114">
      <c r="DJ208" s="295"/>
    </row>
    <row r="209" spans="114:114">
      <c r="DJ209" s="295"/>
    </row>
    <row r="210" spans="114:114">
      <c r="DJ210" s="295"/>
    </row>
    <row r="211" spans="114:114">
      <c r="DJ211" s="295"/>
    </row>
    <row r="212" spans="114:114">
      <c r="DJ212" s="295"/>
    </row>
    <row r="213" spans="114:114">
      <c r="DJ213" s="295"/>
    </row>
    <row r="214" spans="114:114">
      <c r="DJ214" s="295"/>
    </row>
    <row r="215" spans="114:114">
      <c r="DJ215" s="295"/>
    </row>
    <row r="216" spans="114:114">
      <c r="DJ216" s="295"/>
    </row>
    <row r="217" spans="114:114">
      <c r="DJ217" s="295"/>
    </row>
    <row r="218" spans="114:114">
      <c r="DJ218" s="295"/>
    </row>
    <row r="219" spans="114:114">
      <c r="DJ219" s="295"/>
    </row>
    <row r="220" spans="114:114">
      <c r="DJ220" s="295"/>
    </row>
    <row r="221" spans="114:114">
      <c r="DJ221" s="295"/>
    </row>
    <row r="222" spans="114:114">
      <c r="DJ222" s="295"/>
    </row>
    <row r="223" spans="114:114">
      <c r="DJ223" s="295"/>
    </row>
    <row r="224" spans="114:114">
      <c r="DJ224" s="295"/>
    </row>
    <row r="225" spans="114:114">
      <c r="DJ225" s="295"/>
    </row>
    <row r="226" spans="114:114">
      <c r="DJ226" s="295"/>
    </row>
    <row r="227" spans="114:114">
      <c r="DJ227" s="295"/>
    </row>
    <row r="228" spans="114:114">
      <c r="DJ228" s="295"/>
    </row>
    <row r="229" spans="114:114">
      <c r="DJ229" s="295"/>
    </row>
    <row r="230" spans="114:114">
      <c r="DJ230" s="295"/>
    </row>
    <row r="231" spans="114:114">
      <c r="DJ231" s="295"/>
    </row>
    <row r="232" spans="114:114">
      <c r="DJ232" s="295"/>
    </row>
    <row r="233" spans="114:114">
      <c r="DJ233" s="295"/>
    </row>
    <row r="234" spans="114:114">
      <c r="DJ234" s="295"/>
    </row>
    <row r="235" spans="114:114">
      <c r="DJ235" s="295"/>
    </row>
    <row r="236" spans="114:114">
      <c r="DJ236" s="295"/>
    </row>
    <row r="237" spans="114:114">
      <c r="DJ237" s="295"/>
    </row>
    <row r="238" spans="114:114">
      <c r="DJ238" s="295"/>
    </row>
    <row r="239" spans="114:114">
      <c r="DJ239" s="295"/>
    </row>
    <row r="240" spans="114:114">
      <c r="DJ240" s="295"/>
    </row>
    <row r="241" spans="114:114">
      <c r="DJ241" s="295"/>
    </row>
    <row r="242" spans="114:114">
      <c r="DJ242" s="295"/>
    </row>
    <row r="243" spans="114:114">
      <c r="DJ243" s="295"/>
    </row>
    <row r="244" spans="114:114">
      <c r="DJ244" s="295"/>
    </row>
    <row r="245" spans="114:114">
      <c r="DJ245" s="295"/>
    </row>
    <row r="246" spans="114:114">
      <c r="DJ246" s="295"/>
    </row>
    <row r="247" spans="114:114">
      <c r="DJ247" s="295"/>
    </row>
    <row r="248" spans="114:114">
      <c r="DJ248" s="295"/>
    </row>
    <row r="249" spans="114:114">
      <c r="DJ249" s="295"/>
    </row>
    <row r="250" spans="114:114">
      <c r="DJ250" s="295"/>
    </row>
    <row r="251" spans="114:114">
      <c r="DJ251" s="295"/>
    </row>
    <row r="252" spans="114:114">
      <c r="DJ252" s="295"/>
    </row>
    <row r="253" spans="114:114">
      <c r="DJ253" s="295"/>
    </row>
    <row r="254" spans="114:114">
      <c r="DJ254" s="295"/>
    </row>
    <row r="255" spans="114:114">
      <c r="DJ255" s="295"/>
    </row>
    <row r="256" spans="114:114">
      <c r="DJ256" s="295"/>
    </row>
    <row r="257" spans="114:114">
      <c r="DJ257" s="295"/>
    </row>
    <row r="258" spans="114:114">
      <c r="DJ258" s="295"/>
    </row>
    <row r="259" spans="114:114">
      <c r="DJ259" s="295"/>
    </row>
    <row r="260" spans="114:114">
      <c r="DJ260" s="295"/>
    </row>
    <row r="261" spans="114:114">
      <c r="DJ261" s="295"/>
    </row>
    <row r="262" spans="114:114">
      <c r="DJ262" s="295"/>
    </row>
    <row r="263" spans="114:114">
      <c r="DJ263" s="295"/>
    </row>
    <row r="264" spans="114:114">
      <c r="DJ264" s="295"/>
    </row>
    <row r="265" spans="114:114">
      <c r="DJ265" s="295"/>
    </row>
    <row r="266" spans="114:114">
      <c r="DJ266" s="295"/>
    </row>
    <row r="267" spans="114:114">
      <c r="DJ267" s="295"/>
    </row>
    <row r="268" spans="114:114">
      <c r="DJ268" s="295"/>
    </row>
    <row r="269" spans="114:114">
      <c r="DJ269" s="295"/>
    </row>
    <row r="270" spans="114:114">
      <c r="DJ270" s="295"/>
    </row>
    <row r="271" spans="114:114">
      <c r="DJ271" s="295"/>
    </row>
    <row r="272" spans="114:114">
      <c r="DJ272" s="295"/>
    </row>
    <row r="273" spans="114:114">
      <c r="DJ273" s="295"/>
    </row>
    <row r="274" spans="114:114">
      <c r="DJ274" s="295"/>
    </row>
    <row r="275" spans="114:114">
      <c r="DJ275" s="295"/>
    </row>
    <row r="276" spans="114:114">
      <c r="DJ276" s="295"/>
    </row>
    <row r="277" spans="114:114">
      <c r="DJ277" s="295"/>
    </row>
    <row r="278" spans="114:114">
      <c r="DJ278" s="295"/>
    </row>
    <row r="279" spans="114:114">
      <c r="DJ279" s="295"/>
    </row>
    <row r="280" spans="114:114">
      <c r="DJ280" s="295"/>
    </row>
    <row r="281" spans="114:114">
      <c r="DJ281" s="295"/>
    </row>
    <row r="282" spans="114:114">
      <c r="DJ282" s="295"/>
    </row>
    <row r="283" spans="114:114">
      <c r="DJ283" s="295"/>
    </row>
    <row r="284" spans="114:114">
      <c r="DJ284" s="295"/>
    </row>
    <row r="285" spans="114:114">
      <c r="DJ285" s="295"/>
    </row>
    <row r="286" spans="114:114">
      <c r="DJ286" s="295"/>
    </row>
    <row r="287" spans="114:114">
      <c r="DJ287" s="295"/>
    </row>
    <row r="288" spans="114:114">
      <c r="DJ288" s="295"/>
    </row>
    <row r="289" spans="114:114">
      <c r="DJ289" s="295"/>
    </row>
    <row r="290" spans="114:114">
      <c r="DJ290" s="295"/>
    </row>
    <row r="291" spans="114:114">
      <c r="DJ291" s="295"/>
    </row>
    <row r="292" spans="114:114">
      <c r="DJ292" s="295"/>
    </row>
    <row r="293" spans="114:114">
      <c r="DJ293" s="295"/>
    </row>
    <row r="294" spans="114:114">
      <c r="DJ294" s="295"/>
    </row>
  </sheetData>
  <sheetProtection algorithmName="SHA-512" hashValue="YbSfDLt8ynuAMbOQb7eTZWmHKtF5ZygM3xenTYXA6aK3Bkr1a6SBktID7k7Ao87boUThLENfBfDqZSNnHvPHkg==" saltValue="SwKly2UZFsAhS1Mwah1G0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563" priority="11" operator="equal">
      <formula>#N/A</formula>
    </cfRule>
  </conditionalFormatting>
  <conditionalFormatting sqref="DG2">
    <cfRule type="cellIs" dxfId="562" priority="10" operator="equal">
      <formula>#N/A</formula>
    </cfRule>
  </conditionalFormatting>
  <conditionalFormatting sqref="DH2:DI2">
    <cfRule type="cellIs" dxfId="561" priority="9" operator="equal">
      <formula>#N/A</formula>
    </cfRule>
  </conditionalFormatting>
  <conditionalFormatting sqref="I1:I2">
    <cfRule type="cellIs" dxfId="560" priority="8" operator="equal">
      <formula>#N/A</formula>
    </cfRule>
  </conditionalFormatting>
  <conditionalFormatting sqref="H1">
    <cfRule type="cellIs" dxfId="559" priority="7" operator="equal">
      <formula>#N/A</formula>
    </cfRule>
  </conditionalFormatting>
  <conditionalFormatting sqref="E1">
    <cfRule type="cellIs" dxfId="558" priority="6" operator="equal">
      <formula>#N/A</formula>
    </cfRule>
  </conditionalFormatting>
  <conditionalFormatting sqref="I1">
    <cfRule type="containsText" dxfId="557" priority="4" operator="containsText" text="All Data Import Successfully">
      <formula>NOT(ISERROR(SEARCH("All Data Import Successfully",I1)))</formula>
    </cfRule>
    <cfRule type="containsText" dxfId="556" priority="5" operator="containsText" text="Difference Entry">
      <formula>NOT(ISERROR(SEARCH("Difference Entry",I1)))</formula>
    </cfRule>
  </conditionalFormatting>
  <conditionalFormatting sqref="E2:G2">
    <cfRule type="cellIs" dxfId="555" priority="3" operator="equal">
      <formula>#N/A</formula>
    </cfRule>
  </conditionalFormatting>
  <conditionalFormatting sqref="H2">
    <cfRule type="cellIs" dxfId="554" priority="2" operator="equal">
      <formula>#N/A</formula>
    </cfRule>
  </conditionalFormatting>
  <conditionalFormatting sqref="I2">
    <cfRule type="cellIs" dxfId="55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Sheet27"/>
  <dimension ref="A1:DZ92"/>
  <sheetViews>
    <sheetView topLeftCell="CY1" workbookViewId="0">
      <selection activeCell="DD3" sqref="DD3"/>
    </sheetView>
  </sheetViews>
  <sheetFormatPr defaultRowHeight="15"/>
  <cols>
    <col min="1" max="9" width="25.42578125" style="6" customWidth="1"/>
    <col min="10" max="104" width="9.140625" style="6"/>
    <col min="105" max="111" width="24.7109375" style="6" customWidth="1"/>
    <col min="112" max="112" width="24.7109375" style="5" customWidth="1"/>
    <col min="113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5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88</v>
      </c>
      <c r="F2" s="11">
        <f>+COUNTIF($DE:$DE,"&gt;"&amp;0)</f>
        <v>38</v>
      </c>
      <c r="G2" s="11">
        <f>+COUNTIF($DD:$DD,"&gt;"&amp;0)</f>
        <v>50</v>
      </c>
      <c r="H2" s="12">
        <f>+F2+G2</f>
        <v>88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Central Bank of India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143</v>
      </c>
      <c r="B3" s="18"/>
      <c r="C3" s="17"/>
      <c r="D3" s="17"/>
      <c r="E3" s="19"/>
      <c r="F3" s="17"/>
      <c r="G3" s="20"/>
      <c r="H3" s="21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Central Bank of India</v>
      </c>
      <c r="DB3" s="24">
        <f>+B3</f>
        <v>0</v>
      </c>
      <c r="DC3" s="25" t="e">
        <f>+CONCATENATE(TEXT(DB3,"D"),"",TEXT(DB3,"MM"),"","/",SUBSTITUTE(DF3,",",""),"/",DK3)</f>
        <v>#VALUE!</v>
      </c>
      <c r="DD3" s="26">
        <f>IF(F3="", 0, IFERROR(VALUE(SUBSTITUTE(F3, ",", "")), 0))</f>
        <v>0</v>
      </c>
      <c r="DE3" s="26">
        <f>IF(OR(G3="", TRIM(G3) = ""), 0, IFERROR(VALUE(SUBSTITUTE(G3, ",", "")), 0))</f>
        <v>0</v>
      </c>
      <c r="DF3" s="26" t="str">
        <f>TRIM(SUBSTITUTE(SUBSTITUTE(H3, "DR", ""), "CR", ""))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66">
        <f>+B3</f>
        <v>0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65" t="s">
        <v>72</v>
      </c>
      <c r="B4" s="65" t="s">
        <v>18</v>
      </c>
      <c r="C4" s="65" t="s">
        <v>144</v>
      </c>
      <c r="D4" s="65" t="s">
        <v>136</v>
      </c>
      <c r="E4" s="65" t="s">
        <v>145</v>
      </c>
      <c r="F4" s="65" t="s">
        <v>100</v>
      </c>
      <c r="G4" s="65" t="s">
        <v>22</v>
      </c>
      <c r="H4" s="65" t="s">
        <v>11</v>
      </c>
      <c r="DA4" s="38" t="str">
        <f>+DA3</f>
        <v>Central Bank of India</v>
      </c>
    </row>
    <row r="5" spans="1:130">
      <c r="A5" s="305" t="s">
        <v>443</v>
      </c>
      <c r="B5" s="305" t="s">
        <v>443</v>
      </c>
      <c r="C5" s="305" t="s">
        <v>444</v>
      </c>
      <c r="D5" s="305" t="s">
        <v>445</v>
      </c>
      <c r="E5" s="305" t="s">
        <v>446</v>
      </c>
      <c r="F5" s="305" t="s">
        <v>447</v>
      </c>
      <c r="G5" s="305" t="s">
        <v>448</v>
      </c>
      <c r="H5" s="305" t="s">
        <v>449</v>
      </c>
      <c r="DA5" s="278" t="s">
        <v>143</v>
      </c>
      <c r="DB5" s="279" t="s">
        <v>443</v>
      </c>
      <c r="DC5" s="280" t="s">
        <v>758</v>
      </c>
      <c r="DD5" s="281">
        <v>0</v>
      </c>
      <c r="DE5" s="281">
        <v>30451</v>
      </c>
      <c r="DF5" s="281" t="s">
        <v>759</v>
      </c>
      <c r="DG5" s="306" t="s">
        <v>934</v>
      </c>
      <c r="DH5" s="283" t="s">
        <v>443</v>
      </c>
      <c r="DI5" s="284" t="s">
        <v>760</v>
      </c>
      <c r="DJ5" s="285" t="s">
        <v>446</v>
      </c>
      <c r="DK5" s="286">
        <v>1</v>
      </c>
    </row>
    <row r="6" spans="1:130">
      <c r="A6" s="305" t="s">
        <v>450</v>
      </c>
      <c r="B6" s="305" t="s">
        <v>450</v>
      </c>
      <c r="C6" s="305" t="s">
        <v>451</v>
      </c>
      <c r="D6" s="305" t="s">
        <v>452</v>
      </c>
      <c r="E6" s="305" t="s">
        <v>453</v>
      </c>
      <c r="F6" s="305" t="s">
        <v>447</v>
      </c>
      <c r="G6" s="305" t="s">
        <v>454</v>
      </c>
      <c r="H6" s="305" t="s">
        <v>455</v>
      </c>
      <c r="DA6" s="278" t="s">
        <v>143</v>
      </c>
      <c r="DB6" s="279" t="s">
        <v>450</v>
      </c>
      <c r="DC6" s="280" t="s">
        <v>761</v>
      </c>
      <c r="DD6" s="281">
        <v>0</v>
      </c>
      <c r="DE6" s="281">
        <v>36190</v>
      </c>
      <c r="DF6" s="281" t="s">
        <v>762</v>
      </c>
      <c r="DG6" s="282" t="s">
        <v>935</v>
      </c>
      <c r="DH6" s="283" t="s">
        <v>450</v>
      </c>
      <c r="DI6" s="284" t="s">
        <v>760</v>
      </c>
      <c r="DJ6" s="285" t="s">
        <v>453</v>
      </c>
      <c r="DK6" s="286">
        <v>2</v>
      </c>
    </row>
    <row r="7" spans="1:130">
      <c r="A7" s="305" t="s">
        <v>450</v>
      </c>
      <c r="B7" s="305" t="s">
        <v>450</v>
      </c>
      <c r="C7" s="305" t="s">
        <v>456</v>
      </c>
      <c r="D7" s="305" t="s">
        <v>452</v>
      </c>
      <c r="E7" s="305" t="s">
        <v>457</v>
      </c>
      <c r="F7" s="305" t="s">
        <v>458</v>
      </c>
      <c r="G7" s="305" t="s">
        <v>447</v>
      </c>
      <c r="H7" s="305" t="s">
        <v>459</v>
      </c>
      <c r="DA7" s="278" t="s">
        <v>143</v>
      </c>
      <c r="DB7" s="279" t="s">
        <v>450</v>
      </c>
      <c r="DC7" s="280" t="s">
        <v>763</v>
      </c>
      <c r="DD7" s="281">
        <v>10000</v>
      </c>
      <c r="DE7" s="281">
        <v>0</v>
      </c>
      <c r="DF7" s="281" t="s">
        <v>764</v>
      </c>
      <c r="DG7" s="282" t="s">
        <v>936</v>
      </c>
      <c r="DH7" s="283" t="s">
        <v>450</v>
      </c>
      <c r="DI7" s="284" t="s">
        <v>765</v>
      </c>
      <c r="DJ7" s="285" t="s">
        <v>457</v>
      </c>
      <c r="DK7" s="286">
        <v>3</v>
      </c>
    </row>
    <row r="8" spans="1:130">
      <c r="A8" s="305" t="s">
        <v>450</v>
      </c>
      <c r="B8" s="305" t="s">
        <v>450</v>
      </c>
      <c r="C8" s="305" t="s">
        <v>456</v>
      </c>
      <c r="D8" s="305" t="s">
        <v>452</v>
      </c>
      <c r="E8" s="305" t="s">
        <v>457</v>
      </c>
      <c r="F8" s="305" t="s">
        <v>460</v>
      </c>
      <c r="G8" s="305" t="s">
        <v>447</v>
      </c>
      <c r="H8" s="305" t="s">
        <v>461</v>
      </c>
      <c r="DA8" s="278" t="s">
        <v>143</v>
      </c>
      <c r="DB8" s="279" t="s">
        <v>450</v>
      </c>
      <c r="DC8" s="280" t="s">
        <v>766</v>
      </c>
      <c r="DD8" s="281">
        <v>1100</v>
      </c>
      <c r="DE8" s="281">
        <v>0</v>
      </c>
      <c r="DF8" s="281" t="s">
        <v>767</v>
      </c>
      <c r="DG8" s="282" t="s">
        <v>936</v>
      </c>
      <c r="DH8" s="283" t="s">
        <v>450</v>
      </c>
      <c r="DI8" s="284" t="s">
        <v>765</v>
      </c>
      <c r="DJ8" s="285" t="s">
        <v>457</v>
      </c>
      <c r="DK8" s="286">
        <v>4</v>
      </c>
    </row>
    <row r="9" spans="1:130">
      <c r="A9" s="305" t="s">
        <v>450</v>
      </c>
      <c r="B9" s="305" t="s">
        <v>450</v>
      </c>
      <c r="C9" s="305" t="s">
        <v>451</v>
      </c>
      <c r="D9" s="305" t="s">
        <v>462</v>
      </c>
      <c r="E9" s="305" t="s">
        <v>463</v>
      </c>
      <c r="F9" s="305" t="s">
        <v>447</v>
      </c>
      <c r="G9" s="305" t="s">
        <v>464</v>
      </c>
      <c r="H9" s="305" t="s">
        <v>465</v>
      </c>
      <c r="DA9" s="278" t="s">
        <v>143</v>
      </c>
      <c r="DB9" s="279" t="s">
        <v>450</v>
      </c>
      <c r="DC9" s="280" t="s">
        <v>768</v>
      </c>
      <c r="DD9" s="281">
        <v>0</v>
      </c>
      <c r="DE9" s="281">
        <v>49710</v>
      </c>
      <c r="DF9" s="281" t="s">
        <v>769</v>
      </c>
      <c r="DG9" s="306" t="s">
        <v>937</v>
      </c>
      <c r="DH9" s="283" t="s">
        <v>450</v>
      </c>
      <c r="DI9" s="284" t="s">
        <v>760</v>
      </c>
      <c r="DJ9" s="285" t="s">
        <v>463</v>
      </c>
      <c r="DK9" s="286">
        <v>5</v>
      </c>
    </row>
    <row r="10" spans="1:130">
      <c r="A10" s="305" t="s">
        <v>466</v>
      </c>
      <c r="B10" s="305" t="s">
        <v>466</v>
      </c>
      <c r="C10" s="305" t="s">
        <v>467</v>
      </c>
      <c r="D10" s="305" t="s">
        <v>452</v>
      </c>
      <c r="E10" s="305" t="s">
        <v>468</v>
      </c>
      <c r="F10" s="305" t="s">
        <v>469</v>
      </c>
      <c r="G10" s="305" t="s">
        <v>447</v>
      </c>
      <c r="H10" s="305" t="s">
        <v>470</v>
      </c>
      <c r="DA10" s="278" t="s">
        <v>143</v>
      </c>
      <c r="DB10" s="279" t="s">
        <v>466</v>
      </c>
      <c r="DC10" s="280" t="s">
        <v>770</v>
      </c>
      <c r="DD10" s="281">
        <v>20000</v>
      </c>
      <c r="DE10" s="281">
        <v>0</v>
      </c>
      <c r="DF10" s="281" t="s">
        <v>771</v>
      </c>
      <c r="DG10" s="282" t="s">
        <v>938</v>
      </c>
      <c r="DH10" s="283" t="s">
        <v>466</v>
      </c>
      <c r="DI10" s="284" t="s">
        <v>765</v>
      </c>
      <c r="DJ10" s="285" t="s">
        <v>468</v>
      </c>
      <c r="DK10" s="286">
        <v>6</v>
      </c>
    </row>
    <row r="11" spans="1:130">
      <c r="A11" s="305" t="s">
        <v>471</v>
      </c>
      <c r="B11" s="305" t="s">
        <v>471</v>
      </c>
      <c r="C11" s="305" t="s">
        <v>456</v>
      </c>
      <c r="D11" s="305" t="s">
        <v>452</v>
      </c>
      <c r="E11" s="305" t="s">
        <v>457</v>
      </c>
      <c r="F11" s="305" t="s">
        <v>469</v>
      </c>
      <c r="G11" s="305" t="s">
        <v>447</v>
      </c>
      <c r="H11" s="305" t="s">
        <v>472</v>
      </c>
      <c r="DA11" s="278" t="s">
        <v>143</v>
      </c>
      <c r="DB11" s="279" t="s">
        <v>471</v>
      </c>
      <c r="DC11" s="280" t="s">
        <v>772</v>
      </c>
      <c r="DD11" s="281">
        <v>20000</v>
      </c>
      <c r="DE11" s="281">
        <v>0</v>
      </c>
      <c r="DF11" s="281" t="s">
        <v>773</v>
      </c>
      <c r="DG11" s="282" t="s">
        <v>936</v>
      </c>
      <c r="DH11" s="283" t="s">
        <v>471</v>
      </c>
      <c r="DI11" s="284" t="s">
        <v>765</v>
      </c>
      <c r="DJ11" s="285" t="s">
        <v>457</v>
      </c>
      <c r="DK11" s="286">
        <v>7</v>
      </c>
    </row>
    <row r="12" spans="1:130">
      <c r="A12" s="305" t="s">
        <v>473</v>
      </c>
      <c r="B12" s="305" t="s">
        <v>473</v>
      </c>
      <c r="C12" s="305" t="s">
        <v>451</v>
      </c>
      <c r="D12" s="305" t="s">
        <v>452</v>
      </c>
      <c r="E12" s="305" t="s">
        <v>474</v>
      </c>
      <c r="F12" s="305" t="s">
        <v>447</v>
      </c>
      <c r="G12" s="305" t="s">
        <v>475</v>
      </c>
      <c r="H12" s="305" t="s">
        <v>476</v>
      </c>
      <c r="DA12" s="278" t="s">
        <v>143</v>
      </c>
      <c r="DB12" s="279" t="s">
        <v>473</v>
      </c>
      <c r="DC12" s="280" t="s">
        <v>774</v>
      </c>
      <c r="DD12" s="281">
        <v>0</v>
      </c>
      <c r="DE12" s="281">
        <v>35000</v>
      </c>
      <c r="DF12" s="281" t="s">
        <v>775</v>
      </c>
      <c r="DG12" s="282" t="s">
        <v>939</v>
      </c>
      <c r="DH12" s="283" t="s">
        <v>473</v>
      </c>
      <c r="DI12" s="284" t="s">
        <v>760</v>
      </c>
      <c r="DJ12" s="285" t="s">
        <v>474</v>
      </c>
      <c r="DK12" s="286">
        <v>8</v>
      </c>
    </row>
    <row r="13" spans="1:130">
      <c r="A13" s="305" t="s">
        <v>477</v>
      </c>
      <c r="B13" s="305" t="s">
        <v>477</v>
      </c>
      <c r="C13" s="305" t="s">
        <v>467</v>
      </c>
      <c r="D13" s="305" t="s">
        <v>452</v>
      </c>
      <c r="E13" s="305" t="s">
        <v>478</v>
      </c>
      <c r="F13" s="305" t="s">
        <v>479</v>
      </c>
      <c r="G13" s="305" t="s">
        <v>447</v>
      </c>
      <c r="H13" s="305" t="s">
        <v>480</v>
      </c>
      <c r="DA13" s="278" t="s">
        <v>143</v>
      </c>
      <c r="DB13" s="279" t="s">
        <v>477</v>
      </c>
      <c r="DC13" s="280" t="s">
        <v>776</v>
      </c>
      <c r="DD13" s="281">
        <v>23.6</v>
      </c>
      <c r="DE13" s="281">
        <v>0</v>
      </c>
      <c r="DF13" s="281" t="s">
        <v>777</v>
      </c>
      <c r="DG13" s="282" t="s">
        <v>940</v>
      </c>
      <c r="DH13" s="283" t="s">
        <v>477</v>
      </c>
      <c r="DI13" s="284" t="s">
        <v>765</v>
      </c>
      <c r="DJ13" s="285" t="s">
        <v>478</v>
      </c>
      <c r="DK13" s="286">
        <v>9</v>
      </c>
    </row>
    <row r="14" spans="1:130">
      <c r="A14" s="305" t="s">
        <v>481</v>
      </c>
      <c r="B14" s="305" t="s">
        <v>481</v>
      </c>
      <c r="C14" s="305" t="s">
        <v>451</v>
      </c>
      <c r="D14" s="305" t="s">
        <v>452</v>
      </c>
      <c r="E14" s="305" t="s">
        <v>482</v>
      </c>
      <c r="F14" s="305" t="s">
        <v>447</v>
      </c>
      <c r="G14" s="305" t="s">
        <v>483</v>
      </c>
      <c r="H14" s="305" t="s">
        <v>484</v>
      </c>
      <c r="DA14" s="278" t="s">
        <v>143</v>
      </c>
      <c r="DB14" s="279" t="s">
        <v>481</v>
      </c>
      <c r="DC14" s="280" t="s">
        <v>778</v>
      </c>
      <c r="DD14" s="281">
        <v>0</v>
      </c>
      <c r="DE14" s="281">
        <v>50000</v>
      </c>
      <c r="DF14" s="281" t="s">
        <v>779</v>
      </c>
      <c r="DG14" s="282" t="s">
        <v>941</v>
      </c>
      <c r="DH14" s="283" t="s">
        <v>481</v>
      </c>
      <c r="DI14" s="284" t="s">
        <v>760</v>
      </c>
      <c r="DJ14" s="285" t="s">
        <v>482</v>
      </c>
      <c r="DK14" s="286">
        <v>10</v>
      </c>
    </row>
    <row r="15" spans="1:130">
      <c r="A15" s="305" t="s">
        <v>481</v>
      </c>
      <c r="B15" s="305" t="s">
        <v>481</v>
      </c>
      <c r="C15" s="305" t="s">
        <v>456</v>
      </c>
      <c r="D15" s="305" t="s">
        <v>485</v>
      </c>
      <c r="E15" s="305" t="s">
        <v>486</v>
      </c>
      <c r="F15" s="305" t="s">
        <v>475</v>
      </c>
      <c r="G15" s="305" t="s">
        <v>447</v>
      </c>
      <c r="H15" s="305" t="s">
        <v>487</v>
      </c>
      <c r="DA15" s="278" t="s">
        <v>143</v>
      </c>
      <c r="DB15" s="279" t="s">
        <v>481</v>
      </c>
      <c r="DC15" s="280" t="s">
        <v>780</v>
      </c>
      <c r="DD15" s="281">
        <v>35000</v>
      </c>
      <c r="DE15" s="281">
        <v>0</v>
      </c>
      <c r="DF15" s="281" t="s">
        <v>781</v>
      </c>
      <c r="DG15" s="282" t="s">
        <v>942</v>
      </c>
      <c r="DH15" s="283" t="s">
        <v>481</v>
      </c>
      <c r="DI15" s="284" t="s">
        <v>765</v>
      </c>
      <c r="DJ15" s="285" t="s">
        <v>486</v>
      </c>
      <c r="DK15" s="286">
        <v>11</v>
      </c>
    </row>
    <row r="16" spans="1:130">
      <c r="A16" s="305" t="s">
        <v>481</v>
      </c>
      <c r="B16" s="305" t="s">
        <v>481</v>
      </c>
      <c r="C16" s="305" t="s">
        <v>451</v>
      </c>
      <c r="D16" s="305" t="s">
        <v>452</v>
      </c>
      <c r="E16" s="305" t="s">
        <v>488</v>
      </c>
      <c r="F16" s="305" t="s">
        <v>447</v>
      </c>
      <c r="G16" s="305" t="s">
        <v>483</v>
      </c>
      <c r="H16" s="305" t="s">
        <v>489</v>
      </c>
      <c r="DA16" s="278" t="s">
        <v>143</v>
      </c>
      <c r="DB16" s="279" t="s">
        <v>481</v>
      </c>
      <c r="DC16" s="280" t="s">
        <v>782</v>
      </c>
      <c r="DD16" s="281">
        <v>0</v>
      </c>
      <c r="DE16" s="281">
        <v>50000</v>
      </c>
      <c r="DF16" s="281" t="s">
        <v>783</v>
      </c>
      <c r="DG16" s="282" t="s">
        <v>943</v>
      </c>
      <c r="DH16" s="283" t="s">
        <v>481</v>
      </c>
      <c r="DI16" s="284" t="s">
        <v>760</v>
      </c>
      <c r="DJ16" s="285" t="s">
        <v>488</v>
      </c>
      <c r="DK16" s="286">
        <v>12</v>
      </c>
    </row>
    <row r="17" spans="1:115">
      <c r="A17" s="305" t="s">
        <v>490</v>
      </c>
      <c r="B17" s="305" t="s">
        <v>490</v>
      </c>
      <c r="C17" s="305" t="s">
        <v>456</v>
      </c>
      <c r="D17" s="305" t="s">
        <v>452</v>
      </c>
      <c r="E17" s="305" t="s">
        <v>457</v>
      </c>
      <c r="F17" s="305" t="s">
        <v>491</v>
      </c>
      <c r="G17" s="305" t="s">
        <v>447</v>
      </c>
      <c r="H17" s="305" t="s">
        <v>492</v>
      </c>
      <c r="DA17" s="278" t="s">
        <v>143</v>
      </c>
      <c r="DB17" s="279" t="s">
        <v>490</v>
      </c>
      <c r="DC17" s="280" t="s">
        <v>784</v>
      </c>
      <c r="DD17" s="281">
        <v>15000</v>
      </c>
      <c r="DE17" s="281">
        <v>0</v>
      </c>
      <c r="DF17" s="281" t="s">
        <v>785</v>
      </c>
      <c r="DG17" s="282" t="s">
        <v>936</v>
      </c>
      <c r="DH17" s="283" t="s">
        <v>490</v>
      </c>
      <c r="DI17" s="284" t="s">
        <v>765</v>
      </c>
      <c r="DJ17" s="285" t="s">
        <v>457</v>
      </c>
      <c r="DK17" s="286">
        <v>13</v>
      </c>
    </row>
    <row r="18" spans="1:115">
      <c r="A18" s="305" t="s">
        <v>490</v>
      </c>
      <c r="B18" s="305" t="s">
        <v>490</v>
      </c>
      <c r="C18" s="305" t="s">
        <v>451</v>
      </c>
      <c r="D18" s="305" t="s">
        <v>452</v>
      </c>
      <c r="E18" s="305" t="s">
        <v>493</v>
      </c>
      <c r="F18" s="305" t="s">
        <v>447</v>
      </c>
      <c r="G18" s="305" t="s">
        <v>483</v>
      </c>
      <c r="H18" s="305" t="s">
        <v>487</v>
      </c>
      <c r="DA18" s="278" t="s">
        <v>143</v>
      </c>
      <c r="DB18" s="279" t="s">
        <v>490</v>
      </c>
      <c r="DC18" s="280" t="s">
        <v>786</v>
      </c>
      <c r="DD18" s="281">
        <v>0</v>
      </c>
      <c r="DE18" s="281">
        <v>50000</v>
      </c>
      <c r="DF18" s="281" t="s">
        <v>781</v>
      </c>
      <c r="DG18" s="282" t="s">
        <v>944</v>
      </c>
      <c r="DH18" s="283" t="s">
        <v>490</v>
      </c>
      <c r="DI18" s="284" t="s">
        <v>760</v>
      </c>
      <c r="DJ18" s="285" t="s">
        <v>493</v>
      </c>
      <c r="DK18" s="286">
        <v>14</v>
      </c>
    </row>
    <row r="19" spans="1:115">
      <c r="A19" s="305" t="s">
        <v>494</v>
      </c>
      <c r="B19" s="305" t="s">
        <v>494</v>
      </c>
      <c r="C19" s="305" t="s">
        <v>495</v>
      </c>
      <c r="D19" s="305" t="s">
        <v>452</v>
      </c>
      <c r="E19" s="305" t="s">
        <v>496</v>
      </c>
      <c r="F19" s="305" t="s">
        <v>458</v>
      </c>
      <c r="G19" s="305" t="s">
        <v>447</v>
      </c>
      <c r="H19" s="305" t="s">
        <v>497</v>
      </c>
      <c r="DA19" s="278" t="s">
        <v>143</v>
      </c>
      <c r="DB19" s="279" t="s">
        <v>494</v>
      </c>
      <c r="DC19" s="280" t="s">
        <v>787</v>
      </c>
      <c r="DD19" s="281">
        <v>10000</v>
      </c>
      <c r="DE19" s="281">
        <v>0</v>
      </c>
      <c r="DF19" s="281" t="s">
        <v>788</v>
      </c>
      <c r="DG19" s="282" t="s">
        <v>945</v>
      </c>
      <c r="DH19" s="283" t="s">
        <v>494</v>
      </c>
      <c r="DI19" s="284" t="s">
        <v>765</v>
      </c>
      <c r="DJ19" s="285" t="s">
        <v>496</v>
      </c>
      <c r="DK19" s="286">
        <v>15</v>
      </c>
    </row>
    <row r="20" spans="1:115">
      <c r="A20" s="305" t="s">
        <v>494</v>
      </c>
      <c r="B20" s="305" t="s">
        <v>494</v>
      </c>
      <c r="C20" s="305" t="s">
        <v>495</v>
      </c>
      <c r="D20" s="305" t="s">
        <v>452</v>
      </c>
      <c r="E20" s="305" t="s">
        <v>496</v>
      </c>
      <c r="F20" s="305" t="s">
        <v>458</v>
      </c>
      <c r="G20" s="305" t="s">
        <v>447</v>
      </c>
      <c r="H20" s="305" t="s">
        <v>498</v>
      </c>
      <c r="DA20" s="278" t="s">
        <v>143</v>
      </c>
      <c r="DB20" s="279" t="s">
        <v>494</v>
      </c>
      <c r="DC20" s="280" t="s">
        <v>789</v>
      </c>
      <c r="DD20" s="281">
        <v>10000</v>
      </c>
      <c r="DE20" s="281">
        <v>0</v>
      </c>
      <c r="DF20" s="281" t="s">
        <v>790</v>
      </c>
      <c r="DG20" s="282" t="s">
        <v>945</v>
      </c>
      <c r="DH20" s="283" t="s">
        <v>494</v>
      </c>
      <c r="DI20" s="284" t="s">
        <v>765</v>
      </c>
      <c r="DJ20" s="285" t="s">
        <v>496</v>
      </c>
      <c r="DK20" s="286">
        <v>16</v>
      </c>
    </row>
    <row r="21" spans="1:115">
      <c r="A21" s="305" t="s">
        <v>494</v>
      </c>
      <c r="B21" s="305" t="s">
        <v>494</v>
      </c>
      <c r="C21" s="305" t="s">
        <v>495</v>
      </c>
      <c r="D21" s="305" t="s">
        <v>452</v>
      </c>
      <c r="E21" s="305" t="s">
        <v>496</v>
      </c>
      <c r="F21" s="305" t="s">
        <v>458</v>
      </c>
      <c r="G21" s="305" t="s">
        <v>447</v>
      </c>
      <c r="H21" s="305" t="s">
        <v>499</v>
      </c>
      <c r="DA21" s="278" t="s">
        <v>143</v>
      </c>
      <c r="DB21" s="279" t="s">
        <v>494</v>
      </c>
      <c r="DC21" s="280" t="s">
        <v>791</v>
      </c>
      <c r="DD21" s="281">
        <v>10000</v>
      </c>
      <c r="DE21" s="281">
        <v>0</v>
      </c>
      <c r="DF21" s="281" t="s">
        <v>792</v>
      </c>
      <c r="DG21" s="282" t="s">
        <v>945</v>
      </c>
      <c r="DH21" s="283" t="s">
        <v>494</v>
      </c>
      <c r="DI21" s="284" t="s">
        <v>765</v>
      </c>
      <c r="DJ21" s="285" t="s">
        <v>496</v>
      </c>
      <c r="DK21" s="286">
        <v>17</v>
      </c>
    </row>
    <row r="22" spans="1:115">
      <c r="A22" s="305" t="s">
        <v>500</v>
      </c>
      <c r="B22" s="305" t="s">
        <v>500</v>
      </c>
      <c r="C22" s="305" t="s">
        <v>495</v>
      </c>
      <c r="D22" s="305" t="s">
        <v>452</v>
      </c>
      <c r="E22" s="305" t="s">
        <v>501</v>
      </c>
      <c r="F22" s="305" t="s">
        <v>502</v>
      </c>
      <c r="G22" s="305" t="s">
        <v>447</v>
      </c>
      <c r="H22" s="305" t="s">
        <v>503</v>
      </c>
      <c r="DA22" s="278" t="s">
        <v>143</v>
      </c>
      <c r="DB22" s="279" t="s">
        <v>500</v>
      </c>
      <c r="DC22" s="280" t="s">
        <v>793</v>
      </c>
      <c r="DD22" s="281">
        <v>2000</v>
      </c>
      <c r="DE22" s="281">
        <v>0</v>
      </c>
      <c r="DF22" s="281" t="s">
        <v>794</v>
      </c>
      <c r="DG22" s="282" t="s">
        <v>946</v>
      </c>
      <c r="DH22" s="283" t="s">
        <v>500</v>
      </c>
      <c r="DI22" s="284" t="s">
        <v>765</v>
      </c>
      <c r="DJ22" s="285" t="s">
        <v>501</v>
      </c>
      <c r="DK22" s="286">
        <v>18</v>
      </c>
    </row>
    <row r="23" spans="1:115">
      <c r="A23" s="305" t="s">
        <v>500</v>
      </c>
      <c r="B23" s="305" t="s">
        <v>500</v>
      </c>
      <c r="C23" s="305" t="s">
        <v>451</v>
      </c>
      <c r="D23" s="305" t="s">
        <v>504</v>
      </c>
      <c r="E23" s="305" t="s">
        <v>505</v>
      </c>
      <c r="F23" s="305" t="s">
        <v>506</v>
      </c>
      <c r="G23" s="305" t="s">
        <v>447</v>
      </c>
      <c r="H23" s="305" t="s">
        <v>507</v>
      </c>
      <c r="DA23" s="278" t="s">
        <v>143</v>
      </c>
      <c r="DB23" s="279" t="s">
        <v>500</v>
      </c>
      <c r="DC23" s="280" t="s">
        <v>795</v>
      </c>
      <c r="DD23" s="281">
        <v>72954</v>
      </c>
      <c r="DE23" s="281">
        <v>0</v>
      </c>
      <c r="DF23" s="281" t="s">
        <v>796</v>
      </c>
      <c r="DG23" s="282" t="s">
        <v>947</v>
      </c>
      <c r="DH23" s="283" t="s">
        <v>500</v>
      </c>
      <c r="DI23" s="284" t="s">
        <v>765</v>
      </c>
      <c r="DJ23" s="285" t="s">
        <v>505</v>
      </c>
      <c r="DK23" s="286">
        <v>19</v>
      </c>
    </row>
    <row r="24" spans="1:115">
      <c r="A24" s="305" t="s">
        <v>508</v>
      </c>
      <c r="B24" s="305" t="s">
        <v>508</v>
      </c>
      <c r="C24" s="305" t="s">
        <v>451</v>
      </c>
      <c r="D24" s="305" t="s">
        <v>509</v>
      </c>
      <c r="E24" s="305" t="s">
        <v>510</v>
      </c>
      <c r="F24" s="305" t="s">
        <v>511</v>
      </c>
      <c r="G24" s="305" t="s">
        <v>447</v>
      </c>
      <c r="H24" s="305" t="s">
        <v>512</v>
      </c>
      <c r="DA24" s="278" t="s">
        <v>143</v>
      </c>
      <c r="DB24" s="279" t="s">
        <v>508</v>
      </c>
      <c r="DC24" s="280" t="s">
        <v>797</v>
      </c>
      <c r="DD24" s="281">
        <v>83475</v>
      </c>
      <c r="DE24" s="281">
        <v>0</v>
      </c>
      <c r="DF24" s="281" t="s">
        <v>798</v>
      </c>
      <c r="DG24" s="282" t="s">
        <v>948</v>
      </c>
      <c r="DH24" s="283" t="s">
        <v>508</v>
      </c>
      <c r="DI24" s="284" t="s">
        <v>765</v>
      </c>
      <c r="DJ24" s="285" t="s">
        <v>510</v>
      </c>
      <c r="DK24" s="286">
        <v>20</v>
      </c>
    </row>
    <row r="25" spans="1:115" ht="25.5">
      <c r="A25" s="305" t="s">
        <v>508</v>
      </c>
      <c r="B25" s="305" t="s">
        <v>508</v>
      </c>
      <c r="C25" s="305" t="s">
        <v>451</v>
      </c>
      <c r="D25" s="305" t="s">
        <v>452</v>
      </c>
      <c r="E25" s="305" t="s">
        <v>513</v>
      </c>
      <c r="F25" s="305" t="s">
        <v>447</v>
      </c>
      <c r="G25" s="305" t="s">
        <v>514</v>
      </c>
      <c r="H25" s="305" t="s">
        <v>515</v>
      </c>
      <c r="DA25" s="278" t="s">
        <v>143</v>
      </c>
      <c r="DB25" s="279" t="s">
        <v>508</v>
      </c>
      <c r="DC25" s="280" t="s">
        <v>799</v>
      </c>
      <c r="DD25" s="281">
        <v>0</v>
      </c>
      <c r="DE25" s="281">
        <v>30000</v>
      </c>
      <c r="DF25" s="281" t="s">
        <v>800</v>
      </c>
      <c r="DG25" s="282" t="s">
        <v>949</v>
      </c>
      <c r="DH25" s="283" t="s">
        <v>508</v>
      </c>
      <c r="DI25" s="284" t="s">
        <v>760</v>
      </c>
      <c r="DJ25" s="285" t="s">
        <v>513</v>
      </c>
      <c r="DK25" s="286">
        <v>21</v>
      </c>
    </row>
    <row r="26" spans="1:115">
      <c r="A26" s="305" t="s">
        <v>508</v>
      </c>
      <c r="B26" s="305" t="s">
        <v>508</v>
      </c>
      <c r="C26" s="305" t="s">
        <v>444</v>
      </c>
      <c r="D26" s="305" t="s">
        <v>516</v>
      </c>
      <c r="E26" s="305" t="s">
        <v>446</v>
      </c>
      <c r="F26" s="305" t="s">
        <v>447</v>
      </c>
      <c r="G26" s="305" t="s">
        <v>517</v>
      </c>
      <c r="H26" s="305" t="s">
        <v>518</v>
      </c>
      <c r="DA26" s="278" t="s">
        <v>143</v>
      </c>
      <c r="DB26" s="279" t="s">
        <v>508</v>
      </c>
      <c r="DC26" s="280" t="s">
        <v>801</v>
      </c>
      <c r="DD26" s="281">
        <v>0</v>
      </c>
      <c r="DE26" s="281">
        <v>101850</v>
      </c>
      <c r="DF26" s="281" t="s">
        <v>802</v>
      </c>
      <c r="DG26" s="306" t="s">
        <v>934</v>
      </c>
      <c r="DH26" s="283" t="s">
        <v>508</v>
      </c>
      <c r="DI26" s="284" t="s">
        <v>760</v>
      </c>
      <c r="DJ26" s="285" t="s">
        <v>446</v>
      </c>
      <c r="DK26" s="286">
        <v>22</v>
      </c>
    </row>
    <row r="27" spans="1:115">
      <c r="A27" s="305" t="s">
        <v>519</v>
      </c>
      <c r="B27" s="305" t="s">
        <v>519</v>
      </c>
      <c r="C27" s="305" t="s">
        <v>451</v>
      </c>
      <c r="D27" s="305" t="s">
        <v>452</v>
      </c>
      <c r="E27" s="305" t="s">
        <v>520</v>
      </c>
      <c r="F27" s="305" t="s">
        <v>521</v>
      </c>
      <c r="G27" s="305" t="s">
        <v>447</v>
      </c>
      <c r="H27" s="305" t="s">
        <v>522</v>
      </c>
      <c r="DA27" s="278" t="s">
        <v>143</v>
      </c>
      <c r="DB27" s="279" t="s">
        <v>519</v>
      </c>
      <c r="DC27" s="280" t="s">
        <v>803</v>
      </c>
      <c r="DD27" s="281">
        <v>30317</v>
      </c>
      <c r="DE27" s="281">
        <v>0</v>
      </c>
      <c r="DF27" s="281" t="s">
        <v>804</v>
      </c>
      <c r="DG27" s="282" t="s">
        <v>950</v>
      </c>
      <c r="DH27" s="283" t="s">
        <v>519</v>
      </c>
      <c r="DI27" s="284" t="s">
        <v>765</v>
      </c>
      <c r="DJ27" s="285" t="s">
        <v>520</v>
      </c>
      <c r="DK27" s="286">
        <v>23</v>
      </c>
    </row>
    <row r="28" spans="1:115">
      <c r="A28" s="305" t="s">
        <v>523</v>
      </c>
      <c r="B28" s="305" t="s">
        <v>523</v>
      </c>
      <c r="C28" s="305" t="s">
        <v>524</v>
      </c>
      <c r="D28" s="305" t="s">
        <v>452</v>
      </c>
      <c r="E28" s="305" t="s">
        <v>525</v>
      </c>
      <c r="F28" s="305" t="s">
        <v>447</v>
      </c>
      <c r="G28" s="305" t="s">
        <v>514</v>
      </c>
      <c r="H28" s="305" t="s">
        <v>526</v>
      </c>
      <c r="DA28" s="278" t="s">
        <v>143</v>
      </c>
      <c r="DB28" s="279" t="s">
        <v>523</v>
      </c>
      <c r="DC28" s="280" t="s">
        <v>805</v>
      </c>
      <c r="DD28" s="281">
        <v>0</v>
      </c>
      <c r="DE28" s="281">
        <v>30000</v>
      </c>
      <c r="DF28" s="281" t="s">
        <v>806</v>
      </c>
      <c r="DG28" s="282" t="s">
        <v>951</v>
      </c>
      <c r="DH28" s="283" t="s">
        <v>523</v>
      </c>
      <c r="DI28" s="284" t="s">
        <v>760</v>
      </c>
      <c r="DJ28" s="285" t="s">
        <v>525</v>
      </c>
      <c r="DK28" s="286">
        <v>24</v>
      </c>
    </row>
    <row r="29" spans="1:115">
      <c r="A29" s="305" t="s">
        <v>527</v>
      </c>
      <c r="B29" s="305" t="s">
        <v>527</v>
      </c>
      <c r="C29" s="305" t="s">
        <v>451</v>
      </c>
      <c r="D29" s="305" t="s">
        <v>528</v>
      </c>
      <c r="E29" s="305" t="s">
        <v>529</v>
      </c>
      <c r="F29" s="305" t="s">
        <v>530</v>
      </c>
      <c r="G29" s="305" t="s">
        <v>447</v>
      </c>
      <c r="H29" s="305" t="s">
        <v>531</v>
      </c>
      <c r="DA29" s="278" t="s">
        <v>143</v>
      </c>
      <c r="DB29" s="279" t="s">
        <v>527</v>
      </c>
      <c r="DC29" s="280" t="s">
        <v>807</v>
      </c>
      <c r="DD29" s="281">
        <v>16205</v>
      </c>
      <c r="DE29" s="281">
        <v>0</v>
      </c>
      <c r="DF29" s="281" t="s">
        <v>808</v>
      </c>
      <c r="DG29" s="282" t="s">
        <v>952</v>
      </c>
      <c r="DH29" s="283" t="s">
        <v>527</v>
      </c>
      <c r="DI29" s="284" t="s">
        <v>765</v>
      </c>
      <c r="DJ29" s="285" t="s">
        <v>529</v>
      </c>
      <c r="DK29" s="286">
        <v>25</v>
      </c>
    </row>
    <row r="30" spans="1:115" ht="25.5">
      <c r="A30" s="305" t="s">
        <v>532</v>
      </c>
      <c r="B30" s="305" t="s">
        <v>532</v>
      </c>
      <c r="C30" s="305" t="s">
        <v>533</v>
      </c>
      <c r="D30" s="305" t="s">
        <v>452</v>
      </c>
      <c r="E30" s="305" t="s">
        <v>534</v>
      </c>
      <c r="F30" s="305" t="s">
        <v>447</v>
      </c>
      <c r="G30" s="305" t="s">
        <v>535</v>
      </c>
      <c r="H30" s="305" t="s">
        <v>536</v>
      </c>
      <c r="DA30" s="278" t="s">
        <v>143</v>
      </c>
      <c r="DB30" s="279" t="s">
        <v>532</v>
      </c>
      <c r="DC30" s="280" t="s">
        <v>809</v>
      </c>
      <c r="DD30" s="281">
        <v>0</v>
      </c>
      <c r="DE30" s="281">
        <v>27641</v>
      </c>
      <c r="DF30" s="281" t="s">
        <v>810</v>
      </c>
      <c r="DG30" s="282" t="s">
        <v>953</v>
      </c>
      <c r="DH30" s="283" t="s">
        <v>532</v>
      </c>
      <c r="DI30" s="284" t="s">
        <v>760</v>
      </c>
      <c r="DJ30" s="285" t="s">
        <v>534</v>
      </c>
      <c r="DK30" s="286">
        <v>26</v>
      </c>
    </row>
    <row r="31" spans="1:115">
      <c r="A31" s="305" t="s">
        <v>532</v>
      </c>
      <c r="B31" s="305" t="s">
        <v>532</v>
      </c>
      <c r="C31" s="305" t="s">
        <v>456</v>
      </c>
      <c r="D31" s="305" t="s">
        <v>537</v>
      </c>
      <c r="E31" s="305" t="s">
        <v>486</v>
      </c>
      <c r="F31" s="305" t="s">
        <v>538</v>
      </c>
      <c r="G31" s="305" t="s">
        <v>447</v>
      </c>
      <c r="H31" s="305" t="s">
        <v>539</v>
      </c>
      <c r="DA31" s="278" t="s">
        <v>143</v>
      </c>
      <c r="DB31" s="279" t="s">
        <v>532</v>
      </c>
      <c r="DC31" s="280" t="s">
        <v>811</v>
      </c>
      <c r="DD31" s="281">
        <v>60000</v>
      </c>
      <c r="DE31" s="281">
        <v>0</v>
      </c>
      <c r="DF31" s="281" t="s">
        <v>812</v>
      </c>
      <c r="DG31" s="282" t="s">
        <v>942</v>
      </c>
      <c r="DH31" s="283" t="s">
        <v>532</v>
      </c>
      <c r="DI31" s="284" t="s">
        <v>765</v>
      </c>
      <c r="DJ31" s="285" t="s">
        <v>486</v>
      </c>
      <c r="DK31" s="286">
        <v>27</v>
      </c>
    </row>
    <row r="32" spans="1:115">
      <c r="A32" s="305" t="s">
        <v>540</v>
      </c>
      <c r="B32" s="305" t="s">
        <v>540</v>
      </c>
      <c r="C32" s="305" t="s">
        <v>451</v>
      </c>
      <c r="D32" s="305" t="s">
        <v>541</v>
      </c>
      <c r="E32" s="305" t="s">
        <v>542</v>
      </c>
      <c r="F32" s="305" t="s">
        <v>483</v>
      </c>
      <c r="G32" s="305" t="s">
        <v>447</v>
      </c>
      <c r="H32" s="305" t="s">
        <v>543</v>
      </c>
      <c r="DA32" s="278" t="s">
        <v>143</v>
      </c>
      <c r="DB32" s="279" t="s">
        <v>540</v>
      </c>
      <c r="DC32" s="280" t="s">
        <v>813</v>
      </c>
      <c r="DD32" s="281">
        <v>50000</v>
      </c>
      <c r="DE32" s="281">
        <v>0</v>
      </c>
      <c r="DF32" s="281" t="s">
        <v>814</v>
      </c>
      <c r="DG32" s="282" t="s">
        <v>954</v>
      </c>
      <c r="DH32" s="283" t="s">
        <v>540</v>
      </c>
      <c r="DI32" s="284" t="s">
        <v>765</v>
      </c>
      <c r="DJ32" s="285" t="s">
        <v>542</v>
      </c>
      <c r="DK32" s="286">
        <v>28</v>
      </c>
    </row>
    <row r="33" spans="1:115">
      <c r="A33" s="305" t="s">
        <v>540</v>
      </c>
      <c r="B33" s="305" t="s">
        <v>540</v>
      </c>
      <c r="C33" s="305" t="s">
        <v>444</v>
      </c>
      <c r="D33" s="305" t="s">
        <v>544</v>
      </c>
      <c r="E33" s="305" t="s">
        <v>545</v>
      </c>
      <c r="F33" s="305" t="s">
        <v>447</v>
      </c>
      <c r="G33" s="305" t="s">
        <v>546</v>
      </c>
      <c r="H33" s="305" t="s">
        <v>547</v>
      </c>
      <c r="DA33" s="278" t="s">
        <v>143</v>
      </c>
      <c r="DB33" s="279" t="s">
        <v>540</v>
      </c>
      <c r="DC33" s="280" t="s">
        <v>815</v>
      </c>
      <c r="DD33" s="281">
        <v>0</v>
      </c>
      <c r="DE33" s="281">
        <v>38588</v>
      </c>
      <c r="DF33" s="281" t="s">
        <v>816</v>
      </c>
      <c r="DG33" s="306" t="s">
        <v>955</v>
      </c>
      <c r="DH33" s="283" t="s">
        <v>540</v>
      </c>
      <c r="DI33" s="284" t="s">
        <v>760</v>
      </c>
      <c r="DJ33" s="285" t="s">
        <v>545</v>
      </c>
      <c r="DK33" s="286">
        <v>29</v>
      </c>
    </row>
    <row r="34" spans="1:115">
      <c r="A34" s="305" t="s">
        <v>540</v>
      </c>
      <c r="B34" s="305" t="s">
        <v>540</v>
      </c>
      <c r="C34" s="305" t="s">
        <v>451</v>
      </c>
      <c r="D34" s="305" t="s">
        <v>548</v>
      </c>
      <c r="E34" s="305" t="s">
        <v>549</v>
      </c>
      <c r="F34" s="305" t="s">
        <v>550</v>
      </c>
      <c r="G34" s="305" t="s">
        <v>447</v>
      </c>
      <c r="H34" s="305" t="s">
        <v>551</v>
      </c>
      <c r="DA34" s="278" t="s">
        <v>143</v>
      </c>
      <c r="DB34" s="279" t="s">
        <v>540</v>
      </c>
      <c r="DC34" s="280" t="s">
        <v>817</v>
      </c>
      <c r="DD34" s="281">
        <v>8269</v>
      </c>
      <c r="DE34" s="281">
        <v>0</v>
      </c>
      <c r="DF34" s="281" t="s">
        <v>818</v>
      </c>
      <c r="DG34" s="282" t="s">
        <v>956</v>
      </c>
      <c r="DH34" s="283" t="s">
        <v>540</v>
      </c>
      <c r="DI34" s="284" t="s">
        <v>765</v>
      </c>
      <c r="DJ34" s="285" t="s">
        <v>549</v>
      </c>
      <c r="DK34" s="286">
        <v>30</v>
      </c>
    </row>
    <row r="35" spans="1:115">
      <c r="A35" s="305" t="s">
        <v>552</v>
      </c>
      <c r="B35" s="305" t="s">
        <v>552</v>
      </c>
      <c r="C35" s="305" t="s">
        <v>451</v>
      </c>
      <c r="D35" s="305" t="s">
        <v>553</v>
      </c>
      <c r="E35" s="305" t="s">
        <v>554</v>
      </c>
      <c r="F35" s="305" t="s">
        <v>555</v>
      </c>
      <c r="G35" s="305" t="s">
        <v>447</v>
      </c>
      <c r="H35" s="305" t="s">
        <v>556</v>
      </c>
      <c r="DA35" s="278" t="s">
        <v>143</v>
      </c>
      <c r="DB35" s="279" t="s">
        <v>552</v>
      </c>
      <c r="DC35" s="280" t="s">
        <v>819</v>
      </c>
      <c r="DD35" s="281">
        <v>100000</v>
      </c>
      <c r="DE35" s="281">
        <v>0</v>
      </c>
      <c r="DF35" s="281" t="s">
        <v>820</v>
      </c>
      <c r="DG35" s="282" t="s">
        <v>957</v>
      </c>
      <c r="DH35" s="283" t="s">
        <v>552</v>
      </c>
      <c r="DI35" s="284" t="s">
        <v>765</v>
      </c>
      <c r="DJ35" s="285" t="s">
        <v>554</v>
      </c>
      <c r="DK35" s="286">
        <v>31</v>
      </c>
    </row>
    <row r="36" spans="1:115">
      <c r="A36" s="305" t="s">
        <v>557</v>
      </c>
      <c r="B36" s="305" t="s">
        <v>557</v>
      </c>
      <c r="C36" s="305" t="s">
        <v>451</v>
      </c>
      <c r="D36" s="305" t="s">
        <v>452</v>
      </c>
      <c r="E36" s="305" t="s">
        <v>558</v>
      </c>
      <c r="F36" s="305" t="s">
        <v>447</v>
      </c>
      <c r="G36" s="305" t="s">
        <v>555</v>
      </c>
      <c r="H36" s="305" t="s">
        <v>559</v>
      </c>
      <c r="DA36" s="278" t="s">
        <v>143</v>
      </c>
      <c r="DB36" s="279" t="s">
        <v>557</v>
      </c>
      <c r="DC36" s="280" t="s">
        <v>821</v>
      </c>
      <c r="DD36" s="281">
        <v>0</v>
      </c>
      <c r="DE36" s="281">
        <v>100000</v>
      </c>
      <c r="DF36" s="281" t="s">
        <v>822</v>
      </c>
      <c r="DG36" s="282" t="s">
        <v>958</v>
      </c>
      <c r="DH36" s="283" t="s">
        <v>557</v>
      </c>
      <c r="DI36" s="284" t="s">
        <v>760</v>
      </c>
      <c r="DJ36" s="285" t="s">
        <v>558</v>
      </c>
      <c r="DK36" s="286">
        <v>32</v>
      </c>
    </row>
    <row r="37" spans="1:115">
      <c r="A37" s="305" t="s">
        <v>560</v>
      </c>
      <c r="B37" s="305" t="s">
        <v>560</v>
      </c>
      <c r="C37" s="305" t="s">
        <v>456</v>
      </c>
      <c r="D37" s="305" t="s">
        <v>452</v>
      </c>
      <c r="E37" s="305" t="s">
        <v>457</v>
      </c>
      <c r="F37" s="305" t="s">
        <v>561</v>
      </c>
      <c r="G37" s="305" t="s">
        <v>447</v>
      </c>
      <c r="H37" s="305" t="s">
        <v>556</v>
      </c>
      <c r="DA37" s="278" t="s">
        <v>143</v>
      </c>
      <c r="DB37" s="279" t="s">
        <v>560</v>
      </c>
      <c r="DC37" s="280" t="s">
        <v>823</v>
      </c>
      <c r="DD37" s="281">
        <v>7000</v>
      </c>
      <c r="DE37" s="281">
        <v>0</v>
      </c>
      <c r="DF37" s="281" t="s">
        <v>820</v>
      </c>
      <c r="DG37" s="282" t="s">
        <v>936</v>
      </c>
      <c r="DH37" s="283" t="s">
        <v>560</v>
      </c>
      <c r="DI37" s="284" t="s">
        <v>765</v>
      </c>
      <c r="DJ37" s="285" t="s">
        <v>457</v>
      </c>
      <c r="DK37" s="286">
        <v>33</v>
      </c>
    </row>
    <row r="38" spans="1:115">
      <c r="A38" s="305" t="s">
        <v>562</v>
      </c>
      <c r="B38" s="305" t="s">
        <v>562</v>
      </c>
      <c r="C38" s="305" t="s">
        <v>451</v>
      </c>
      <c r="D38" s="305" t="s">
        <v>563</v>
      </c>
      <c r="E38" s="305" t="s">
        <v>564</v>
      </c>
      <c r="F38" s="305" t="s">
        <v>565</v>
      </c>
      <c r="G38" s="305" t="s">
        <v>447</v>
      </c>
      <c r="H38" s="305" t="s">
        <v>566</v>
      </c>
      <c r="DA38" s="278" t="s">
        <v>143</v>
      </c>
      <c r="DB38" s="279" t="s">
        <v>562</v>
      </c>
      <c r="DC38" s="280" t="s">
        <v>824</v>
      </c>
      <c r="DD38" s="281">
        <v>23514</v>
      </c>
      <c r="DE38" s="281">
        <v>0</v>
      </c>
      <c r="DF38" s="281" t="s">
        <v>825</v>
      </c>
      <c r="DG38" s="282" t="s">
        <v>959</v>
      </c>
      <c r="DH38" s="283" t="s">
        <v>562</v>
      </c>
      <c r="DI38" s="284" t="s">
        <v>765</v>
      </c>
      <c r="DJ38" s="285" t="s">
        <v>564</v>
      </c>
      <c r="DK38" s="286">
        <v>34</v>
      </c>
    </row>
    <row r="39" spans="1:115">
      <c r="A39" s="305" t="s">
        <v>567</v>
      </c>
      <c r="B39" s="305" t="s">
        <v>567</v>
      </c>
      <c r="C39" s="305" t="s">
        <v>451</v>
      </c>
      <c r="D39" s="305" t="s">
        <v>452</v>
      </c>
      <c r="E39" s="305" t="s">
        <v>568</v>
      </c>
      <c r="F39" s="305" t="s">
        <v>447</v>
      </c>
      <c r="G39" s="305" t="s">
        <v>569</v>
      </c>
      <c r="H39" s="305" t="s">
        <v>570</v>
      </c>
      <c r="DA39" s="278" t="s">
        <v>143</v>
      </c>
      <c r="DB39" s="279" t="s">
        <v>567</v>
      </c>
      <c r="DC39" s="280" t="s">
        <v>826</v>
      </c>
      <c r="DD39" s="281">
        <v>0</v>
      </c>
      <c r="DE39" s="281">
        <v>71016</v>
      </c>
      <c r="DF39" s="281" t="s">
        <v>827</v>
      </c>
      <c r="DG39" s="282" t="s">
        <v>960</v>
      </c>
      <c r="DH39" s="283" t="s">
        <v>567</v>
      </c>
      <c r="DI39" s="284" t="s">
        <v>760</v>
      </c>
      <c r="DJ39" s="285" t="s">
        <v>568</v>
      </c>
      <c r="DK39" s="286">
        <v>35</v>
      </c>
    </row>
    <row r="40" spans="1:115">
      <c r="A40" s="305" t="s">
        <v>571</v>
      </c>
      <c r="B40" s="305" t="s">
        <v>571</v>
      </c>
      <c r="C40" s="305" t="s">
        <v>451</v>
      </c>
      <c r="D40" s="305" t="s">
        <v>452</v>
      </c>
      <c r="E40" s="305" t="s">
        <v>572</v>
      </c>
      <c r="F40" s="305" t="s">
        <v>447</v>
      </c>
      <c r="G40" s="305" t="s">
        <v>573</v>
      </c>
      <c r="H40" s="305" t="s">
        <v>574</v>
      </c>
      <c r="DA40" s="278" t="s">
        <v>143</v>
      </c>
      <c r="DB40" s="279" t="s">
        <v>571</v>
      </c>
      <c r="DC40" s="280" t="s">
        <v>828</v>
      </c>
      <c r="DD40" s="281">
        <v>0</v>
      </c>
      <c r="DE40" s="281">
        <v>41700</v>
      </c>
      <c r="DF40" s="281" t="s">
        <v>829</v>
      </c>
      <c r="DG40" s="282" t="s">
        <v>961</v>
      </c>
      <c r="DH40" s="283" t="s">
        <v>571</v>
      </c>
      <c r="DI40" s="284" t="s">
        <v>760</v>
      </c>
      <c r="DJ40" s="285" t="s">
        <v>572</v>
      </c>
      <c r="DK40" s="286">
        <v>36</v>
      </c>
    </row>
    <row r="41" spans="1:115">
      <c r="A41" s="305" t="s">
        <v>571</v>
      </c>
      <c r="B41" s="305" t="s">
        <v>571</v>
      </c>
      <c r="C41" s="305" t="s">
        <v>495</v>
      </c>
      <c r="D41" s="305" t="s">
        <v>452</v>
      </c>
      <c r="E41" s="305" t="s">
        <v>575</v>
      </c>
      <c r="F41" s="305" t="s">
        <v>576</v>
      </c>
      <c r="G41" s="305" t="s">
        <v>447</v>
      </c>
      <c r="H41" s="305" t="s">
        <v>577</v>
      </c>
      <c r="DA41" s="278" t="s">
        <v>143</v>
      </c>
      <c r="DB41" s="279" t="s">
        <v>571</v>
      </c>
      <c r="DC41" s="280" t="s">
        <v>830</v>
      </c>
      <c r="DD41" s="281">
        <v>3000</v>
      </c>
      <c r="DE41" s="281">
        <v>0</v>
      </c>
      <c r="DF41" s="281" t="s">
        <v>831</v>
      </c>
      <c r="DG41" s="282" t="s">
        <v>962</v>
      </c>
      <c r="DH41" s="283" t="s">
        <v>571</v>
      </c>
      <c r="DI41" s="284" t="s">
        <v>765</v>
      </c>
      <c r="DJ41" s="285" t="s">
        <v>575</v>
      </c>
      <c r="DK41" s="286">
        <v>37</v>
      </c>
    </row>
    <row r="42" spans="1:115">
      <c r="A42" s="305" t="s">
        <v>578</v>
      </c>
      <c r="B42" s="305" t="s">
        <v>578</v>
      </c>
      <c r="C42" s="305" t="s">
        <v>467</v>
      </c>
      <c r="D42" s="305" t="s">
        <v>452</v>
      </c>
      <c r="E42" s="305" t="s">
        <v>468</v>
      </c>
      <c r="F42" s="305" t="s">
        <v>576</v>
      </c>
      <c r="G42" s="305" t="s">
        <v>447</v>
      </c>
      <c r="H42" s="305" t="s">
        <v>579</v>
      </c>
      <c r="DA42" s="278" t="s">
        <v>143</v>
      </c>
      <c r="DB42" s="279" t="s">
        <v>578</v>
      </c>
      <c r="DC42" s="280" t="s">
        <v>832</v>
      </c>
      <c r="DD42" s="281">
        <v>3000</v>
      </c>
      <c r="DE42" s="281">
        <v>0</v>
      </c>
      <c r="DF42" s="281" t="s">
        <v>833</v>
      </c>
      <c r="DG42" s="282" t="s">
        <v>938</v>
      </c>
      <c r="DH42" s="283" t="s">
        <v>578</v>
      </c>
      <c r="DI42" s="284" t="s">
        <v>765</v>
      </c>
      <c r="DJ42" s="285" t="s">
        <v>468</v>
      </c>
      <c r="DK42" s="286">
        <v>38</v>
      </c>
    </row>
    <row r="43" spans="1:115">
      <c r="A43" s="305" t="s">
        <v>580</v>
      </c>
      <c r="B43" s="305" t="s">
        <v>580</v>
      </c>
      <c r="C43" s="305" t="s">
        <v>451</v>
      </c>
      <c r="D43" s="305" t="s">
        <v>581</v>
      </c>
      <c r="E43" s="305" t="s">
        <v>582</v>
      </c>
      <c r="F43" s="305" t="s">
        <v>583</v>
      </c>
      <c r="G43" s="305" t="s">
        <v>447</v>
      </c>
      <c r="H43" s="305" t="s">
        <v>584</v>
      </c>
      <c r="DA43" s="278" t="s">
        <v>143</v>
      </c>
      <c r="DB43" s="279" t="s">
        <v>580</v>
      </c>
      <c r="DC43" s="280" t="s">
        <v>834</v>
      </c>
      <c r="DD43" s="281">
        <v>9555</v>
      </c>
      <c r="DE43" s="281">
        <v>0</v>
      </c>
      <c r="DF43" s="281" t="s">
        <v>835</v>
      </c>
      <c r="DG43" s="282" t="s">
        <v>963</v>
      </c>
      <c r="DH43" s="283" t="s">
        <v>580</v>
      </c>
      <c r="DI43" s="284" t="s">
        <v>765</v>
      </c>
      <c r="DJ43" s="285" t="s">
        <v>582</v>
      </c>
      <c r="DK43" s="286">
        <v>39</v>
      </c>
    </row>
    <row r="44" spans="1:115">
      <c r="A44" s="305" t="s">
        <v>580</v>
      </c>
      <c r="B44" s="305" t="s">
        <v>580</v>
      </c>
      <c r="C44" s="305" t="s">
        <v>444</v>
      </c>
      <c r="D44" s="305" t="s">
        <v>585</v>
      </c>
      <c r="E44" s="305" t="s">
        <v>586</v>
      </c>
      <c r="F44" s="305" t="s">
        <v>447</v>
      </c>
      <c r="G44" s="305" t="s">
        <v>587</v>
      </c>
      <c r="H44" s="305" t="s">
        <v>588</v>
      </c>
      <c r="DA44" s="278" t="s">
        <v>143</v>
      </c>
      <c r="DB44" s="279" t="s">
        <v>580</v>
      </c>
      <c r="DC44" s="280" t="s">
        <v>836</v>
      </c>
      <c r="DD44" s="281">
        <v>0</v>
      </c>
      <c r="DE44" s="281">
        <v>36015</v>
      </c>
      <c r="DF44" s="281" t="s">
        <v>837</v>
      </c>
      <c r="DG44" s="306" t="s">
        <v>934</v>
      </c>
      <c r="DH44" s="283" t="s">
        <v>580</v>
      </c>
      <c r="DI44" s="284" t="s">
        <v>760</v>
      </c>
      <c r="DJ44" s="285" t="s">
        <v>586</v>
      </c>
      <c r="DK44" s="286">
        <v>40</v>
      </c>
    </row>
    <row r="45" spans="1:115">
      <c r="A45" s="305" t="s">
        <v>589</v>
      </c>
      <c r="B45" s="305" t="s">
        <v>589</v>
      </c>
      <c r="C45" s="305" t="s">
        <v>456</v>
      </c>
      <c r="D45" s="305" t="s">
        <v>590</v>
      </c>
      <c r="E45" s="305" t="s">
        <v>591</v>
      </c>
      <c r="F45" s="305" t="s">
        <v>592</v>
      </c>
      <c r="G45" s="305" t="s">
        <v>447</v>
      </c>
      <c r="H45" s="305" t="s">
        <v>593</v>
      </c>
      <c r="DA45" s="278" t="s">
        <v>143</v>
      </c>
      <c r="DB45" s="279" t="s">
        <v>589</v>
      </c>
      <c r="DC45" s="280" t="s">
        <v>838</v>
      </c>
      <c r="DD45" s="281">
        <v>25079</v>
      </c>
      <c r="DE45" s="281">
        <v>0</v>
      </c>
      <c r="DF45" s="281" t="s">
        <v>839</v>
      </c>
      <c r="DG45" s="282"/>
      <c r="DH45" s="283" t="s">
        <v>589</v>
      </c>
      <c r="DI45" s="284" t="s">
        <v>765</v>
      </c>
      <c r="DJ45" s="285" t="s">
        <v>591</v>
      </c>
      <c r="DK45" s="286">
        <v>41</v>
      </c>
    </row>
    <row r="46" spans="1:115">
      <c r="A46" s="305" t="s">
        <v>594</v>
      </c>
      <c r="B46" s="305" t="s">
        <v>594</v>
      </c>
      <c r="C46" s="305" t="s">
        <v>451</v>
      </c>
      <c r="D46" s="305" t="s">
        <v>595</v>
      </c>
      <c r="E46" s="305" t="s">
        <v>596</v>
      </c>
      <c r="F46" s="305" t="s">
        <v>597</v>
      </c>
      <c r="G46" s="305" t="s">
        <v>447</v>
      </c>
      <c r="H46" s="305" t="s">
        <v>598</v>
      </c>
      <c r="DA46" s="278" t="s">
        <v>143</v>
      </c>
      <c r="DB46" s="279" t="s">
        <v>594</v>
      </c>
      <c r="DC46" s="280" t="s">
        <v>840</v>
      </c>
      <c r="DD46" s="281">
        <v>44289</v>
      </c>
      <c r="DE46" s="281">
        <v>0</v>
      </c>
      <c r="DF46" s="281" t="s">
        <v>841</v>
      </c>
      <c r="DG46" s="282" t="s">
        <v>964</v>
      </c>
      <c r="DH46" s="283" t="s">
        <v>594</v>
      </c>
      <c r="DI46" s="284" t="s">
        <v>765</v>
      </c>
      <c r="DJ46" s="285" t="s">
        <v>596</v>
      </c>
      <c r="DK46" s="286">
        <v>42</v>
      </c>
    </row>
    <row r="47" spans="1:115">
      <c r="A47" s="305" t="s">
        <v>599</v>
      </c>
      <c r="B47" s="305" t="s">
        <v>599</v>
      </c>
      <c r="C47" s="305" t="s">
        <v>456</v>
      </c>
      <c r="D47" s="305" t="s">
        <v>600</v>
      </c>
      <c r="E47" s="305" t="s">
        <v>486</v>
      </c>
      <c r="F47" s="305" t="s">
        <v>601</v>
      </c>
      <c r="G47" s="305" t="s">
        <v>447</v>
      </c>
      <c r="H47" s="305" t="s">
        <v>602</v>
      </c>
      <c r="DA47" s="278" t="s">
        <v>143</v>
      </c>
      <c r="DB47" s="279" t="s">
        <v>599</v>
      </c>
      <c r="DC47" s="280" t="s">
        <v>842</v>
      </c>
      <c r="DD47" s="281">
        <v>70000</v>
      </c>
      <c r="DE47" s="281">
        <v>0</v>
      </c>
      <c r="DF47" s="281" t="s">
        <v>843</v>
      </c>
      <c r="DG47" s="282" t="s">
        <v>942</v>
      </c>
      <c r="DH47" s="283" t="s">
        <v>599</v>
      </c>
      <c r="DI47" s="284" t="s">
        <v>765</v>
      </c>
      <c r="DJ47" s="285" t="s">
        <v>486</v>
      </c>
      <c r="DK47" s="286">
        <v>43</v>
      </c>
    </row>
    <row r="48" spans="1:115">
      <c r="A48" s="305" t="s">
        <v>603</v>
      </c>
      <c r="B48" s="305" t="s">
        <v>603</v>
      </c>
      <c r="C48" s="305" t="s">
        <v>456</v>
      </c>
      <c r="D48" s="305" t="s">
        <v>604</v>
      </c>
      <c r="E48" s="305" t="s">
        <v>486</v>
      </c>
      <c r="F48" s="305" t="s">
        <v>605</v>
      </c>
      <c r="G48" s="305" t="s">
        <v>447</v>
      </c>
      <c r="H48" s="305" t="s">
        <v>606</v>
      </c>
      <c r="DA48" s="278" t="s">
        <v>143</v>
      </c>
      <c r="DB48" s="279" t="s">
        <v>603</v>
      </c>
      <c r="DC48" s="280" t="s">
        <v>844</v>
      </c>
      <c r="DD48" s="281">
        <v>54000</v>
      </c>
      <c r="DE48" s="281">
        <v>0</v>
      </c>
      <c r="DF48" s="281" t="s">
        <v>845</v>
      </c>
      <c r="DG48" s="282" t="s">
        <v>942</v>
      </c>
      <c r="DH48" s="283" t="s">
        <v>603</v>
      </c>
      <c r="DI48" s="284" t="s">
        <v>765</v>
      </c>
      <c r="DJ48" s="285" t="s">
        <v>486</v>
      </c>
      <c r="DK48" s="286">
        <v>44</v>
      </c>
    </row>
    <row r="49" spans="1:115">
      <c r="A49" s="305" t="s">
        <v>603</v>
      </c>
      <c r="B49" s="305" t="s">
        <v>603</v>
      </c>
      <c r="C49" s="305" t="s">
        <v>451</v>
      </c>
      <c r="D49" s="305" t="s">
        <v>452</v>
      </c>
      <c r="E49" s="305" t="s">
        <v>607</v>
      </c>
      <c r="F49" s="305" t="s">
        <v>447</v>
      </c>
      <c r="G49" s="305" t="s">
        <v>608</v>
      </c>
      <c r="H49" s="305" t="s">
        <v>609</v>
      </c>
      <c r="DA49" s="278" t="s">
        <v>143</v>
      </c>
      <c r="DB49" s="279" t="s">
        <v>603</v>
      </c>
      <c r="DC49" s="280" t="s">
        <v>846</v>
      </c>
      <c r="DD49" s="281">
        <v>0</v>
      </c>
      <c r="DE49" s="281">
        <v>40000</v>
      </c>
      <c r="DF49" s="281" t="s">
        <v>847</v>
      </c>
      <c r="DG49" s="282" t="s">
        <v>965</v>
      </c>
      <c r="DH49" s="283" t="s">
        <v>603</v>
      </c>
      <c r="DI49" s="284" t="s">
        <v>760</v>
      </c>
      <c r="DJ49" s="285" t="s">
        <v>607</v>
      </c>
      <c r="DK49" s="286">
        <v>45</v>
      </c>
    </row>
    <row r="50" spans="1:115">
      <c r="A50" s="305" t="s">
        <v>603</v>
      </c>
      <c r="B50" s="305" t="s">
        <v>603</v>
      </c>
      <c r="C50" s="305" t="s">
        <v>451</v>
      </c>
      <c r="D50" s="305" t="s">
        <v>452</v>
      </c>
      <c r="E50" s="305" t="s">
        <v>520</v>
      </c>
      <c r="F50" s="305" t="s">
        <v>521</v>
      </c>
      <c r="G50" s="305" t="s">
        <v>447</v>
      </c>
      <c r="H50" s="305" t="s">
        <v>610</v>
      </c>
      <c r="DA50" s="278" t="s">
        <v>143</v>
      </c>
      <c r="DB50" s="279" t="s">
        <v>603</v>
      </c>
      <c r="DC50" s="280" t="s">
        <v>848</v>
      </c>
      <c r="DD50" s="281">
        <v>30317</v>
      </c>
      <c r="DE50" s="281">
        <v>0</v>
      </c>
      <c r="DF50" s="281" t="s">
        <v>849</v>
      </c>
      <c r="DG50" s="282" t="s">
        <v>950</v>
      </c>
      <c r="DH50" s="283" t="s">
        <v>603</v>
      </c>
      <c r="DI50" s="284" t="s">
        <v>765</v>
      </c>
      <c r="DJ50" s="285" t="s">
        <v>520</v>
      </c>
      <c r="DK50" s="286">
        <v>46</v>
      </c>
    </row>
    <row r="51" spans="1:115">
      <c r="A51" s="305" t="s">
        <v>611</v>
      </c>
      <c r="B51" s="305" t="s">
        <v>611</v>
      </c>
      <c r="C51" s="305" t="s">
        <v>451</v>
      </c>
      <c r="D51" s="305" t="s">
        <v>612</v>
      </c>
      <c r="E51" s="305" t="s">
        <v>613</v>
      </c>
      <c r="F51" s="305" t="s">
        <v>447</v>
      </c>
      <c r="G51" s="305" t="s">
        <v>614</v>
      </c>
      <c r="H51" s="305" t="s">
        <v>615</v>
      </c>
      <c r="DA51" s="278" t="s">
        <v>143</v>
      </c>
      <c r="DB51" s="279" t="s">
        <v>611</v>
      </c>
      <c r="DC51" s="280" t="s">
        <v>850</v>
      </c>
      <c r="DD51" s="281">
        <v>0</v>
      </c>
      <c r="DE51" s="281">
        <v>36855</v>
      </c>
      <c r="DF51" s="281" t="s">
        <v>851</v>
      </c>
      <c r="DG51" s="306" t="s">
        <v>966</v>
      </c>
      <c r="DH51" s="283" t="s">
        <v>611</v>
      </c>
      <c r="DI51" s="284" t="s">
        <v>760</v>
      </c>
      <c r="DJ51" s="285" t="s">
        <v>613</v>
      </c>
      <c r="DK51" s="286">
        <v>47</v>
      </c>
    </row>
    <row r="52" spans="1:115">
      <c r="A52" s="305" t="s">
        <v>611</v>
      </c>
      <c r="B52" s="305" t="s">
        <v>611</v>
      </c>
      <c r="C52" s="305" t="s">
        <v>451</v>
      </c>
      <c r="D52" s="305" t="s">
        <v>616</v>
      </c>
      <c r="E52" s="305" t="s">
        <v>617</v>
      </c>
      <c r="F52" s="305" t="s">
        <v>447</v>
      </c>
      <c r="G52" s="305" t="s">
        <v>618</v>
      </c>
      <c r="H52" s="305" t="s">
        <v>619</v>
      </c>
      <c r="DA52" s="278" t="s">
        <v>143</v>
      </c>
      <c r="DB52" s="279" t="s">
        <v>611</v>
      </c>
      <c r="DC52" s="280" t="s">
        <v>852</v>
      </c>
      <c r="DD52" s="281">
        <v>0</v>
      </c>
      <c r="DE52" s="281">
        <v>43659</v>
      </c>
      <c r="DF52" s="281" t="s">
        <v>853</v>
      </c>
      <c r="DG52" s="306" t="s">
        <v>967</v>
      </c>
      <c r="DH52" s="283" t="s">
        <v>611</v>
      </c>
      <c r="DI52" s="284" t="s">
        <v>760</v>
      </c>
      <c r="DJ52" s="285" t="s">
        <v>617</v>
      </c>
      <c r="DK52" s="286">
        <v>48</v>
      </c>
    </row>
    <row r="53" spans="1:115">
      <c r="A53" s="305" t="s">
        <v>611</v>
      </c>
      <c r="B53" s="305" t="s">
        <v>611</v>
      </c>
      <c r="C53" s="305" t="s">
        <v>451</v>
      </c>
      <c r="D53" s="305" t="s">
        <v>620</v>
      </c>
      <c r="E53" s="305" t="s">
        <v>613</v>
      </c>
      <c r="F53" s="305" t="s">
        <v>447</v>
      </c>
      <c r="G53" s="305" t="s">
        <v>621</v>
      </c>
      <c r="H53" s="305" t="s">
        <v>622</v>
      </c>
      <c r="DA53" s="278" t="s">
        <v>143</v>
      </c>
      <c r="DB53" s="279" t="s">
        <v>611</v>
      </c>
      <c r="DC53" s="280" t="s">
        <v>854</v>
      </c>
      <c r="DD53" s="281">
        <v>0</v>
      </c>
      <c r="DE53" s="281">
        <v>45360</v>
      </c>
      <c r="DF53" s="281" t="s">
        <v>855</v>
      </c>
      <c r="DG53" s="306" t="s">
        <v>966</v>
      </c>
      <c r="DH53" s="283" t="s">
        <v>611</v>
      </c>
      <c r="DI53" s="284" t="s">
        <v>760</v>
      </c>
      <c r="DJ53" s="285" t="s">
        <v>613</v>
      </c>
      <c r="DK53" s="286">
        <v>49</v>
      </c>
    </row>
    <row r="54" spans="1:115">
      <c r="A54" s="305" t="s">
        <v>623</v>
      </c>
      <c r="B54" s="305" t="s">
        <v>623</v>
      </c>
      <c r="C54" s="305" t="s">
        <v>451</v>
      </c>
      <c r="D54" s="305" t="s">
        <v>624</v>
      </c>
      <c r="E54" s="305" t="s">
        <v>625</v>
      </c>
      <c r="F54" s="305" t="s">
        <v>469</v>
      </c>
      <c r="G54" s="305" t="s">
        <v>447</v>
      </c>
      <c r="H54" s="305" t="s">
        <v>626</v>
      </c>
      <c r="DA54" s="278" t="s">
        <v>143</v>
      </c>
      <c r="DB54" s="279" t="s">
        <v>623</v>
      </c>
      <c r="DC54" s="280" t="s">
        <v>856</v>
      </c>
      <c r="DD54" s="281">
        <v>20000</v>
      </c>
      <c r="DE54" s="281">
        <v>0</v>
      </c>
      <c r="DF54" s="281" t="s">
        <v>857</v>
      </c>
      <c r="DG54" s="282" t="s">
        <v>968</v>
      </c>
      <c r="DH54" s="283" t="s">
        <v>623</v>
      </c>
      <c r="DI54" s="284" t="s">
        <v>765</v>
      </c>
      <c r="DJ54" s="285" t="s">
        <v>625</v>
      </c>
      <c r="DK54" s="286">
        <v>50</v>
      </c>
    </row>
    <row r="55" spans="1:115">
      <c r="A55" s="305" t="s">
        <v>627</v>
      </c>
      <c r="B55" s="305" t="s">
        <v>627</v>
      </c>
      <c r="C55" s="305" t="s">
        <v>451</v>
      </c>
      <c r="D55" s="305" t="s">
        <v>452</v>
      </c>
      <c r="E55" s="305" t="s">
        <v>628</v>
      </c>
      <c r="F55" s="305" t="s">
        <v>447</v>
      </c>
      <c r="G55" s="305" t="s">
        <v>629</v>
      </c>
      <c r="H55" s="305" t="s">
        <v>630</v>
      </c>
      <c r="DA55" s="278" t="s">
        <v>143</v>
      </c>
      <c r="DB55" s="279" t="s">
        <v>627</v>
      </c>
      <c r="DC55" s="280" t="s">
        <v>858</v>
      </c>
      <c r="DD55" s="281">
        <v>0</v>
      </c>
      <c r="DE55" s="281">
        <v>27563</v>
      </c>
      <c r="DF55" s="281" t="s">
        <v>859</v>
      </c>
      <c r="DG55" s="282" t="s">
        <v>969</v>
      </c>
      <c r="DH55" s="283" t="s">
        <v>627</v>
      </c>
      <c r="DI55" s="284" t="s">
        <v>760</v>
      </c>
      <c r="DJ55" s="285" t="s">
        <v>628</v>
      </c>
      <c r="DK55" s="286">
        <v>51</v>
      </c>
    </row>
    <row r="56" spans="1:115">
      <c r="A56" s="305" t="s">
        <v>631</v>
      </c>
      <c r="B56" s="305" t="s">
        <v>631</v>
      </c>
      <c r="C56" s="305" t="s">
        <v>451</v>
      </c>
      <c r="D56" s="305" t="s">
        <v>632</v>
      </c>
      <c r="E56" s="305" t="s">
        <v>633</v>
      </c>
      <c r="F56" s="305" t="s">
        <v>555</v>
      </c>
      <c r="G56" s="305" t="s">
        <v>447</v>
      </c>
      <c r="H56" s="305" t="s">
        <v>634</v>
      </c>
      <c r="DA56" s="278" t="s">
        <v>143</v>
      </c>
      <c r="DB56" s="279" t="s">
        <v>631</v>
      </c>
      <c r="DC56" s="280" t="s">
        <v>860</v>
      </c>
      <c r="DD56" s="281">
        <v>100000</v>
      </c>
      <c r="DE56" s="281">
        <v>0</v>
      </c>
      <c r="DF56" s="281" t="s">
        <v>861</v>
      </c>
      <c r="DG56" s="282" t="s">
        <v>970</v>
      </c>
      <c r="DH56" s="283" t="s">
        <v>631</v>
      </c>
      <c r="DI56" s="284" t="s">
        <v>765</v>
      </c>
      <c r="DJ56" s="285" t="s">
        <v>633</v>
      </c>
      <c r="DK56" s="286">
        <v>52</v>
      </c>
    </row>
    <row r="57" spans="1:115">
      <c r="A57" s="305" t="s">
        <v>635</v>
      </c>
      <c r="B57" s="305" t="s">
        <v>635</v>
      </c>
      <c r="C57" s="305" t="s">
        <v>456</v>
      </c>
      <c r="D57" s="305" t="s">
        <v>636</v>
      </c>
      <c r="E57" s="305" t="s">
        <v>486</v>
      </c>
      <c r="F57" s="305" t="s">
        <v>458</v>
      </c>
      <c r="G57" s="305" t="s">
        <v>447</v>
      </c>
      <c r="H57" s="305" t="s">
        <v>637</v>
      </c>
      <c r="DA57" s="278" t="s">
        <v>143</v>
      </c>
      <c r="DB57" s="279" t="s">
        <v>635</v>
      </c>
      <c r="DC57" s="280" t="s">
        <v>862</v>
      </c>
      <c r="DD57" s="281">
        <v>10000</v>
      </c>
      <c r="DE57" s="281">
        <v>0</v>
      </c>
      <c r="DF57" s="281" t="s">
        <v>863</v>
      </c>
      <c r="DG57" s="282" t="s">
        <v>942</v>
      </c>
      <c r="DH57" s="283" t="s">
        <v>635</v>
      </c>
      <c r="DI57" s="284" t="s">
        <v>765</v>
      </c>
      <c r="DJ57" s="285" t="s">
        <v>486</v>
      </c>
      <c r="DK57" s="286">
        <v>53</v>
      </c>
    </row>
    <row r="58" spans="1:115">
      <c r="A58" s="305" t="s">
        <v>635</v>
      </c>
      <c r="B58" s="305" t="s">
        <v>635</v>
      </c>
      <c r="C58" s="305" t="s">
        <v>451</v>
      </c>
      <c r="D58" s="305" t="s">
        <v>638</v>
      </c>
      <c r="E58" s="305" t="s">
        <v>639</v>
      </c>
      <c r="F58" s="305" t="s">
        <v>640</v>
      </c>
      <c r="G58" s="305" t="s">
        <v>447</v>
      </c>
      <c r="H58" s="305" t="s">
        <v>641</v>
      </c>
      <c r="DA58" s="278" t="s">
        <v>143</v>
      </c>
      <c r="DB58" s="279" t="s">
        <v>635</v>
      </c>
      <c r="DC58" s="280" t="s">
        <v>864</v>
      </c>
      <c r="DD58" s="281">
        <v>77420</v>
      </c>
      <c r="DE58" s="281">
        <v>0</v>
      </c>
      <c r="DF58" s="281" t="s">
        <v>865</v>
      </c>
      <c r="DG58" s="282" t="s">
        <v>971</v>
      </c>
      <c r="DH58" s="283" t="s">
        <v>635</v>
      </c>
      <c r="DI58" s="284" t="s">
        <v>765</v>
      </c>
      <c r="DJ58" s="285" t="s">
        <v>639</v>
      </c>
      <c r="DK58" s="286">
        <v>54</v>
      </c>
    </row>
    <row r="59" spans="1:115">
      <c r="A59" s="305" t="s">
        <v>642</v>
      </c>
      <c r="B59" s="305" t="s">
        <v>642</v>
      </c>
      <c r="C59" s="305" t="s">
        <v>451</v>
      </c>
      <c r="D59" s="305" t="s">
        <v>452</v>
      </c>
      <c r="E59" s="305" t="s">
        <v>643</v>
      </c>
      <c r="F59" s="305" t="s">
        <v>447</v>
      </c>
      <c r="G59" s="305" t="s">
        <v>644</v>
      </c>
      <c r="H59" s="305" t="s">
        <v>645</v>
      </c>
      <c r="DA59" s="278" t="s">
        <v>143</v>
      </c>
      <c r="DB59" s="279" t="s">
        <v>642</v>
      </c>
      <c r="DC59" s="280" t="s">
        <v>866</v>
      </c>
      <c r="DD59" s="281">
        <v>0</v>
      </c>
      <c r="DE59" s="281">
        <v>37485</v>
      </c>
      <c r="DF59" s="281" t="s">
        <v>867</v>
      </c>
      <c r="DG59" s="282" t="s">
        <v>972</v>
      </c>
      <c r="DH59" s="283" t="s">
        <v>642</v>
      </c>
      <c r="DI59" s="284" t="s">
        <v>760</v>
      </c>
      <c r="DJ59" s="285" t="s">
        <v>643</v>
      </c>
      <c r="DK59" s="286">
        <v>55</v>
      </c>
    </row>
    <row r="60" spans="1:115">
      <c r="A60" s="305" t="s">
        <v>642</v>
      </c>
      <c r="B60" s="305" t="s">
        <v>642</v>
      </c>
      <c r="C60" s="305" t="s">
        <v>451</v>
      </c>
      <c r="D60" s="305" t="s">
        <v>452</v>
      </c>
      <c r="E60" s="305" t="s">
        <v>646</v>
      </c>
      <c r="F60" s="305" t="s">
        <v>447</v>
      </c>
      <c r="G60" s="305" t="s">
        <v>647</v>
      </c>
      <c r="H60" s="305" t="s">
        <v>648</v>
      </c>
      <c r="DA60" s="278" t="s">
        <v>143</v>
      </c>
      <c r="DB60" s="279" t="s">
        <v>642</v>
      </c>
      <c r="DC60" s="280" t="s">
        <v>868</v>
      </c>
      <c r="DD60" s="281">
        <v>0</v>
      </c>
      <c r="DE60" s="281">
        <v>45560</v>
      </c>
      <c r="DF60" s="281" t="s">
        <v>869</v>
      </c>
      <c r="DG60" s="282" t="s">
        <v>973</v>
      </c>
      <c r="DH60" s="283" t="s">
        <v>642</v>
      </c>
      <c r="DI60" s="284" t="s">
        <v>760</v>
      </c>
      <c r="DJ60" s="285" t="s">
        <v>646</v>
      </c>
      <c r="DK60" s="286">
        <v>56</v>
      </c>
    </row>
    <row r="61" spans="1:115">
      <c r="A61" s="305" t="s">
        <v>649</v>
      </c>
      <c r="B61" s="305" t="s">
        <v>649</v>
      </c>
      <c r="C61" s="305" t="s">
        <v>451</v>
      </c>
      <c r="D61" s="305" t="s">
        <v>452</v>
      </c>
      <c r="E61" s="305" t="s">
        <v>650</v>
      </c>
      <c r="F61" s="305" t="s">
        <v>447</v>
      </c>
      <c r="G61" s="305" t="s">
        <v>651</v>
      </c>
      <c r="H61" s="305" t="s">
        <v>652</v>
      </c>
      <c r="DA61" s="278" t="s">
        <v>143</v>
      </c>
      <c r="DB61" s="279" t="s">
        <v>649</v>
      </c>
      <c r="DC61" s="280" t="s">
        <v>870</v>
      </c>
      <c r="DD61" s="281">
        <v>0</v>
      </c>
      <c r="DE61" s="281">
        <v>12700</v>
      </c>
      <c r="DF61" s="281" t="s">
        <v>871</v>
      </c>
      <c r="DG61" s="282" t="s">
        <v>974</v>
      </c>
      <c r="DH61" s="283" t="s">
        <v>649</v>
      </c>
      <c r="DI61" s="284" t="s">
        <v>760</v>
      </c>
      <c r="DJ61" s="285" t="s">
        <v>650</v>
      </c>
      <c r="DK61" s="286">
        <v>57</v>
      </c>
    </row>
    <row r="62" spans="1:115">
      <c r="A62" s="305" t="s">
        <v>653</v>
      </c>
      <c r="B62" s="305" t="s">
        <v>653</v>
      </c>
      <c r="C62" s="305" t="s">
        <v>444</v>
      </c>
      <c r="D62" s="305" t="s">
        <v>654</v>
      </c>
      <c r="E62" s="305" t="s">
        <v>446</v>
      </c>
      <c r="F62" s="305" t="s">
        <v>447</v>
      </c>
      <c r="G62" s="305" t="s">
        <v>655</v>
      </c>
      <c r="H62" s="305" t="s">
        <v>656</v>
      </c>
      <c r="DA62" s="278" t="s">
        <v>143</v>
      </c>
      <c r="DB62" s="279" t="s">
        <v>653</v>
      </c>
      <c r="DC62" s="280" t="s">
        <v>872</v>
      </c>
      <c r="DD62" s="281">
        <v>0</v>
      </c>
      <c r="DE62" s="281">
        <v>51850</v>
      </c>
      <c r="DF62" s="281" t="s">
        <v>873</v>
      </c>
      <c r="DG62" s="306" t="s">
        <v>934</v>
      </c>
      <c r="DH62" s="283" t="s">
        <v>653</v>
      </c>
      <c r="DI62" s="284" t="s">
        <v>760</v>
      </c>
      <c r="DJ62" s="285" t="s">
        <v>446</v>
      </c>
      <c r="DK62" s="286">
        <v>58</v>
      </c>
    </row>
    <row r="63" spans="1:115">
      <c r="A63" s="305" t="s">
        <v>657</v>
      </c>
      <c r="B63" s="305" t="s">
        <v>657</v>
      </c>
      <c r="C63" s="305" t="s">
        <v>467</v>
      </c>
      <c r="D63" s="305" t="s">
        <v>452</v>
      </c>
      <c r="E63" s="305" t="s">
        <v>658</v>
      </c>
      <c r="F63" s="305" t="s">
        <v>659</v>
      </c>
      <c r="G63" s="305" t="s">
        <v>447</v>
      </c>
      <c r="H63" s="305" t="s">
        <v>660</v>
      </c>
      <c r="DA63" s="278" t="s">
        <v>143</v>
      </c>
      <c r="DB63" s="279" t="s">
        <v>657</v>
      </c>
      <c r="DC63" s="280" t="s">
        <v>874</v>
      </c>
      <c r="DD63" s="281">
        <v>354</v>
      </c>
      <c r="DE63" s="281">
        <v>0</v>
      </c>
      <c r="DF63" s="281" t="s">
        <v>875</v>
      </c>
      <c r="DG63" s="282" t="s">
        <v>962</v>
      </c>
      <c r="DH63" s="283" t="s">
        <v>657</v>
      </c>
      <c r="DI63" s="284" t="s">
        <v>765</v>
      </c>
      <c r="DJ63" s="285" t="s">
        <v>658</v>
      </c>
      <c r="DK63" s="286">
        <v>59</v>
      </c>
    </row>
    <row r="64" spans="1:115">
      <c r="A64" s="305" t="s">
        <v>661</v>
      </c>
      <c r="B64" s="305" t="s">
        <v>661</v>
      </c>
      <c r="C64" s="305" t="s">
        <v>456</v>
      </c>
      <c r="D64" s="305" t="s">
        <v>662</v>
      </c>
      <c r="E64" s="305" t="s">
        <v>486</v>
      </c>
      <c r="F64" s="305" t="s">
        <v>663</v>
      </c>
      <c r="G64" s="305" t="s">
        <v>447</v>
      </c>
      <c r="H64" s="305" t="s">
        <v>664</v>
      </c>
      <c r="DA64" s="278" t="s">
        <v>143</v>
      </c>
      <c r="DB64" s="279" t="s">
        <v>661</v>
      </c>
      <c r="DC64" s="280" t="s">
        <v>876</v>
      </c>
      <c r="DD64" s="281">
        <v>49000</v>
      </c>
      <c r="DE64" s="281">
        <v>0</v>
      </c>
      <c r="DF64" s="281" t="s">
        <v>877</v>
      </c>
      <c r="DG64" s="282" t="s">
        <v>942</v>
      </c>
      <c r="DH64" s="283" t="s">
        <v>661</v>
      </c>
      <c r="DI64" s="284" t="s">
        <v>765</v>
      </c>
      <c r="DJ64" s="285" t="s">
        <v>486</v>
      </c>
      <c r="DK64" s="286">
        <v>60</v>
      </c>
    </row>
    <row r="65" spans="1:115">
      <c r="A65" s="305" t="s">
        <v>665</v>
      </c>
      <c r="B65" s="305" t="s">
        <v>665</v>
      </c>
      <c r="C65" s="305" t="s">
        <v>467</v>
      </c>
      <c r="D65" s="305" t="s">
        <v>666</v>
      </c>
      <c r="E65" s="305" t="s">
        <v>667</v>
      </c>
      <c r="F65" s="305" t="s">
        <v>469</v>
      </c>
      <c r="G65" s="305" t="s">
        <v>447</v>
      </c>
      <c r="H65" s="305" t="s">
        <v>668</v>
      </c>
      <c r="DA65" s="278" t="s">
        <v>143</v>
      </c>
      <c r="DB65" s="279" t="s">
        <v>665</v>
      </c>
      <c r="DC65" s="280" t="s">
        <v>878</v>
      </c>
      <c r="DD65" s="281">
        <v>20000</v>
      </c>
      <c r="DE65" s="281">
        <v>0</v>
      </c>
      <c r="DF65" s="281" t="s">
        <v>879</v>
      </c>
      <c r="DG65" s="282" t="s">
        <v>942</v>
      </c>
      <c r="DH65" s="283" t="s">
        <v>665</v>
      </c>
      <c r="DI65" s="284" t="s">
        <v>765</v>
      </c>
      <c r="DJ65" s="285" t="s">
        <v>667</v>
      </c>
      <c r="DK65" s="286">
        <v>61</v>
      </c>
    </row>
    <row r="66" spans="1:115">
      <c r="A66" s="305" t="s">
        <v>669</v>
      </c>
      <c r="B66" s="305" t="s">
        <v>669</v>
      </c>
      <c r="C66" s="305" t="s">
        <v>451</v>
      </c>
      <c r="D66" s="305" t="s">
        <v>452</v>
      </c>
      <c r="E66" s="305" t="s">
        <v>670</v>
      </c>
      <c r="F66" s="305" t="s">
        <v>447</v>
      </c>
      <c r="G66" s="305" t="s">
        <v>483</v>
      </c>
      <c r="H66" s="305" t="s">
        <v>671</v>
      </c>
      <c r="DA66" s="278" t="s">
        <v>143</v>
      </c>
      <c r="DB66" s="279" t="s">
        <v>669</v>
      </c>
      <c r="DC66" s="280" t="s">
        <v>880</v>
      </c>
      <c r="DD66" s="281">
        <v>0</v>
      </c>
      <c r="DE66" s="281">
        <v>50000</v>
      </c>
      <c r="DF66" s="281" t="s">
        <v>881</v>
      </c>
      <c r="DG66" s="282" t="s">
        <v>975</v>
      </c>
      <c r="DH66" s="283" t="s">
        <v>669</v>
      </c>
      <c r="DI66" s="284" t="s">
        <v>760</v>
      </c>
      <c r="DJ66" s="285" t="s">
        <v>670</v>
      </c>
      <c r="DK66" s="286">
        <v>62</v>
      </c>
    </row>
    <row r="67" spans="1:115">
      <c r="A67" s="305" t="s">
        <v>672</v>
      </c>
      <c r="B67" s="305" t="s">
        <v>672</v>
      </c>
      <c r="C67" s="305" t="s">
        <v>456</v>
      </c>
      <c r="D67" s="305" t="s">
        <v>673</v>
      </c>
      <c r="E67" s="305" t="s">
        <v>674</v>
      </c>
      <c r="F67" s="305" t="s">
        <v>663</v>
      </c>
      <c r="G67" s="305" t="s">
        <v>447</v>
      </c>
      <c r="H67" s="305" t="s">
        <v>675</v>
      </c>
      <c r="DA67" s="278" t="s">
        <v>143</v>
      </c>
      <c r="DB67" s="279" t="s">
        <v>672</v>
      </c>
      <c r="DC67" s="280" t="s">
        <v>882</v>
      </c>
      <c r="DD67" s="281">
        <v>49000</v>
      </c>
      <c r="DE67" s="281">
        <v>0</v>
      </c>
      <c r="DF67" s="281" t="s">
        <v>883</v>
      </c>
      <c r="DG67" s="282" t="s">
        <v>942</v>
      </c>
      <c r="DH67" s="283" t="s">
        <v>672</v>
      </c>
      <c r="DI67" s="284" t="s">
        <v>765</v>
      </c>
      <c r="DJ67" s="285" t="s">
        <v>674</v>
      </c>
      <c r="DK67" s="286">
        <v>63</v>
      </c>
    </row>
    <row r="68" spans="1:115">
      <c r="A68" s="305" t="s">
        <v>672</v>
      </c>
      <c r="B68" s="305" t="s">
        <v>672</v>
      </c>
      <c r="C68" s="305" t="s">
        <v>444</v>
      </c>
      <c r="D68" s="305" t="s">
        <v>676</v>
      </c>
      <c r="E68" s="305" t="s">
        <v>545</v>
      </c>
      <c r="F68" s="305" t="s">
        <v>447</v>
      </c>
      <c r="G68" s="305" t="s">
        <v>677</v>
      </c>
      <c r="H68" s="305" t="s">
        <v>678</v>
      </c>
      <c r="DA68" s="278" t="s">
        <v>143</v>
      </c>
      <c r="DB68" s="279" t="s">
        <v>672</v>
      </c>
      <c r="DC68" s="280" t="s">
        <v>884</v>
      </c>
      <c r="DD68" s="281">
        <v>0</v>
      </c>
      <c r="DE68" s="281">
        <v>41895</v>
      </c>
      <c r="DF68" s="281" t="s">
        <v>885</v>
      </c>
      <c r="DG68" s="306" t="s">
        <v>955</v>
      </c>
      <c r="DH68" s="283" t="s">
        <v>672</v>
      </c>
      <c r="DI68" s="284" t="s">
        <v>760</v>
      </c>
      <c r="DJ68" s="285" t="s">
        <v>545</v>
      </c>
      <c r="DK68" s="286">
        <v>64</v>
      </c>
    </row>
    <row r="69" spans="1:115">
      <c r="A69" s="305" t="s">
        <v>679</v>
      </c>
      <c r="B69" s="305" t="s">
        <v>679</v>
      </c>
      <c r="C69" s="305" t="s">
        <v>451</v>
      </c>
      <c r="D69" s="305" t="s">
        <v>452</v>
      </c>
      <c r="E69" s="305" t="s">
        <v>520</v>
      </c>
      <c r="F69" s="305" t="s">
        <v>521</v>
      </c>
      <c r="G69" s="305" t="s">
        <v>447</v>
      </c>
      <c r="H69" s="305" t="s">
        <v>680</v>
      </c>
      <c r="DA69" s="278" t="s">
        <v>143</v>
      </c>
      <c r="DB69" s="279" t="s">
        <v>679</v>
      </c>
      <c r="DC69" s="280" t="s">
        <v>886</v>
      </c>
      <c r="DD69" s="281">
        <v>30317</v>
      </c>
      <c r="DE69" s="281">
        <v>0</v>
      </c>
      <c r="DF69" s="281" t="s">
        <v>887</v>
      </c>
      <c r="DG69" s="282" t="s">
        <v>950</v>
      </c>
      <c r="DH69" s="283" t="s">
        <v>679</v>
      </c>
      <c r="DI69" s="284" t="s">
        <v>765</v>
      </c>
      <c r="DJ69" s="285" t="s">
        <v>520</v>
      </c>
      <c r="DK69" s="286">
        <v>65</v>
      </c>
    </row>
    <row r="70" spans="1:115">
      <c r="A70" s="305" t="s">
        <v>681</v>
      </c>
      <c r="B70" s="305" t="s">
        <v>681</v>
      </c>
      <c r="C70" s="305" t="s">
        <v>451</v>
      </c>
      <c r="D70" s="305" t="s">
        <v>452</v>
      </c>
      <c r="E70" s="305" t="s">
        <v>682</v>
      </c>
      <c r="F70" s="305" t="s">
        <v>447</v>
      </c>
      <c r="G70" s="305" t="s">
        <v>483</v>
      </c>
      <c r="H70" s="305" t="s">
        <v>683</v>
      </c>
      <c r="DA70" s="278" t="s">
        <v>143</v>
      </c>
      <c r="DB70" s="279" t="s">
        <v>681</v>
      </c>
      <c r="DC70" s="280" t="s">
        <v>888</v>
      </c>
      <c r="DD70" s="281">
        <v>0</v>
      </c>
      <c r="DE70" s="281">
        <v>50000</v>
      </c>
      <c r="DF70" s="281" t="s">
        <v>889</v>
      </c>
      <c r="DG70" s="282" t="s">
        <v>976</v>
      </c>
      <c r="DH70" s="283" t="s">
        <v>681</v>
      </c>
      <c r="DI70" s="284" t="s">
        <v>760</v>
      </c>
      <c r="DJ70" s="285" t="s">
        <v>682</v>
      </c>
      <c r="DK70" s="286">
        <v>66</v>
      </c>
    </row>
    <row r="71" spans="1:115">
      <c r="A71" s="305" t="s">
        <v>681</v>
      </c>
      <c r="B71" s="305" t="s">
        <v>681</v>
      </c>
      <c r="C71" s="305" t="s">
        <v>467</v>
      </c>
      <c r="D71" s="305" t="s">
        <v>684</v>
      </c>
      <c r="E71" s="305" t="s">
        <v>667</v>
      </c>
      <c r="F71" s="305" t="s">
        <v>663</v>
      </c>
      <c r="G71" s="305" t="s">
        <v>447</v>
      </c>
      <c r="H71" s="305" t="s">
        <v>685</v>
      </c>
      <c r="DA71" s="278" t="s">
        <v>143</v>
      </c>
      <c r="DB71" s="279" t="s">
        <v>681</v>
      </c>
      <c r="DC71" s="280" t="s">
        <v>890</v>
      </c>
      <c r="DD71" s="281">
        <v>49000</v>
      </c>
      <c r="DE71" s="281">
        <v>0</v>
      </c>
      <c r="DF71" s="281" t="s">
        <v>891</v>
      </c>
      <c r="DG71" s="282" t="s">
        <v>942</v>
      </c>
      <c r="DH71" s="283" t="s">
        <v>681</v>
      </c>
      <c r="DI71" s="284" t="s">
        <v>765</v>
      </c>
      <c r="DJ71" s="285" t="s">
        <v>667</v>
      </c>
      <c r="DK71" s="286">
        <v>67</v>
      </c>
    </row>
    <row r="72" spans="1:115">
      <c r="A72" s="305" t="s">
        <v>686</v>
      </c>
      <c r="B72" s="305" t="s">
        <v>686</v>
      </c>
      <c r="C72" s="305" t="s">
        <v>451</v>
      </c>
      <c r="D72" s="305" t="s">
        <v>452</v>
      </c>
      <c r="E72" s="305" t="s">
        <v>687</v>
      </c>
      <c r="F72" s="305" t="s">
        <v>447</v>
      </c>
      <c r="G72" s="305" t="s">
        <v>475</v>
      </c>
      <c r="H72" s="305" t="s">
        <v>688</v>
      </c>
      <c r="DA72" s="278" t="s">
        <v>143</v>
      </c>
      <c r="DB72" s="279" t="s">
        <v>686</v>
      </c>
      <c r="DC72" s="280" t="s">
        <v>892</v>
      </c>
      <c r="DD72" s="281">
        <v>0</v>
      </c>
      <c r="DE72" s="281">
        <v>35000</v>
      </c>
      <c r="DF72" s="281" t="s">
        <v>893</v>
      </c>
      <c r="DG72" s="282" t="s">
        <v>977</v>
      </c>
      <c r="DH72" s="283" t="s">
        <v>686</v>
      </c>
      <c r="DI72" s="284" t="s">
        <v>760</v>
      </c>
      <c r="DJ72" s="285" t="s">
        <v>687</v>
      </c>
      <c r="DK72" s="286">
        <v>68</v>
      </c>
    </row>
    <row r="73" spans="1:115">
      <c r="A73" s="305" t="s">
        <v>689</v>
      </c>
      <c r="B73" s="305" t="s">
        <v>686</v>
      </c>
      <c r="C73" s="305" t="s">
        <v>690</v>
      </c>
      <c r="D73" s="305" t="s">
        <v>452</v>
      </c>
      <c r="E73" s="305" t="s">
        <v>691</v>
      </c>
      <c r="F73" s="305" t="s">
        <v>447</v>
      </c>
      <c r="G73" s="305" t="s">
        <v>514</v>
      </c>
      <c r="H73" s="305" t="s">
        <v>692</v>
      </c>
      <c r="DA73" s="278" t="s">
        <v>143</v>
      </c>
      <c r="DB73" s="279" t="s">
        <v>686</v>
      </c>
      <c r="DC73" s="280" t="s">
        <v>894</v>
      </c>
      <c r="DD73" s="281">
        <v>0</v>
      </c>
      <c r="DE73" s="281">
        <v>30000</v>
      </c>
      <c r="DF73" s="281" t="s">
        <v>895</v>
      </c>
      <c r="DG73" s="282" t="s">
        <v>978</v>
      </c>
      <c r="DH73" s="283" t="s">
        <v>686</v>
      </c>
      <c r="DI73" s="284" t="s">
        <v>760</v>
      </c>
      <c r="DJ73" s="285" t="s">
        <v>691</v>
      </c>
      <c r="DK73" s="286">
        <v>69</v>
      </c>
    </row>
    <row r="74" spans="1:115">
      <c r="A74" s="305" t="s">
        <v>689</v>
      </c>
      <c r="B74" s="305" t="s">
        <v>686</v>
      </c>
      <c r="C74" s="305" t="s">
        <v>690</v>
      </c>
      <c r="D74" s="305" t="s">
        <v>452</v>
      </c>
      <c r="E74" s="305" t="s">
        <v>693</v>
      </c>
      <c r="F74" s="305" t="s">
        <v>447</v>
      </c>
      <c r="G74" s="305" t="s">
        <v>694</v>
      </c>
      <c r="H74" s="305" t="s">
        <v>695</v>
      </c>
      <c r="DA74" s="278" t="s">
        <v>143</v>
      </c>
      <c r="DB74" s="279" t="s">
        <v>686</v>
      </c>
      <c r="DC74" s="280" t="s">
        <v>896</v>
      </c>
      <c r="DD74" s="281">
        <v>0</v>
      </c>
      <c r="DE74" s="281">
        <v>12770</v>
      </c>
      <c r="DF74" s="281" t="s">
        <v>897</v>
      </c>
      <c r="DG74" s="282" t="s">
        <v>979</v>
      </c>
      <c r="DH74" s="283" t="s">
        <v>686</v>
      </c>
      <c r="DI74" s="284" t="s">
        <v>760</v>
      </c>
      <c r="DJ74" s="285" t="s">
        <v>693</v>
      </c>
      <c r="DK74" s="286">
        <v>70</v>
      </c>
    </row>
    <row r="75" spans="1:115">
      <c r="A75" s="305" t="s">
        <v>689</v>
      </c>
      <c r="B75" s="305" t="s">
        <v>689</v>
      </c>
      <c r="C75" s="305" t="s">
        <v>467</v>
      </c>
      <c r="D75" s="305" t="s">
        <v>696</v>
      </c>
      <c r="E75" s="305" t="s">
        <v>697</v>
      </c>
      <c r="F75" s="305" t="s">
        <v>698</v>
      </c>
      <c r="G75" s="305" t="s">
        <v>447</v>
      </c>
      <c r="H75" s="305" t="s">
        <v>699</v>
      </c>
      <c r="DA75" s="278" t="s">
        <v>143</v>
      </c>
      <c r="DB75" s="279" t="s">
        <v>689</v>
      </c>
      <c r="DC75" s="280" t="s">
        <v>898</v>
      </c>
      <c r="DD75" s="281">
        <v>200000</v>
      </c>
      <c r="DE75" s="281">
        <v>0</v>
      </c>
      <c r="DF75" s="281" t="s">
        <v>899</v>
      </c>
      <c r="DG75" s="282" t="s">
        <v>942</v>
      </c>
      <c r="DH75" s="283" t="s">
        <v>689</v>
      </c>
      <c r="DI75" s="284" t="s">
        <v>765</v>
      </c>
      <c r="DJ75" s="285" t="s">
        <v>697</v>
      </c>
      <c r="DK75" s="286">
        <v>71</v>
      </c>
    </row>
    <row r="76" spans="1:115">
      <c r="A76" s="305" t="s">
        <v>700</v>
      </c>
      <c r="B76" s="305" t="s">
        <v>700</v>
      </c>
      <c r="C76" s="305" t="s">
        <v>451</v>
      </c>
      <c r="D76" s="305" t="s">
        <v>452</v>
      </c>
      <c r="E76" s="305" t="s">
        <v>701</v>
      </c>
      <c r="F76" s="305" t="s">
        <v>447</v>
      </c>
      <c r="G76" s="305" t="s">
        <v>483</v>
      </c>
      <c r="H76" s="305" t="s">
        <v>702</v>
      </c>
      <c r="DA76" s="278" t="s">
        <v>143</v>
      </c>
      <c r="DB76" s="279" t="s">
        <v>700</v>
      </c>
      <c r="DC76" s="280" t="s">
        <v>900</v>
      </c>
      <c r="DD76" s="281">
        <v>0</v>
      </c>
      <c r="DE76" s="281">
        <v>50000</v>
      </c>
      <c r="DF76" s="281" t="s">
        <v>901</v>
      </c>
      <c r="DG76" s="282" t="s">
        <v>980</v>
      </c>
      <c r="DH76" s="283" t="s">
        <v>700</v>
      </c>
      <c r="DI76" s="284" t="s">
        <v>760</v>
      </c>
      <c r="DJ76" s="285" t="s">
        <v>701</v>
      </c>
      <c r="DK76" s="286">
        <v>72</v>
      </c>
    </row>
    <row r="77" spans="1:115">
      <c r="A77" s="305" t="s">
        <v>703</v>
      </c>
      <c r="B77" s="305" t="s">
        <v>703</v>
      </c>
      <c r="C77" s="305" t="s">
        <v>451</v>
      </c>
      <c r="D77" s="305" t="s">
        <v>704</v>
      </c>
      <c r="E77" s="305" t="s">
        <v>705</v>
      </c>
      <c r="F77" s="305" t="s">
        <v>447</v>
      </c>
      <c r="G77" s="305" t="s">
        <v>706</v>
      </c>
      <c r="H77" s="305" t="s">
        <v>707</v>
      </c>
      <c r="DA77" s="278" t="s">
        <v>143</v>
      </c>
      <c r="DB77" s="279" t="s">
        <v>703</v>
      </c>
      <c r="DC77" s="280" t="s">
        <v>902</v>
      </c>
      <c r="DD77" s="281">
        <v>0</v>
      </c>
      <c r="DE77" s="281">
        <v>58354</v>
      </c>
      <c r="DF77" s="281" t="s">
        <v>903</v>
      </c>
      <c r="DG77" s="306" t="s">
        <v>967</v>
      </c>
      <c r="DH77" s="283" t="s">
        <v>703</v>
      </c>
      <c r="DI77" s="284" t="s">
        <v>760</v>
      </c>
      <c r="DJ77" s="285" t="s">
        <v>705</v>
      </c>
      <c r="DK77" s="286">
        <v>73</v>
      </c>
    </row>
    <row r="78" spans="1:115">
      <c r="A78" s="305" t="s">
        <v>703</v>
      </c>
      <c r="B78" s="305" t="s">
        <v>703</v>
      </c>
      <c r="C78" s="305" t="s">
        <v>451</v>
      </c>
      <c r="D78" s="305" t="s">
        <v>708</v>
      </c>
      <c r="E78" s="305" t="s">
        <v>705</v>
      </c>
      <c r="F78" s="305" t="s">
        <v>447</v>
      </c>
      <c r="G78" s="305" t="s">
        <v>709</v>
      </c>
      <c r="H78" s="305" t="s">
        <v>710</v>
      </c>
      <c r="DA78" s="278" t="s">
        <v>143</v>
      </c>
      <c r="DB78" s="279" t="s">
        <v>703</v>
      </c>
      <c r="DC78" s="280" t="s">
        <v>904</v>
      </c>
      <c r="DD78" s="281">
        <v>0</v>
      </c>
      <c r="DE78" s="281">
        <v>36225</v>
      </c>
      <c r="DF78" s="281" t="s">
        <v>905</v>
      </c>
      <c r="DG78" s="306" t="s">
        <v>967</v>
      </c>
      <c r="DH78" s="283" t="s">
        <v>703</v>
      </c>
      <c r="DI78" s="284" t="s">
        <v>760</v>
      </c>
      <c r="DJ78" s="285" t="s">
        <v>705</v>
      </c>
      <c r="DK78" s="286">
        <v>74</v>
      </c>
    </row>
    <row r="79" spans="1:115">
      <c r="A79" s="305" t="s">
        <v>711</v>
      </c>
      <c r="B79" s="305" t="s">
        <v>711</v>
      </c>
      <c r="C79" s="305" t="s">
        <v>444</v>
      </c>
      <c r="D79" s="305" t="s">
        <v>712</v>
      </c>
      <c r="E79" s="305" t="s">
        <v>713</v>
      </c>
      <c r="F79" s="305" t="s">
        <v>447</v>
      </c>
      <c r="G79" s="305" t="s">
        <v>483</v>
      </c>
      <c r="H79" s="305" t="s">
        <v>714</v>
      </c>
      <c r="DA79" s="278" t="s">
        <v>143</v>
      </c>
      <c r="DB79" s="279" t="s">
        <v>711</v>
      </c>
      <c r="DC79" s="280" t="s">
        <v>906</v>
      </c>
      <c r="DD79" s="281">
        <v>0</v>
      </c>
      <c r="DE79" s="281">
        <v>50000</v>
      </c>
      <c r="DF79" s="281" t="s">
        <v>907</v>
      </c>
      <c r="DG79" s="306" t="s">
        <v>934</v>
      </c>
      <c r="DH79" s="283" t="s">
        <v>711</v>
      </c>
      <c r="DI79" s="284" t="s">
        <v>760</v>
      </c>
      <c r="DJ79" s="285" t="s">
        <v>713</v>
      </c>
      <c r="DK79" s="286">
        <v>75</v>
      </c>
    </row>
    <row r="80" spans="1:115">
      <c r="A80" s="305" t="s">
        <v>715</v>
      </c>
      <c r="B80" s="305" t="s">
        <v>715</v>
      </c>
      <c r="C80" s="305" t="s">
        <v>451</v>
      </c>
      <c r="D80" s="305" t="s">
        <v>716</v>
      </c>
      <c r="E80" s="305" t="s">
        <v>717</v>
      </c>
      <c r="F80" s="305" t="s">
        <v>718</v>
      </c>
      <c r="G80" s="305" t="s">
        <v>447</v>
      </c>
      <c r="H80" s="305" t="s">
        <v>719</v>
      </c>
      <c r="DA80" s="278" t="s">
        <v>143</v>
      </c>
      <c r="DB80" s="279" t="s">
        <v>715</v>
      </c>
      <c r="DC80" s="280" t="s">
        <v>908</v>
      </c>
      <c r="DD80" s="281">
        <v>55646</v>
      </c>
      <c r="DE80" s="281">
        <v>0</v>
      </c>
      <c r="DF80" s="281" t="s">
        <v>909</v>
      </c>
      <c r="DG80" s="282" t="s">
        <v>981</v>
      </c>
      <c r="DH80" s="283" t="s">
        <v>715</v>
      </c>
      <c r="DI80" s="284" t="s">
        <v>765</v>
      </c>
      <c r="DJ80" s="285" t="s">
        <v>717</v>
      </c>
      <c r="DK80" s="286">
        <v>76</v>
      </c>
    </row>
    <row r="81" spans="1:115">
      <c r="A81" s="305" t="s">
        <v>715</v>
      </c>
      <c r="B81" s="305" t="s">
        <v>715</v>
      </c>
      <c r="C81" s="305" t="s">
        <v>451</v>
      </c>
      <c r="D81" s="305" t="s">
        <v>720</v>
      </c>
      <c r="E81" s="305" t="s">
        <v>721</v>
      </c>
      <c r="F81" s="305" t="s">
        <v>698</v>
      </c>
      <c r="G81" s="305" t="s">
        <v>447</v>
      </c>
      <c r="H81" s="305" t="s">
        <v>722</v>
      </c>
      <c r="DA81" s="278" t="s">
        <v>143</v>
      </c>
      <c r="DB81" s="279" t="s">
        <v>715</v>
      </c>
      <c r="DC81" s="280" t="s">
        <v>910</v>
      </c>
      <c r="DD81" s="281">
        <v>200000</v>
      </c>
      <c r="DE81" s="281">
        <v>0</v>
      </c>
      <c r="DF81" s="281" t="s">
        <v>911</v>
      </c>
      <c r="DG81" s="282" t="s">
        <v>982</v>
      </c>
      <c r="DH81" s="283" t="s">
        <v>715</v>
      </c>
      <c r="DI81" s="284" t="s">
        <v>765</v>
      </c>
      <c r="DJ81" s="285" t="s">
        <v>721</v>
      </c>
      <c r="DK81" s="286">
        <v>77</v>
      </c>
    </row>
    <row r="82" spans="1:115">
      <c r="A82" s="305" t="s">
        <v>723</v>
      </c>
      <c r="B82" s="305" t="s">
        <v>723</v>
      </c>
      <c r="C82" s="305" t="s">
        <v>467</v>
      </c>
      <c r="D82" s="305" t="s">
        <v>452</v>
      </c>
      <c r="E82" s="305" t="s">
        <v>724</v>
      </c>
      <c r="F82" s="305" t="s">
        <v>479</v>
      </c>
      <c r="G82" s="305" t="s">
        <v>447</v>
      </c>
      <c r="H82" s="305" t="s">
        <v>725</v>
      </c>
      <c r="DA82" s="278" t="s">
        <v>143</v>
      </c>
      <c r="DB82" s="279" t="s">
        <v>723</v>
      </c>
      <c r="DC82" s="280" t="s">
        <v>912</v>
      </c>
      <c r="DD82" s="281">
        <v>23.6</v>
      </c>
      <c r="DE82" s="281">
        <v>0</v>
      </c>
      <c r="DF82" s="281" t="s">
        <v>913</v>
      </c>
      <c r="DG82" s="282" t="s">
        <v>983</v>
      </c>
      <c r="DH82" s="283" t="s">
        <v>723</v>
      </c>
      <c r="DI82" s="284" t="s">
        <v>765</v>
      </c>
      <c r="DJ82" s="285" t="s">
        <v>724</v>
      </c>
      <c r="DK82" s="286">
        <v>78</v>
      </c>
    </row>
    <row r="83" spans="1:115">
      <c r="A83" s="305" t="s">
        <v>726</v>
      </c>
      <c r="B83" s="305" t="s">
        <v>726</v>
      </c>
      <c r="C83" s="305" t="s">
        <v>451</v>
      </c>
      <c r="D83" s="305" t="s">
        <v>452</v>
      </c>
      <c r="E83" s="305" t="s">
        <v>727</v>
      </c>
      <c r="F83" s="305" t="s">
        <v>447</v>
      </c>
      <c r="G83" s="305" t="s">
        <v>483</v>
      </c>
      <c r="H83" s="305" t="s">
        <v>728</v>
      </c>
      <c r="DA83" s="278" t="s">
        <v>143</v>
      </c>
      <c r="DB83" s="279" t="s">
        <v>726</v>
      </c>
      <c r="DC83" s="280" t="s">
        <v>914</v>
      </c>
      <c r="DD83" s="281">
        <v>0</v>
      </c>
      <c r="DE83" s="281">
        <v>50000</v>
      </c>
      <c r="DF83" s="281" t="s">
        <v>915</v>
      </c>
      <c r="DG83" s="282" t="s">
        <v>984</v>
      </c>
      <c r="DH83" s="283" t="s">
        <v>726</v>
      </c>
      <c r="DI83" s="284" t="s">
        <v>760</v>
      </c>
      <c r="DJ83" s="285" t="s">
        <v>727</v>
      </c>
      <c r="DK83" s="286">
        <v>79</v>
      </c>
    </row>
    <row r="84" spans="1:115">
      <c r="A84" s="305" t="s">
        <v>726</v>
      </c>
      <c r="B84" s="305" t="s">
        <v>726</v>
      </c>
      <c r="C84" s="305" t="s">
        <v>452</v>
      </c>
      <c r="D84" s="305" t="s">
        <v>452</v>
      </c>
      <c r="E84" s="305" t="s">
        <v>729</v>
      </c>
      <c r="F84" s="305" t="s">
        <v>730</v>
      </c>
      <c r="G84" s="305" t="s">
        <v>447</v>
      </c>
      <c r="H84" s="305" t="s">
        <v>731</v>
      </c>
      <c r="DA84" s="278" t="s">
        <v>143</v>
      </c>
      <c r="DB84" s="279" t="s">
        <v>726</v>
      </c>
      <c r="DC84" s="280" t="s">
        <v>916</v>
      </c>
      <c r="DD84" s="281">
        <v>72</v>
      </c>
      <c r="DE84" s="281">
        <v>0</v>
      </c>
      <c r="DF84" s="281" t="s">
        <v>917</v>
      </c>
      <c r="DG84" s="282" t="s">
        <v>729</v>
      </c>
      <c r="DH84" s="283" t="s">
        <v>726</v>
      </c>
      <c r="DI84" s="284" t="s">
        <v>765</v>
      </c>
      <c r="DJ84" s="285" t="s">
        <v>729</v>
      </c>
      <c r="DK84" s="286">
        <v>80</v>
      </c>
    </row>
    <row r="85" spans="1:115">
      <c r="A85" s="305" t="s">
        <v>726</v>
      </c>
      <c r="B85" s="305" t="s">
        <v>726</v>
      </c>
      <c r="C85" s="305" t="s">
        <v>452</v>
      </c>
      <c r="D85" s="305" t="s">
        <v>452</v>
      </c>
      <c r="E85" s="305" t="s">
        <v>732</v>
      </c>
      <c r="F85" s="305" t="s">
        <v>733</v>
      </c>
      <c r="G85" s="305" t="s">
        <v>447</v>
      </c>
      <c r="H85" s="305" t="s">
        <v>734</v>
      </c>
      <c r="DA85" s="278" t="s">
        <v>143</v>
      </c>
      <c r="DB85" s="279" t="s">
        <v>726</v>
      </c>
      <c r="DC85" s="280" t="s">
        <v>918</v>
      </c>
      <c r="DD85" s="281">
        <v>400</v>
      </c>
      <c r="DE85" s="281">
        <v>0</v>
      </c>
      <c r="DF85" s="281" t="s">
        <v>919</v>
      </c>
      <c r="DG85" s="282" t="s">
        <v>985</v>
      </c>
      <c r="DH85" s="283" t="s">
        <v>726</v>
      </c>
      <c r="DI85" s="284" t="s">
        <v>765</v>
      </c>
      <c r="DJ85" s="285" t="s">
        <v>732</v>
      </c>
      <c r="DK85" s="286">
        <v>81</v>
      </c>
    </row>
    <row r="86" spans="1:115">
      <c r="A86" s="305" t="s">
        <v>726</v>
      </c>
      <c r="B86" s="305" t="s">
        <v>726</v>
      </c>
      <c r="C86" s="305" t="s">
        <v>467</v>
      </c>
      <c r="D86" s="305" t="s">
        <v>735</v>
      </c>
      <c r="E86" s="305" t="s">
        <v>674</v>
      </c>
      <c r="F86" s="305" t="s">
        <v>608</v>
      </c>
      <c r="G86" s="305" t="s">
        <v>447</v>
      </c>
      <c r="H86" s="305" t="s">
        <v>736</v>
      </c>
      <c r="DA86" s="278" t="s">
        <v>143</v>
      </c>
      <c r="DB86" s="279" t="s">
        <v>726</v>
      </c>
      <c r="DC86" s="280" t="s">
        <v>920</v>
      </c>
      <c r="DD86" s="281">
        <v>40000</v>
      </c>
      <c r="DE86" s="281">
        <v>0</v>
      </c>
      <c r="DF86" s="281" t="s">
        <v>921</v>
      </c>
      <c r="DG86" s="282" t="s">
        <v>942</v>
      </c>
      <c r="DH86" s="283" t="s">
        <v>726</v>
      </c>
      <c r="DI86" s="284" t="s">
        <v>765</v>
      </c>
      <c r="DJ86" s="285" t="s">
        <v>674</v>
      </c>
      <c r="DK86" s="286">
        <v>82</v>
      </c>
    </row>
    <row r="87" spans="1:115">
      <c r="A87" s="305" t="s">
        <v>726</v>
      </c>
      <c r="B87" s="305" t="s">
        <v>726</v>
      </c>
      <c r="C87" s="305" t="s">
        <v>451</v>
      </c>
      <c r="D87" s="305" t="s">
        <v>737</v>
      </c>
      <c r="E87" s="305" t="s">
        <v>738</v>
      </c>
      <c r="F87" s="305" t="s">
        <v>739</v>
      </c>
      <c r="G87" s="305" t="s">
        <v>447</v>
      </c>
      <c r="H87" s="305" t="s">
        <v>740</v>
      </c>
      <c r="DA87" s="278" t="s">
        <v>143</v>
      </c>
      <c r="DB87" s="279" t="s">
        <v>726</v>
      </c>
      <c r="DC87" s="280" t="s">
        <v>922</v>
      </c>
      <c r="DD87" s="281">
        <v>4788</v>
      </c>
      <c r="DE87" s="281">
        <v>0</v>
      </c>
      <c r="DF87" s="281" t="s">
        <v>923</v>
      </c>
      <c r="DG87" s="282" t="s">
        <v>986</v>
      </c>
      <c r="DH87" s="283" t="s">
        <v>726</v>
      </c>
      <c r="DI87" s="284" t="s">
        <v>765</v>
      </c>
      <c r="DJ87" s="285" t="s">
        <v>738</v>
      </c>
      <c r="DK87" s="286">
        <v>83</v>
      </c>
    </row>
    <row r="88" spans="1:115">
      <c r="A88" s="305" t="s">
        <v>741</v>
      </c>
      <c r="B88" s="305" t="s">
        <v>741</v>
      </c>
      <c r="C88" s="305" t="s">
        <v>451</v>
      </c>
      <c r="D88" s="305" t="s">
        <v>452</v>
      </c>
      <c r="E88" s="305" t="s">
        <v>742</v>
      </c>
      <c r="F88" s="305" t="s">
        <v>447</v>
      </c>
      <c r="G88" s="305" t="s">
        <v>514</v>
      </c>
      <c r="H88" s="305" t="s">
        <v>743</v>
      </c>
      <c r="DA88" s="278" t="s">
        <v>143</v>
      </c>
      <c r="DB88" s="279" t="s">
        <v>741</v>
      </c>
      <c r="DC88" s="280" t="s">
        <v>924</v>
      </c>
      <c r="DD88" s="281">
        <v>0</v>
      </c>
      <c r="DE88" s="281">
        <v>30000</v>
      </c>
      <c r="DF88" s="281" t="s">
        <v>925</v>
      </c>
      <c r="DG88" s="282" t="s">
        <v>987</v>
      </c>
      <c r="DH88" s="283" t="s">
        <v>741</v>
      </c>
      <c r="DI88" s="284" t="s">
        <v>760</v>
      </c>
      <c r="DJ88" s="285" t="s">
        <v>742</v>
      </c>
      <c r="DK88" s="286">
        <v>84</v>
      </c>
    </row>
    <row r="89" spans="1:115">
      <c r="A89" s="305" t="s">
        <v>741</v>
      </c>
      <c r="B89" s="305" t="s">
        <v>741</v>
      </c>
      <c r="C89" s="305" t="s">
        <v>467</v>
      </c>
      <c r="D89" s="305" t="s">
        <v>744</v>
      </c>
      <c r="E89" s="305" t="s">
        <v>674</v>
      </c>
      <c r="F89" s="305" t="s">
        <v>663</v>
      </c>
      <c r="G89" s="305" t="s">
        <v>447</v>
      </c>
      <c r="H89" s="305" t="s">
        <v>745</v>
      </c>
      <c r="DA89" s="278" t="s">
        <v>143</v>
      </c>
      <c r="DB89" s="279" t="s">
        <v>741</v>
      </c>
      <c r="DC89" s="280" t="s">
        <v>926</v>
      </c>
      <c r="DD89" s="281">
        <v>49000</v>
      </c>
      <c r="DE89" s="281">
        <v>0</v>
      </c>
      <c r="DF89" s="281" t="s">
        <v>927</v>
      </c>
      <c r="DG89" s="282" t="s">
        <v>942</v>
      </c>
      <c r="DH89" s="283" t="s">
        <v>741</v>
      </c>
      <c r="DI89" s="284" t="s">
        <v>765</v>
      </c>
      <c r="DJ89" s="285" t="s">
        <v>674</v>
      </c>
      <c r="DK89" s="286">
        <v>85</v>
      </c>
    </row>
    <row r="90" spans="1:115">
      <c r="A90" s="305" t="s">
        <v>741</v>
      </c>
      <c r="B90" s="305" t="s">
        <v>741</v>
      </c>
      <c r="C90" s="305" t="s">
        <v>451</v>
      </c>
      <c r="D90" s="305" t="s">
        <v>746</v>
      </c>
      <c r="E90" s="305" t="s">
        <v>747</v>
      </c>
      <c r="F90" s="305" t="s">
        <v>748</v>
      </c>
      <c r="G90" s="305" t="s">
        <v>447</v>
      </c>
      <c r="H90" s="305" t="s">
        <v>749</v>
      </c>
      <c r="DA90" s="278" t="s">
        <v>143</v>
      </c>
      <c r="DB90" s="279" t="s">
        <v>741</v>
      </c>
      <c r="DC90" s="280" t="s">
        <v>928</v>
      </c>
      <c r="DD90" s="281">
        <v>10800</v>
      </c>
      <c r="DE90" s="281">
        <v>0</v>
      </c>
      <c r="DF90" s="281" t="s">
        <v>929</v>
      </c>
      <c r="DG90" s="282" t="s">
        <v>988</v>
      </c>
      <c r="DH90" s="283" t="s">
        <v>741</v>
      </c>
      <c r="DI90" s="284" t="s">
        <v>765</v>
      </c>
      <c r="DJ90" s="285" t="s">
        <v>747</v>
      </c>
      <c r="DK90" s="286">
        <v>86</v>
      </c>
    </row>
    <row r="91" spans="1:115">
      <c r="A91" s="305" t="s">
        <v>750</v>
      </c>
      <c r="B91" s="305" t="s">
        <v>750</v>
      </c>
      <c r="C91" s="305" t="s">
        <v>451</v>
      </c>
      <c r="D91" s="305" t="s">
        <v>751</v>
      </c>
      <c r="E91" s="305" t="s">
        <v>752</v>
      </c>
      <c r="F91" s="305" t="s">
        <v>447</v>
      </c>
      <c r="G91" s="305" t="s">
        <v>753</v>
      </c>
      <c r="H91" s="305" t="s">
        <v>754</v>
      </c>
      <c r="DA91" s="278" t="s">
        <v>143</v>
      </c>
      <c r="DB91" s="279" t="s">
        <v>750</v>
      </c>
      <c r="DC91" s="280" t="s">
        <v>930</v>
      </c>
      <c r="DD91" s="281">
        <v>0</v>
      </c>
      <c r="DE91" s="281">
        <v>150000</v>
      </c>
      <c r="DF91" s="281" t="s">
        <v>931</v>
      </c>
      <c r="DG91" s="306" t="s">
        <v>989</v>
      </c>
      <c r="DH91" s="283" t="s">
        <v>750</v>
      </c>
      <c r="DI91" s="284" t="s">
        <v>760</v>
      </c>
      <c r="DJ91" s="285" t="s">
        <v>752</v>
      </c>
      <c r="DK91" s="286">
        <v>87</v>
      </c>
    </row>
    <row r="92" spans="1:115">
      <c r="A92" s="305" t="s">
        <v>750</v>
      </c>
      <c r="B92" s="305" t="s">
        <v>750</v>
      </c>
      <c r="C92" s="305" t="s">
        <v>451</v>
      </c>
      <c r="D92" s="305" t="s">
        <v>755</v>
      </c>
      <c r="E92" s="305" t="s">
        <v>756</v>
      </c>
      <c r="F92" s="305" t="s">
        <v>555</v>
      </c>
      <c r="G92" s="305" t="s">
        <v>447</v>
      </c>
      <c r="H92" s="305" t="s">
        <v>757</v>
      </c>
      <c r="DA92" s="278" t="s">
        <v>143</v>
      </c>
      <c r="DB92" s="279" t="s">
        <v>750</v>
      </c>
      <c r="DC92" s="280" t="s">
        <v>932</v>
      </c>
      <c r="DD92" s="281">
        <v>100000</v>
      </c>
      <c r="DE92" s="281">
        <v>0</v>
      </c>
      <c r="DF92" s="281" t="s">
        <v>933</v>
      </c>
      <c r="DG92" s="282" t="s">
        <v>990</v>
      </c>
      <c r="DH92" s="283" t="s">
        <v>750</v>
      </c>
      <c r="DI92" s="284" t="s">
        <v>765</v>
      </c>
      <c r="DJ92" s="285" t="s">
        <v>756</v>
      </c>
      <c r="DK92" s="286">
        <v>88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 DH5:DH92 DJ5:DJ92 DA5:DA92" name="Range1_11"/>
    <protectedRange algorithmName="SHA-512" hashValue="FeHjunJeBmEIe1Z+x4LSLD0xeXKoeHqEB4mLNgYC3pUDxBFAiT2e1scH7F48tQXpPGOh+9Z9iw2K5jb0kUxFkQ==" saltValue="Arxg+XESKZddo6Y2q+NDbg==" spinCount="100000" sqref="DD3:DF3 DD5:DF92" name="Range1_1_8"/>
    <protectedRange algorithmName="SHA-512" hashValue="FeHjunJeBmEIe1Z+x4LSLD0xeXKoeHqEB4mLNgYC3pUDxBFAiT2e1scH7F48tQXpPGOh+9Z9iw2K5jb0kUxFkQ==" saltValue="Arxg+XESKZddo6Y2q+NDbg==" spinCount="100000" sqref="DI3 DI5:DI92" name="Range1_2_8"/>
    <protectedRange algorithmName="SHA-512" hashValue="FeHjunJeBmEIe1Z+x4LSLD0xeXKoeHqEB4mLNgYC3pUDxBFAiT2e1scH7F48tQXpPGOh+9Z9iw2K5jb0kUxFkQ==" saltValue="Arxg+XESKZddo6Y2q+NDbg==" spinCount="100000" sqref="DK3 DK5:DK92" name="Range1_3_7"/>
    <protectedRange algorithmName="SHA-512" hashValue="FeHjunJeBmEIe1Z+x4LSLD0xeXKoeHqEB4mLNgYC3pUDxBFAiT2e1scH7F48tQXpPGOh+9Z9iw2K5jb0kUxFkQ==" saltValue="Arxg+XESKZddo6Y2q+NDbg==" spinCount="100000" sqref="DB3 DB5:DB92" name="Range1_4_1"/>
    <protectedRange algorithmName="SHA-512" hashValue="FeHjunJeBmEIe1Z+x4LSLD0xeXKoeHqEB4mLNgYC3pUDxBFAiT2e1scH7F48tQXpPGOh+9Z9iw2K5jb0kUxFkQ==" saltValue="Arxg+XESKZddo6Y2q+NDbg==" spinCount="100000" sqref="DC3 DC5:DC92" name="Range1_5"/>
  </protectedRanges>
  <conditionalFormatting sqref="E3 I1:I2">
    <cfRule type="cellIs" dxfId="552" priority="10" operator="equal">
      <formula>#N/A</formula>
    </cfRule>
  </conditionalFormatting>
  <conditionalFormatting sqref="H1">
    <cfRule type="cellIs" dxfId="551" priority="9" operator="equal">
      <formula>#N/A</formula>
    </cfRule>
  </conditionalFormatting>
  <conditionalFormatting sqref="E1">
    <cfRule type="cellIs" dxfId="550" priority="8" operator="equal">
      <formula>#N/A</formula>
    </cfRule>
  </conditionalFormatting>
  <conditionalFormatting sqref="I1">
    <cfRule type="containsText" dxfId="549" priority="6" operator="containsText" text="All Data Import Successfully">
      <formula>NOT(ISERROR(SEARCH("All Data Import Successfully",I1)))</formula>
    </cfRule>
    <cfRule type="containsText" dxfId="548" priority="7" operator="containsText" text="Difference Entry">
      <formula>NOT(ISERROR(SEARCH("Difference Entry",I1)))</formula>
    </cfRule>
  </conditionalFormatting>
  <conditionalFormatting sqref="DG2">
    <cfRule type="cellIs" dxfId="547" priority="5" operator="equal">
      <formula>#N/A</formula>
    </cfRule>
  </conditionalFormatting>
  <conditionalFormatting sqref="DH2:DI2">
    <cfRule type="cellIs" dxfId="546" priority="4" operator="equal">
      <formula>#N/A</formula>
    </cfRule>
  </conditionalFormatting>
  <conditionalFormatting sqref="E2:G2">
    <cfRule type="cellIs" dxfId="545" priority="3" operator="equal">
      <formula>#N/A</formula>
    </cfRule>
  </conditionalFormatting>
  <conditionalFormatting sqref="H2">
    <cfRule type="cellIs" dxfId="544" priority="2" operator="equal">
      <formula>#N/A</formula>
    </cfRule>
  </conditionalFormatting>
  <conditionalFormatting sqref="I2">
    <cfRule type="cellIs" dxfId="54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51">
    <tabColor theme="8" tint="0.79998168889431442"/>
  </sheetPr>
  <dimension ref="A1:DZ92"/>
  <sheetViews>
    <sheetView workbookViewId="0">
      <selection activeCell="B16" sqref="B16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199</v>
      </c>
      <c r="T1" s="92">
        <v>7</v>
      </c>
      <c r="U1" s="92" t="s">
        <v>180</v>
      </c>
      <c r="V1" s="92" t="s">
        <v>171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88</v>
      </c>
      <c r="F2" s="11">
        <f>+COUNTIF($DE:$DE,"&gt;"&amp;0)</f>
        <v>38</v>
      </c>
      <c r="G2" s="11">
        <f>+COUNTIF($DD:$DD,"&gt;"&amp;0)</f>
        <v>50</v>
      </c>
      <c r="H2" s="12">
        <f>+F2+G2</f>
        <v>88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310</v>
      </c>
      <c r="B3" s="56"/>
      <c r="C3" s="55"/>
      <c r="D3" s="55"/>
      <c r="E3" s="57"/>
      <c r="F3" s="55"/>
      <c r="G3" s="58"/>
      <c r="H3" s="59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CENTRAL BANK OF INDIA</v>
      </c>
      <c r="DB3" s="24" t="e">
        <f>+VALUE(A3)</f>
        <v>#VALUE!</v>
      </c>
      <c r="DC3" s="25" t="e">
        <f>+CONCATENATE(TEXT(DB3,"D"),"",TEXT(DB3,"MM"),"","/",SUBSTITUTE(DF3,",",""),"/",DK3)</f>
        <v>#VALUE!</v>
      </c>
      <c r="DD3" s="26">
        <f>IF(OR(F3="", F3=" "), 0, IFERROR(VALUE(SUBSTITUTE(TRIM(F3), ",", "")), 0))</f>
        <v>0</v>
      </c>
      <c r="DE3" s="26">
        <f>IF(OR(G3="", G3=" "), 0, IFERROR(VALUE(SUBSTITUTE(TRIM(G3), ",", "")), 0))</f>
        <v>0</v>
      </c>
      <c r="DF3" s="26">
        <f>+IF(OR(H3="",H3=" "),VALUE("0"),VALUE(SUBSTITUTE(SUBSTITUTE((TRIM(H3)),",",""),"CR","")))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2" t="s">
        <v>311</v>
      </c>
      <c r="B4" s="213" t="s">
        <v>312</v>
      </c>
      <c r="C4" s="213" t="s">
        <v>313</v>
      </c>
      <c r="D4" s="213" t="s">
        <v>314</v>
      </c>
      <c r="E4" s="213" t="s">
        <v>315</v>
      </c>
      <c r="F4" s="214" t="s">
        <v>316</v>
      </c>
      <c r="G4" s="213" t="s">
        <v>317</v>
      </c>
      <c r="H4" s="215" t="s">
        <v>318</v>
      </c>
      <c r="DA4" s="38" t="str">
        <f>+DA3</f>
        <v>CENTRAL BANK OF INDIA</v>
      </c>
    </row>
    <row r="5" spans="1:130">
      <c r="A5" s="305" t="s">
        <v>443</v>
      </c>
      <c r="B5" s="305" t="s">
        <v>443</v>
      </c>
      <c r="C5" s="305" t="s">
        <v>444</v>
      </c>
      <c r="D5" s="305" t="s">
        <v>445</v>
      </c>
      <c r="E5" s="305" t="s">
        <v>446</v>
      </c>
      <c r="F5" s="305" t="s">
        <v>447</v>
      </c>
      <c r="G5" s="305" t="s">
        <v>448</v>
      </c>
      <c r="H5" s="305" t="s">
        <v>449</v>
      </c>
      <c r="DA5" s="278" t="s">
        <v>310</v>
      </c>
      <c r="DB5" s="279">
        <v>45688</v>
      </c>
      <c r="DC5" s="280" t="s">
        <v>991</v>
      </c>
      <c r="DD5" s="281">
        <v>0</v>
      </c>
      <c r="DE5" s="281">
        <v>30451</v>
      </c>
      <c r="DF5" s="281">
        <v>217889.7</v>
      </c>
      <c r="DG5" s="306" t="s">
        <v>934</v>
      </c>
      <c r="DH5" s="284">
        <v>45688</v>
      </c>
      <c r="DI5" s="284" t="s">
        <v>760</v>
      </c>
      <c r="DJ5" s="285" t="s">
        <v>446</v>
      </c>
      <c r="DK5" s="286">
        <v>1</v>
      </c>
    </row>
    <row r="6" spans="1:130">
      <c r="A6" s="305" t="s">
        <v>450</v>
      </c>
      <c r="B6" s="305" t="s">
        <v>450</v>
      </c>
      <c r="C6" s="305" t="s">
        <v>451</v>
      </c>
      <c r="D6" s="305" t="s">
        <v>452</v>
      </c>
      <c r="E6" s="305" t="s">
        <v>453</v>
      </c>
      <c r="F6" s="305"/>
      <c r="G6" s="305" t="s">
        <v>454</v>
      </c>
      <c r="H6" s="305" t="s">
        <v>455</v>
      </c>
      <c r="DA6" s="278" t="s">
        <v>310</v>
      </c>
      <c r="DB6" s="279">
        <v>45687</v>
      </c>
      <c r="DC6" s="280" t="s">
        <v>992</v>
      </c>
      <c r="DD6" s="281">
        <v>0</v>
      </c>
      <c r="DE6" s="281">
        <v>36190</v>
      </c>
      <c r="DF6" s="281">
        <v>187438.7</v>
      </c>
      <c r="DG6" s="282" t="s">
        <v>935</v>
      </c>
      <c r="DH6" s="284">
        <v>45687</v>
      </c>
      <c r="DI6" s="284" t="s">
        <v>760</v>
      </c>
      <c r="DJ6" s="285" t="s">
        <v>453</v>
      </c>
      <c r="DK6" s="286">
        <v>2</v>
      </c>
    </row>
    <row r="7" spans="1:130">
      <c r="A7" s="305" t="s">
        <v>450</v>
      </c>
      <c r="B7" s="305" t="s">
        <v>450</v>
      </c>
      <c r="C7" s="305" t="s">
        <v>456</v>
      </c>
      <c r="D7" s="305" t="s">
        <v>452</v>
      </c>
      <c r="E7" s="305" t="s">
        <v>457</v>
      </c>
      <c r="F7" s="305" t="s">
        <v>458</v>
      </c>
      <c r="G7" s="305" t="s">
        <v>447</v>
      </c>
      <c r="H7" s="305" t="s">
        <v>459</v>
      </c>
      <c r="DA7" s="278" t="s">
        <v>310</v>
      </c>
      <c r="DB7" s="279">
        <v>45687</v>
      </c>
      <c r="DC7" s="280" t="s">
        <v>993</v>
      </c>
      <c r="DD7" s="281">
        <v>10000</v>
      </c>
      <c r="DE7" s="281">
        <v>0</v>
      </c>
      <c r="DF7" s="281">
        <v>151248.70000000001</v>
      </c>
      <c r="DG7" s="282" t="s">
        <v>936</v>
      </c>
      <c r="DH7" s="284">
        <v>45687</v>
      </c>
      <c r="DI7" s="284" t="s">
        <v>765</v>
      </c>
      <c r="DJ7" s="285" t="s">
        <v>457</v>
      </c>
      <c r="DK7" s="286">
        <v>3</v>
      </c>
    </row>
    <row r="8" spans="1:130">
      <c r="A8" s="305" t="s">
        <v>450</v>
      </c>
      <c r="B8" s="305" t="s">
        <v>450</v>
      </c>
      <c r="C8" s="305" t="s">
        <v>456</v>
      </c>
      <c r="D8" s="305" t="s">
        <v>452</v>
      </c>
      <c r="E8" s="305" t="s">
        <v>457</v>
      </c>
      <c r="F8" s="305" t="s">
        <v>460</v>
      </c>
      <c r="G8" s="305" t="s">
        <v>447</v>
      </c>
      <c r="H8" s="305" t="s">
        <v>461</v>
      </c>
      <c r="DA8" s="278" t="s">
        <v>310</v>
      </c>
      <c r="DB8" s="279">
        <v>45687</v>
      </c>
      <c r="DC8" s="280" t="s">
        <v>994</v>
      </c>
      <c r="DD8" s="281">
        <v>1100</v>
      </c>
      <c r="DE8" s="281">
        <v>0</v>
      </c>
      <c r="DF8" s="281">
        <v>161248.70000000001</v>
      </c>
      <c r="DG8" s="282" t="s">
        <v>936</v>
      </c>
      <c r="DH8" s="284">
        <v>45687</v>
      </c>
      <c r="DI8" s="284" t="s">
        <v>765</v>
      </c>
      <c r="DJ8" s="285" t="s">
        <v>457</v>
      </c>
      <c r="DK8" s="286">
        <v>4</v>
      </c>
    </row>
    <row r="9" spans="1:130">
      <c r="A9" s="305" t="s">
        <v>450</v>
      </c>
      <c r="B9" s="305" t="s">
        <v>450</v>
      </c>
      <c r="C9" s="305" t="s">
        <v>451</v>
      </c>
      <c r="D9" s="305" t="s">
        <v>462</v>
      </c>
      <c r="E9" s="305" t="s">
        <v>463</v>
      </c>
      <c r="F9" s="305" t="s">
        <v>447</v>
      </c>
      <c r="G9" s="305" t="s">
        <v>464</v>
      </c>
      <c r="H9" s="305" t="s">
        <v>465</v>
      </c>
      <c r="DA9" s="278" t="s">
        <v>310</v>
      </c>
      <c r="DB9" s="279">
        <v>45687</v>
      </c>
      <c r="DC9" s="280" t="s">
        <v>995</v>
      </c>
      <c r="DD9" s="281">
        <v>0</v>
      </c>
      <c r="DE9" s="281">
        <v>49710</v>
      </c>
      <c r="DF9" s="281">
        <v>162348.70000000001</v>
      </c>
      <c r="DG9" s="306" t="s">
        <v>937</v>
      </c>
      <c r="DH9" s="284">
        <v>45687</v>
      </c>
      <c r="DI9" s="284" t="s">
        <v>760</v>
      </c>
      <c r="DJ9" s="285" t="s">
        <v>463</v>
      </c>
      <c r="DK9" s="286">
        <v>5</v>
      </c>
    </row>
    <row r="10" spans="1:130">
      <c r="A10" s="305" t="s">
        <v>466</v>
      </c>
      <c r="B10" s="305" t="s">
        <v>466</v>
      </c>
      <c r="C10" s="305" t="s">
        <v>467</v>
      </c>
      <c r="D10" s="305" t="s">
        <v>452</v>
      </c>
      <c r="E10" s="305" t="s">
        <v>468</v>
      </c>
      <c r="F10" s="305" t="s">
        <v>469</v>
      </c>
      <c r="G10" s="305" t="s">
        <v>447</v>
      </c>
      <c r="H10" s="305" t="s">
        <v>470</v>
      </c>
      <c r="DA10" s="278" t="s">
        <v>310</v>
      </c>
      <c r="DB10" s="279">
        <v>45685</v>
      </c>
      <c r="DC10" s="280" t="s">
        <v>996</v>
      </c>
      <c r="DD10" s="281">
        <v>20000</v>
      </c>
      <c r="DE10" s="281">
        <v>0</v>
      </c>
      <c r="DF10" s="281">
        <v>112638.7</v>
      </c>
      <c r="DG10" s="282" t="s">
        <v>938</v>
      </c>
      <c r="DH10" s="284">
        <v>45685</v>
      </c>
      <c r="DI10" s="284" t="s">
        <v>765</v>
      </c>
      <c r="DJ10" s="285" t="s">
        <v>468</v>
      </c>
      <c r="DK10" s="286">
        <v>6</v>
      </c>
    </row>
    <row r="11" spans="1:130">
      <c r="A11" s="305" t="s">
        <v>471</v>
      </c>
      <c r="B11" s="305" t="s">
        <v>471</v>
      </c>
      <c r="C11" s="305" t="s">
        <v>456</v>
      </c>
      <c r="D11" s="305" t="s">
        <v>452</v>
      </c>
      <c r="E11" s="305" t="s">
        <v>457</v>
      </c>
      <c r="F11" s="305" t="s">
        <v>469</v>
      </c>
      <c r="G11" s="305" t="s">
        <v>447</v>
      </c>
      <c r="H11" s="305" t="s">
        <v>472</v>
      </c>
      <c r="DA11" s="278" t="s">
        <v>310</v>
      </c>
      <c r="DB11" s="279">
        <v>45683</v>
      </c>
      <c r="DC11" s="280" t="s">
        <v>997</v>
      </c>
      <c r="DD11" s="281">
        <v>20000</v>
      </c>
      <c r="DE11" s="281">
        <v>0</v>
      </c>
      <c r="DF11" s="281">
        <v>132638.70000000001</v>
      </c>
      <c r="DG11" s="282" t="s">
        <v>936</v>
      </c>
      <c r="DH11" s="284">
        <v>45683</v>
      </c>
      <c r="DI11" s="284" t="s">
        <v>765</v>
      </c>
      <c r="DJ11" s="285" t="s">
        <v>457</v>
      </c>
      <c r="DK11" s="286">
        <v>7</v>
      </c>
    </row>
    <row r="12" spans="1:130">
      <c r="A12" s="305" t="s">
        <v>473</v>
      </c>
      <c r="B12" s="305" t="s">
        <v>473</v>
      </c>
      <c r="C12" s="305" t="s">
        <v>451</v>
      </c>
      <c r="D12" s="305" t="s">
        <v>452</v>
      </c>
      <c r="E12" s="305" t="s">
        <v>474</v>
      </c>
      <c r="F12" s="305" t="s">
        <v>447</v>
      </c>
      <c r="G12" s="305" t="s">
        <v>475</v>
      </c>
      <c r="H12" s="305" t="s">
        <v>476</v>
      </c>
      <c r="DA12" s="278" t="s">
        <v>310</v>
      </c>
      <c r="DB12" s="279">
        <v>45681</v>
      </c>
      <c r="DC12" s="280" t="s">
        <v>998</v>
      </c>
      <c r="DD12" s="281">
        <v>0</v>
      </c>
      <c r="DE12" s="281">
        <v>35000</v>
      </c>
      <c r="DF12" s="281">
        <v>152638.70000000001</v>
      </c>
      <c r="DG12" s="282" t="s">
        <v>939</v>
      </c>
      <c r="DH12" s="284">
        <v>45681</v>
      </c>
      <c r="DI12" s="284" t="s">
        <v>760</v>
      </c>
      <c r="DJ12" s="285" t="s">
        <v>474</v>
      </c>
      <c r="DK12" s="286">
        <v>8</v>
      </c>
    </row>
    <row r="13" spans="1:130">
      <c r="A13" s="305" t="s">
        <v>477</v>
      </c>
      <c r="B13" s="305" t="s">
        <v>477</v>
      </c>
      <c r="C13" s="305" t="s">
        <v>467</v>
      </c>
      <c r="D13" s="305" t="s">
        <v>452</v>
      </c>
      <c r="E13" s="305" t="s">
        <v>478</v>
      </c>
      <c r="F13" s="305" t="s">
        <v>479</v>
      </c>
      <c r="G13" s="305" t="s">
        <v>447</v>
      </c>
      <c r="H13" s="305" t="s">
        <v>480</v>
      </c>
      <c r="DA13" s="278" t="s">
        <v>310</v>
      </c>
      <c r="DB13" s="279">
        <v>45680</v>
      </c>
      <c r="DC13" s="280" t="s">
        <v>999</v>
      </c>
      <c r="DD13" s="281">
        <v>23.6</v>
      </c>
      <c r="DE13" s="281">
        <v>0</v>
      </c>
      <c r="DF13" s="281">
        <v>117638.7</v>
      </c>
      <c r="DG13" s="282" t="s">
        <v>940</v>
      </c>
      <c r="DH13" s="284">
        <v>45680</v>
      </c>
      <c r="DI13" s="284" t="s">
        <v>765</v>
      </c>
      <c r="DJ13" s="285" t="s">
        <v>478</v>
      </c>
      <c r="DK13" s="286">
        <v>9</v>
      </c>
    </row>
    <row r="14" spans="1:130">
      <c r="A14" s="305" t="s">
        <v>481</v>
      </c>
      <c r="B14" s="305" t="s">
        <v>481</v>
      </c>
      <c r="C14" s="305" t="s">
        <v>451</v>
      </c>
      <c r="D14" s="305" t="s">
        <v>452</v>
      </c>
      <c r="E14" s="305" t="s">
        <v>482</v>
      </c>
      <c r="F14" s="305" t="s">
        <v>447</v>
      </c>
      <c r="G14" s="305" t="s">
        <v>483</v>
      </c>
      <c r="H14" s="305" t="s">
        <v>484</v>
      </c>
      <c r="DA14" s="278" t="s">
        <v>310</v>
      </c>
      <c r="DB14" s="279">
        <v>45679</v>
      </c>
      <c r="DC14" s="280" t="s">
        <v>1000</v>
      </c>
      <c r="DD14" s="281">
        <v>0</v>
      </c>
      <c r="DE14" s="281">
        <v>50000</v>
      </c>
      <c r="DF14" s="281">
        <v>117662.3</v>
      </c>
      <c r="DG14" s="282" t="s">
        <v>941</v>
      </c>
      <c r="DH14" s="284">
        <v>45679</v>
      </c>
      <c r="DI14" s="284" t="s">
        <v>760</v>
      </c>
      <c r="DJ14" s="285" t="s">
        <v>482</v>
      </c>
      <c r="DK14" s="286">
        <v>10</v>
      </c>
    </row>
    <row r="15" spans="1:130">
      <c r="A15" s="305" t="s">
        <v>481</v>
      </c>
      <c r="B15" s="305" t="s">
        <v>481</v>
      </c>
      <c r="C15" s="305" t="s">
        <v>456</v>
      </c>
      <c r="D15" s="305" t="s">
        <v>485</v>
      </c>
      <c r="E15" s="305" t="s">
        <v>486</v>
      </c>
      <c r="F15" s="305" t="s">
        <v>475</v>
      </c>
      <c r="G15" s="305" t="s">
        <v>447</v>
      </c>
      <c r="H15" s="305" t="s">
        <v>487</v>
      </c>
      <c r="DA15" s="278" t="s">
        <v>310</v>
      </c>
      <c r="DB15" s="279">
        <v>45679</v>
      </c>
      <c r="DC15" s="280" t="s">
        <v>1001</v>
      </c>
      <c r="DD15" s="281">
        <v>35000</v>
      </c>
      <c r="DE15" s="281">
        <v>0</v>
      </c>
      <c r="DF15" s="281">
        <v>67662.3</v>
      </c>
      <c r="DG15" s="282" t="s">
        <v>942</v>
      </c>
      <c r="DH15" s="284">
        <v>45679</v>
      </c>
      <c r="DI15" s="284" t="s">
        <v>765</v>
      </c>
      <c r="DJ15" s="285" t="s">
        <v>486</v>
      </c>
      <c r="DK15" s="286">
        <v>11</v>
      </c>
    </row>
    <row r="16" spans="1:130">
      <c r="A16" s="305" t="s">
        <v>481</v>
      </c>
      <c r="B16" s="305" t="s">
        <v>481</v>
      </c>
      <c r="C16" s="305" t="s">
        <v>451</v>
      </c>
      <c r="D16" s="305" t="s">
        <v>452</v>
      </c>
      <c r="E16" s="305" t="s">
        <v>488</v>
      </c>
      <c r="F16" s="305" t="s">
        <v>447</v>
      </c>
      <c r="G16" s="305" t="s">
        <v>483</v>
      </c>
      <c r="H16" s="305" t="s">
        <v>489</v>
      </c>
      <c r="DA16" s="278" t="s">
        <v>310</v>
      </c>
      <c r="DB16" s="279">
        <v>45679</v>
      </c>
      <c r="DC16" s="280" t="s">
        <v>1002</v>
      </c>
      <c r="DD16" s="281">
        <v>0</v>
      </c>
      <c r="DE16" s="281">
        <v>50000</v>
      </c>
      <c r="DF16" s="281">
        <v>102662.3</v>
      </c>
      <c r="DG16" s="282" t="s">
        <v>943</v>
      </c>
      <c r="DH16" s="284">
        <v>45679</v>
      </c>
      <c r="DI16" s="284" t="s">
        <v>760</v>
      </c>
      <c r="DJ16" s="285" t="s">
        <v>488</v>
      </c>
      <c r="DK16" s="286">
        <v>12</v>
      </c>
    </row>
    <row r="17" spans="1:115">
      <c r="A17" s="305" t="s">
        <v>490</v>
      </c>
      <c r="B17" s="305" t="s">
        <v>490</v>
      </c>
      <c r="C17" s="305" t="s">
        <v>456</v>
      </c>
      <c r="D17" s="305" t="s">
        <v>452</v>
      </c>
      <c r="E17" s="305" t="s">
        <v>457</v>
      </c>
      <c r="F17" s="305" t="s">
        <v>491</v>
      </c>
      <c r="G17" s="305" t="s">
        <v>447</v>
      </c>
      <c r="H17" s="305" t="s">
        <v>492</v>
      </c>
      <c r="DA17" s="278" t="s">
        <v>310</v>
      </c>
      <c r="DB17" s="279">
        <v>45678</v>
      </c>
      <c r="DC17" s="280" t="s">
        <v>1003</v>
      </c>
      <c r="DD17" s="281">
        <v>15000</v>
      </c>
      <c r="DE17" s="281">
        <v>0</v>
      </c>
      <c r="DF17" s="281">
        <v>52662.3</v>
      </c>
      <c r="DG17" s="282" t="s">
        <v>936</v>
      </c>
      <c r="DH17" s="284">
        <v>45678</v>
      </c>
      <c r="DI17" s="284" t="s">
        <v>765</v>
      </c>
      <c r="DJ17" s="285" t="s">
        <v>457</v>
      </c>
      <c r="DK17" s="286">
        <v>13</v>
      </c>
    </row>
    <row r="18" spans="1:115">
      <c r="A18" s="305" t="s">
        <v>490</v>
      </c>
      <c r="B18" s="305" t="s">
        <v>490</v>
      </c>
      <c r="C18" s="305" t="s">
        <v>451</v>
      </c>
      <c r="D18" s="305" t="s">
        <v>452</v>
      </c>
      <c r="E18" s="305" t="s">
        <v>493</v>
      </c>
      <c r="F18" s="305" t="s">
        <v>447</v>
      </c>
      <c r="G18" s="305" t="s">
        <v>483</v>
      </c>
      <c r="H18" s="305" t="s">
        <v>487</v>
      </c>
      <c r="DA18" s="278" t="s">
        <v>310</v>
      </c>
      <c r="DB18" s="279">
        <v>45678</v>
      </c>
      <c r="DC18" s="280" t="s">
        <v>1004</v>
      </c>
      <c r="DD18" s="281">
        <v>0</v>
      </c>
      <c r="DE18" s="281">
        <v>50000</v>
      </c>
      <c r="DF18" s="281">
        <v>67662.3</v>
      </c>
      <c r="DG18" s="282" t="s">
        <v>944</v>
      </c>
      <c r="DH18" s="284">
        <v>45678</v>
      </c>
      <c r="DI18" s="284" t="s">
        <v>760</v>
      </c>
      <c r="DJ18" s="285" t="s">
        <v>493</v>
      </c>
      <c r="DK18" s="286">
        <v>14</v>
      </c>
    </row>
    <row r="19" spans="1:115">
      <c r="A19" s="305" t="s">
        <v>494</v>
      </c>
      <c r="B19" s="305" t="s">
        <v>494</v>
      </c>
      <c r="C19" s="305" t="s">
        <v>495</v>
      </c>
      <c r="D19" s="305" t="s">
        <v>452</v>
      </c>
      <c r="E19" s="305" t="s">
        <v>496</v>
      </c>
      <c r="F19" s="305" t="s">
        <v>458</v>
      </c>
      <c r="G19" s="305" t="s">
        <v>447</v>
      </c>
      <c r="H19" s="305" t="s">
        <v>497</v>
      </c>
      <c r="DA19" s="278" t="s">
        <v>310</v>
      </c>
      <c r="DB19" s="279">
        <v>45673</v>
      </c>
      <c r="DC19" s="280" t="s">
        <v>1005</v>
      </c>
      <c r="DD19" s="281">
        <v>10000</v>
      </c>
      <c r="DE19" s="281">
        <v>0</v>
      </c>
      <c r="DF19" s="281">
        <v>17662.3</v>
      </c>
      <c r="DG19" s="282" t="s">
        <v>945</v>
      </c>
      <c r="DH19" s="284">
        <v>45673</v>
      </c>
      <c r="DI19" s="284" t="s">
        <v>765</v>
      </c>
      <c r="DJ19" s="285" t="s">
        <v>496</v>
      </c>
      <c r="DK19" s="286">
        <v>15</v>
      </c>
    </row>
    <row r="20" spans="1:115">
      <c r="A20" s="305" t="s">
        <v>494</v>
      </c>
      <c r="B20" s="305" t="s">
        <v>494</v>
      </c>
      <c r="C20" s="305" t="s">
        <v>495</v>
      </c>
      <c r="D20" s="305" t="s">
        <v>452</v>
      </c>
      <c r="E20" s="305" t="s">
        <v>496</v>
      </c>
      <c r="F20" s="305" t="s">
        <v>458</v>
      </c>
      <c r="G20" s="305" t="s">
        <v>447</v>
      </c>
      <c r="H20" s="305" t="s">
        <v>498</v>
      </c>
      <c r="DA20" s="278" t="s">
        <v>310</v>
      </c>
      <c r="DB20" s="279">
        <v>45673</v>
      </c>
      <c r="DC20" s="280" t="s">
        <v>1006</v>
      </c>
      <c r="DD20" s="281">
        <v>10000</v>
      </c>
      <c r="DE20" s="281">
        <v>0</v>
      </c>
      <c r="DF20" s="281">
        <v>27662.3</v>
      </c>
      <c r="DG20" s="282" t="s">
        <v>945</v>
      </c>
      <c r="DH20" s="284">
        <v>45673</v>
      </c>
      <c r="DI20" s="284" t="s">
        <v>765</v>
      </c>
      <c r="DJ20" s="285" t="s">
        <v>496</v>
      </c>
      <c r="DK20" s="286">
        <v>16</v>
      </c>
    </row>
    <row r="21" spans="1:115">
      <c r="A21" s="305" t="s">
        <v>494</v>
      </c>
      <c r="B21" s="305" t="s">
        <v>494</v>
      </c>
      <c r="C21" s="305" t="s">
        <v>495</v>
      </c>
      <c r="D21" s="305" t="s">
        <v>452</v>
      </c>
      <c r="E21" s="305" t="s">
        <v>496</v>
      </c>
      <c r="F21" s="305" t="s">
        <v>458</v>
      </c>
      <c r="G21" s="305" t="s">
        <v>447</v>
      </c>
      <c r="H21" s="305" t="s">
        <v>499</v>
      </c>
      <c r="DA21" s="278" t="s">
        <v>310</v>
      </c>
      <c r="DB21" s="279">
        <v>45673</v>
      </c>
      <c r="DC21" s="280" t="s">
        <v>1007</v>
      </c>
      <c r="DD21" s="281">
        <v>10000</v>
      </c>
      <c r="DE21" s="281">
        <v>0</v>
      </c>
      <c r="DF21" s="281">
        <v>37662.300000000003</v>
      </c>
      <c r="DG21" s="282" t="s">
        <v>945</v>
      </c>
      <c r="DH21" s="284">
        <v>45673</v>
      </c>
      <c r="DI21" s="284" t="s">
        <v>765</v>
      </c>
      <c r="DJ21" s="285" t="s">
        <v>496</v>
      </c>
      <c r="DK21" s="286">
        <v>17</v>
      </c>
    </row>
    <row r="22" spans="1:115">
      <c r="A22" s="305" t="s">
        <v>500</v>
      </c>
      <c r="B22" s="305" t="s">
        <v>500</v>
      </c>
      <c r="C22" s="305" t="s">
        <v>495</v>
      </c>
      <c r="D22" s="305" t="s">
        <v>452</v>
      </c>
      <c r="E22" s="305" t="s">
        <v>501</v>
      </c>
      <c r="F22" s="305" t="s">
        <v>502</v>
      </c>
      <c r="G22" s="305" t="s">
        <v>447</v>
      </c>
      <c r="H22" s="305" t="s">
        <v>503</v>
      </c>
      <c r="DA22" s="278" t="s">
        <v>310</v>
      </c>
      <c r="DB22" s="279">
        <v>45671</v>
      </c>
      <c r="DC22" s="280" t="s">
        <v>1008</v>
      </c>
      <c r="DD22" s="281">
        <v>2000</v>
      </c>
      <c r="DE22" s="281">
        <v>0</v>
      </c>
      <c r="DF22" s="281">
        <v>47662.3</v>
      </c>
      <c r="DG22" s="282" t="s">
        <v>946</v>
      </c>
      <c r="DH22" s="284">
        <v>45671</v>
      </c>
      <c r="DI22" s="284" t="s">
        <v>765</v>
      </c>
      <c r="DJ22" s="285" t="s">
        <v>501</v>
      </c>
      <c r="DK22" s="286">
        <v>18</v>
      </c>
    </row>
    <row r="23" spans="1:115">
      <c r="A23" s="305" t="s">
        <v>500</v>
      </c>
      <c r="B23" s="305" t="s">
        <v>500</v>
      </c>
      <c r="C23" s="305" t="s">
        <v>451</v>
      </c>
      <c r="D23" s="305" t="s">
        <v>504</v>
      </c>
      <c r="E23" s="305" t="s">
        <v>505</v>
      </c>
      <c r="F23" s="305" t="s">
        <v>506</v>
      </c>
      <c r="G23" s="305" t="s">
        <v>447</v>
      </c>
      <c r="H23" s="305" t="s">
        <v>507</v>
      </c>
      <c r="DA23" s="278" t="s">
        <v>310</v>
      </c>
      <c r="DB23" s="279">
        <v>45671</v>
      </c>
      <c r="DC23" s="280" t="s">
        <v>1009</v>
      </c>
      <c r="DD23" s="281">
        <v>72954</v>
      </c>
      <c r="DE23" s="281">
        <v>0</v>
      </c>
      <c r="DF23" s="281">
        <v>49662.3</v>
      </c>
      <c r="DG23" s="282" t="s">
        <v>947</v>
      </c>
      <c r="DH23" s="284">
        <v>45671</v>
      </c>
      <c r="DI23" s="284" t="s">
        <v>765</v>
      </c>
      <c r="DJ23" s="285" t="s">
        <v>505</v>
      </c>
      <c r="DK23" s="286">
        <v>19</v>
      </c>
    </row>
    <row r="24" spans="1:115">
      <c r="A24" s="305" t="s">
        <v>508</v>
      </c>
      <c r="B24" s="305" t="s">
        <v>508</v>
      </c>
      <c r="C24" s="305" t="s">
        <v>451</v>
      </c>
      <c r="D24" s="305" t="s">
        <v>509</v>
      </c>
      <c r="E24" s="305" t="s">
        <v>510</v>
      </c>
      <c r="F24" s="305" t="s">
        <v>511</v>
      </c>
      <c r="G24" s="305" t="s">
        <v>447</v>
      </c>
      <c r="H24" s="305" t="s">
        <v>512</v>
      </c>
      <c r="DA24" s="278" t="s">
        <v>310</v>
      </c>
      <c r="DB24" s="279">
        <v>45670</v>
      </c>
      <c r="DC24" s="280" t="s">
        <v>1010</v>
      </c>
      <c r="DD24" s="281">
        <v>83475</v>
      </c>
      <c r="DE24" s="281">
        <v>0</v>
      </c>
      <c r="DF24" s="281">
        <v>122616.3</v>
      </c>
      <c r="DG24" s="282" t="s">
        <v>948</v>
      </c>
      <c r="DH24" s="284">
        <v>45670</v>
      </c>
      <c r="DI24" s="284" t="s">
        <v>765</v>
      </c>
      <c r="DJ24" s="285" t="s">
        <v>510</v>
      </c>
      <c r="DK24" s="286">
        <v>20</v>
      </c>
    </row>
    <row r="25" spans="1:115" ht="25.5">
      <c r="A25" s="305" t="s">
        <v>508</v>
      </c>
      <c r="B25" s="305" t="s">
        <v>508</v>
      </c>
      <c r="C25" s="305" t="s">
        <v>451</v>
      </c>
      <c r="D25" s="305" t="s">
        <v>452</v>
      </c>
      <c r="E25" s="305" t="s">
        <v>513</v>
      </c>
      <c r="F25" s="305" t="s">
        <v>447</v>
      </c>
      <c r="G25" s="305" t="s">
        <v>514</v>
      </c>
      <c r="H25" s="305" t="s">
        <v>515</v>
      </c>
      <c r="DA25" s="278" t="s">
        <v>310</v>
      </c>
      <c r="DB25" s="279">
        <v>45670</v>
      </c>
      <c r="DC25" s="280" t="s">
        <v>1011</v>
      </c>
      <c r="DD25" s="281">
        <v>0</v>
      </c>
      <c r="DE25" s="281">
        <v>30000</v>
      </c>
      <c r="DF25" s="281">
        <v>206091.3</v>
      </c>
      <c r="DG25" s="282" t="s">
        <v>949</v>
      </c>
      <c r="DH25" s="284">
        <v>45670</v>
      </c>
      <c r="DI25" s="284" t="s">
        <v>760</v>
      </c>
      <c r="DJ25" s="285" t="s">
        <v>513</v>
      </c>
      <c r="DK25" s="286">
        <v>21</v>
      </c>
    </row>
    <row r="26" spans="1:115">
      <c r="A26" s="305" t="s">
        <v>508</v>
      </c>
      <c r="B26" s="305" t="s">
        <v>508</v>
      </c>
      <c r="C26" s="305" t="s">
        <v>444</v>
      </c>
      <c r="D26" s="305" t="s">
        <v>516</v>
      </c>
      <c r="E26" s="305" t="s">
        <v>446</v>
      </c>
      <c r="F26" s="305" t="s">
        <v>447</v>
      </c>
      <c r="G26" s="305" t="s">
        <v>517</v>
      </c>
      <c r="H26" s="305" t="s">
        <v>518</v>
      </c>
      <c r="DA26" s="278" t="s">
        <v>310</v>
      </c>
      <c r="DB26" s="279">
        <v>45670</v>
      </c>
      <c r="DC26" s="280" t="s">
        <v>1012</v>
      </c>
      <c r="DD26" s="281">
        <v>0</v>
      </c>
      <c r="DE26" s="281">
        <v>101850</v>
      </c>
      <c r="DF26" s="281">
        <v>176091.3</v>
      </c>
      <c r="DG26" s="306" t="s">
        <v>934</v>
      </c>
      <c r="DH26" s="284">
        <v>45670</v>
      </c>
      <c r="DI26" s="284" t="s">
        <v>760</v>
      </c>
      <c r="DJ26" s="285" t="s">
        <v>446</v>
      </c>
      <c r="DK26" s="286">
        <v>22</v>
      </c>
    </row>
    <row r="27" spans="1:115">
      <c r="A27" s="305" t="s">
        <v>519</v>
      </c>
      <c r="B27" s="305" t="s">
        <v>519</v>
      </c>
      <c r="C27" s="305" t="s">
        <v>451</v>
      </c>
      <c r="D27" s="305" t="s">
        <v>452</v>
      </c>
      <c r="E27" s="305" t="s">
        <v>520</v>
      </c>
      <c r="F27" s="305" t="s">
        <v>521</v>
      </c>
      <c r="G27" s="305" t="s">
        <v>447</v>
      </c>
      <c r="H27" s="305" t="s">
        <v>522</v>
      </c>
      <c r="DA27" s="278" t="s">
        <v>310</v>
      </c>
      <c r="DB27" s="279">
        <v>45667</v>
      </c>
      <c r="DC27" s="280" t="s">
        <v>1013</v>
      </c>
      <c r="DD27" s="281">
        <v>30317</v>
      </c>
      <c r="DE27" s="281">
        <v>0</v>
      </c>
      <c r="DF27" s="281">
        <v>74241.3</v>
      </c>
      <c r="DG27" s="282" t="s">
        <v>950</v>
      </c>
      <c r="DH27" s="284">
        <v>45667</v>
      </c>
      <c r="DI27" s="284" t="s">
        <v>765</v>
      </c>
      <c r="DJ27" s="285" t="s">
        <v>520</v>
      </c>
      <c r="DK27" s="286">
        <v>23</v>
      </c>
    </row>
    <row r="28" spans="1:115">
      <c r="A28" s="305" t="s">
        <v>523</v>
      </c>
      <c r="B28" s="305" t="s">
        <v>523</v>
      </c>
      <c r="C28" s="305" t="s">
        <v>524</v>
      </c>
      <c r="D28" s="305" t="s">
        <v>452</v>
      </c>
      <c r="E28" s="305" t="s">
        <v>525</v>
      </c>
      <c r="F28" s="305" t="s">
        <v>447</v>
      </c>
      <c r="G28" s="305" t="s">
        <v>514</v>
      </c>
      <c r="H28" s="305" t="s">
        <v>526</v>
      </c>
      <c r="DA28" s="278" t="s">
        <v>310</v>
      </c>
      <c r="DB28" s="279">
        <v>45663</v>
      </c>
      <c r="DC28" s="280" t="s">
        <v>1014</v>
      </c>
      <c r="DD28" s="281">
        <v>0</v>
      </c>
      <c r="DE28" s="281">
        <v>30000</v>
      </c>
      <c r="DF28" s="281">
        <v>104558.3</v>
      </c>
      <c r="DG28" s="282" t="s">
        <v>951</v>
      </c>
      <c r="DH28" s="284">
        <v>45663</v>
      </c>
      <c r="DI28" s="284" t="s">
        <v>760</v>
      </c>
      <c r="DJ28" s="285" t="s">
        <v>525</v>
      </c>
      <c r="DK28" s="286">
        <v>24</v>
      </c>
    </row>
    <row r="29" spans="1:115">
      <c r="A29" s="305" t="s">
        <v>527</v>
      </c>
      <c r="B29" s="305" t="s">
        <v>527</v>
      </c>
      <c r="C29" s="305" t="s">
        <v>451</v>
      </c>
      <c r="D29" s="305" t="s">
        <v>528</v>
      </c>
      <c r="E29" s="305" t="s">
        <v>529</v>
      </c>
      <c r="F29" s="305" t="s">
        <v>530</v>
      </c>
      <c r="G29" s="305" t="s">
        <v>447</v>
      </c>
      <c r="H29" s="305" t="s">
        <v>531</v>
      </c>
      <c r="DA29" s="278" t="s">
        <v>310</v>
      </c>
      <c r="DB29" s="279">
        <v>45660</v>
      </c>
      <c r="DC29" s="280" t="s">
        <v>1015</v>
      </c>
      <c r="DD29" s="281">
        <v>16205</v>
      </c>
      <c r="DE29" s="281">
        <v>0</v>
      </c>
      <c r="DF29" s="281">
        <v>74558.3</v>
      </c>
      <c r="DG29" s="282" t="s">
        <v>952</v>
      </c>
      <c r="DH29" s="284">
        <v>45660</v>
      </c>
      <c r="DI29" s="284" t="s">
        <v>765</v>
      </c>
      <c r="DJ29" s="285" t="s">
        <v>529</v>
      </c>
      <c r="DK29" s="286">
        <v>25</v>
      </c>
    </row>
    <row r="30" spans="1:115" ht="25.5">
      <c r="A30" s="305" t="s">
        <v>532</v>
      </c>
      <c r="B30" s="305" t="s">
        <v>532</v>
      </c>
      <c r="C30" s="305" t="s">
        <v>533</v>
      </c>
      <c r="D30" s="305" t="s">
        <v>452</v>
      </c>
      <c r="E30" s="305" t="s">
        <v>534</v>
      </c>
      <c r="F30" s="305" t="s">
        <v>447</v>
      </c>
      <c r="G30" s="305" t="s">
        <v>535</v>
      </c>
      <c r="H30" s="305" t="s">
        <v>536</v>
      </c>
      <c r="DA30" s="278" t="s">
        <v>310</v>
      </c>
      <c r="DB30" s="279">
        <v>45659</v>
      </c>
      <c r="DC30" s="280" t="s">
        <v>1016</v>
      </c>
      <c r="DD30" s="281">
        <v>0</v>
      </c>
      <c r="DE30" s="281">
        <v>27641</v>
      </c>
      <c r="DF30" s="281">
        <v>90763.3</v>
      </c>
      <c r="DG30" s="282" t="s">
        <v>953</v>
      </c>
      <c r="DH30" s="284">
        <v>45659</v>
      </c>
      <c r="DI30" s="284" t="s">
        <v>760</v>
      </c>
      <c r="DJ30" s="285" t="s">
        <v>534</v>
      </c>
      <c r="DK30" s="286">
        <v>26</v>
      </c>
    </row>
    <row r="31" spans="1:115">
      <c r="A31" s="305" t="s">
        <v>532</v>
      </c>
      <c r="B31" s="305" t="s">
        <v>532</v>
      </c>
      <c r="C31" s="305" t="s">
        <v>456</v>
      </c>
      <c r="D31" s="305" t="s">
        <v>537</v>
      </c>
      <c r="E31" s="305" t="s">
        <v>486</v>
      </c>
      <c r="F31" s="305" t="s">
        <v>538</v>
      </c>
      <c r="G31" s="305" t="s">
        <v>447</v>
      </c>
      <c r="H31" s="305" t="s">
        <v>539</v>
      </c>
      <c r="DA31" s="278" t="s">
        <v>310</v>
      </c>
      <c r="DB31" s="279">
        <v>45659</v>
      </c>
      <c r="DC31" s="280" t="s">
        <v>1017</v>
      </c>
      <c r="DD31" s="281">
        <v>60000</v>
      </c>
      <c r="DE31" s="281">
        <v>0</v>
      </c>
      <c r="DF31" s="281">
        <v>63122.3</v>
      </c>
      <c r="DG31" s="282" t="s">
        <v>942</v>
      </c>
      <c r="DH31" s="284">
        <v>45659</v>
      </c>
      <c r="DI31" s="284" t="s">
        <v>765</v>
      </c>
      <c r="DJ31" s="285" t="s">
        <v>486</v>
      </c>
      <c r="DK31" s="286">
        <v>27</v>
      </c>
    </row>
    <row r="32" spans="1:115">
      <c r="A32" s="305" t="s">
        <v>540</v>
      </c>
      <c r="B32" s="305" t="s">
        <v>540</v>
      </c>
      <c r="C32" s="305" t="s">
        <v>451</v>
      </c>
      <c r="D32" s="305" t="s">
        <v>541</v>
      </c>
      <c r="E32" s="305" t="s">
        <v>542</v>
      </c>
      <c r="F32" s="305" t="s">
        <v>483</v>
      </c>
      <c r="G32" s="305" t="s">
        <v>447</v>
      </c>
      <c r="H32" s="305" t="s">
        <v>543</v>
      </c>
      <c r="DA32" s="278" t="s">
        <v>310</v>
      </c>
      <c r="DB32" s="279">
        <v>45658</v>
      </c>
      <c r="DC32" s="280" t="s">
        <v>1018</v>
      </c>
      <c r="DD32" s="281">
        <v>50000</v>
      </c>
      <c r="DE32" s="281">
        <v>0</v>
      </c>
      <c r="DF32" s="281">
        <v>123122.3</v>
      </c>
      <c r="DG32" s="282" t="s">
        <v>954</v>
      </c>
      <c r="DH32" s="284">
        <v>45658</v>
      </c>
      <c r="DI32" s="284" t="s">
        <v>765</v>
      </c>
      <c r="DJ32" s="285" t="s">
        <v>542</v>
      </c>
      <c r="DK32" s="286">
        <v>28</v>
      </c>
    </row>
    <row r="33" spans="1:115">
      <c r="A33" s="305" t="s">
        <v>540</v>
      </c>
      <c r="B33" s="305" t="s">
        <v>540</v>
      </c>
      <c r="C33" s="305" t="s">
        <v>444</v>
      </c>
      <c r="D33" s="305" t="s">
        <v>544</v>
      </c>
      <c r="E33" s="305" t="s">
        <v>545</v>
      </c>
      <c r="F33" s="305" t="s">
        <v>447</v>
      </c>
      <c r="G33" s="305" t="s">
        <v>546</v>
      </c>
      <c r="H33" s="305" t="s">
        <v>547</v>
      </c>
      <c r="DA33" s="278" t="s">
        <v>310</v>
      </c>
      <c r="DB33" s="279">
        <v>45658</v>
      </c>
      <c r="DC33" s="280" t="s">
        <v>1019</v>
      </c>
      <c r="DD33" s="281">
        <v>0</v>
      </c>
      <c r="DE33" s="281">
        <v>38588</v>
      </c>
      <c r="DF33" s="281">
        <v>173122.3</v>
      </c>
      <c r="DG33" s="306" t="s">
        <v>955</v>
      </c>
      <c r="DH33" s="284">
        <v>45658</v>
      </c>
      <c r="DI33" s="284" t="s">
        <v>760</v>
      </c>
      <c r="DJ33" s="285" t="s">
        <v>545</v>
      </c>
      <c r="DK33" s="286">
        <v>29</v>
      </c>
    </row>
    <row r="34" spans="1:115">
      <c r="A34" s="305" t="s">
        <v>540</v>
      </c>
      <c r="B34" s="305" t="s">
        <v>540</v>
      </c>
      <c r="C34" s="305" t="s">
        <v>451</v>
      </c>
      <c r="D34" s="305" t="s">
        <v>548</v>
      </c>
      <c r="E34" s="305" t="s">
        <v>549</v>
      </c>
      <c r="F34" s="305" t="s">
        <v>550</v>
      </c>
      <c r="G34" s="305" t="s">
        <v>447</v>
      </c>
      <c r="H34" s="305" t="s">
        <v>551</v>
      </c>
      <c r="DA34" s="278" t="s">
        <v>310</v>
      </c>
      <c r="DB34" s="279">
        <v>45658</v>
      </c>
      <c r="DC34" s="280" t="s">
        <v>1020</v>
      </c>
      <c r="DD34" s="281">
        <v>8269</v>
      </c>
      <c r="DE34" s="281">
        <v>0</v>
      </c>
      <c r="DF34" s="281">
        <v>134534.29999999999</v>
      </c>
      <c r="DG34" s="282" t="s">
        <v>956</v>
      </c>
      <c r="DH34" s="284">
        <v>45658</v>
      </c>
      <c r="DI34" s="284" t="s">
        <v>765</v>
      </c>
      <c r="DJ34" s="285" t="s">
        <v>549</v>
      </c>
      <c r="DK34" s="286">
        <v>30</v>
      </c>
    </row>
    <row r="35" spans="1:115">
      <c r="A35" s="305" t="s">
        <v>552</v>
      </c>
      <c r="B35" s="305" t="s">
        <v>552</v>
      </c>
      <c r="C35" s="305" t="s">
        <v>451</v>
      </c>
      <c r="D35" s="305" t="s">
        <v>553</v>
      </c>
      <c r="E35" s="305" t="s">
        <v>554</v>
      </c>
      <c r="F35" s="305" t="s">
        <v>555</v>
      </c>
      <c r="G35" s="305" t="s">
        <v>447</v>
      </c>
      <c r="H35" s="305" t="s">
        <v>556</v>
      </c>
      <c r="DA35" s="278" t="s">
        <v>310</v>
      </c>
      <c r="DB35" s="279">
        <v>45657</v>
      </c>
      <c r="DC35" s="280" t="s">
        <v>1021</v>
      </c>
      <c r="DD35" s="281">
        <v>100000</v>
      </c>
      <c r="DE35" s="281">
        <v>0</v>
      </c>
      <c r="DF35" s="281">
        <v>142803.29999999999</v>
      </c>
      <c r="DG35" s="282" t="s">
        <v>957</v>
      </c>
      <c r="DH35" s="284">
        <v>45657</v>
      </c>
      <c r="DI35" s="284" t="s">
        <v>765</v>
      </c>
      <c r="DJ35" s="285" t="s">
        <v>554</v>
      </c>
      <c r="DK35" s="286">
        <v>31</v>
      </c>
    </row>
    <row r="36" spans="1:115">
      <c r="A36" s="305" t="s">
        <v>557</v>
      </c>
      <c r="B36" s="305" t="s">
        <v>557</v>
      </c>
      <c r="C36" s="305" t="s">
        <v>451</v>
      </c>
      <c r="D36" s="305" t="s">
        <v>452</v>
      </c>
      <c r="E36" s="305" t="s">
        <v>558</v>
      </c>
      <c r="F36" s="305" t="s">
        <v>447</v>
      </c>
      <c r="G36" s="305" t="s">
        <v>555</v>
      </c>
      <c r="H36" s="305" t="s">
        <v>559</v>
      </c>
      <c r="DA36" s="278" t="s">
        <v>310</v>
      </c>
      <c r="DB36" s="279">
        <v>45656</v>
      </c>
      <c r="DC36" s="280" t="s">
        <v>1022</v>
      </c>
      <c r="DD36" s="281">
        <v>0</v>
      </c>
      <c r="DE36" s="281">
        <v>100000</v>
      </c>
      <c r="DF36" s="281">
        <v>242803.3</v>
      </c>
      <c r="DG36" s="282" t="s">
        <v>958</v>
      </c>
      <c r="DH36" s="284">
        <v>45656</v>
      </c>
      <c r="DI36" s="284" t="s">
        <v>760</v>
      </c>
      <c r="DJ36" s="285" t="s">
        <v>558</v>
      </c>
      <c r="DK36" s="286">
        <v>32</v>
      </c>
    </row>
    <row r="37" spans="1:115">
      <c r="A37" s="305" t="s">
        <v>560</v>
      </c>
      <c r="B37" s="305" t="s">
        <v>560</v>
      </c>
      <c r="C37" s="305" t="s">
        <v>456</v>
      </c>
      <c r="D37" s="305" t="s">
        <v>452</v>
      </c>
      <c r="E37" s="305" t="s">
        <v>457</v>
      </c>
      <c r="F37" s="305" t="s">
        <v>561</v>
      </c>
      <c r="G37" s="305" t="s">
        <v>447</v>
      </c>
      <c r="H37" s="305" t="s">
        <v>556</v>
      </c>
      <c r="DA37" s="278" t="s">
        <v>310</v>
      </c>
      <c r="DB37" s="279">
        <v>45654</v>
      </c>
      <c r="DC37" s="280" t="s">
        <v>1023</v>
      </c>
      <c r="DD37" s="281">
        <v>7000</v>
      </c>
      <c r="DE37" s="281">
        <v>0</v>
      </c>
      <c r="DF37" s="281">
        <v>142803.29999999999</v>
      </c>
      <c r="DG37" s="282" t="s">
        <v>936</v>
      </c>
      <c r="DH37" s="284">
        <v>45654</v>
      </c>
      <c r="DI37" s="284" t="s">
        <v>765</v>
      </c>
      <c r="DJ37" s="285" t="s">
        <v>457</v>
      </c>
      <c r="DK37" s="286">
        <v>33</v>
      </c>
    </row>
    <row r="38" spans="1:115">
      <c r="A38" s="305" t="s">
        <v>562</v>
      </c>
      <c r="B38" s="305" t="s">
        <v>562</v>
      </c>
      <c r="C38" s="305" t="s">
        <v>451</v>
      </c>
      <c r="D38" s="305" t="s">
        <v>563</v>
      </c>
      <c r="E38" s="305" t="s">
        <v>564</v>
      </c>
      <c r="F38" s="305" t="s">
        <v>565</v>
      </c>
      <c r="G38" s="305" t="s">
        <v>447</v>
      </c>
      <c r="H38" s="305" t="s">
        <v>566</v>
      </c>
      <c r="DA38" s="278" t="s">
        <v>310</v>
      </c>
      <c r="DB38" s="279">
        <v>45653</v>
      </c>
      <c r="DC38" s="280" t="s">
        <v>1024</v>
      </c>
      <c r="DD38" s="281">
        <v>23514</v>
      </c>
      <c r="DE38" s="281">
        <v>0</v>
      </c>
      <c r="DF38" s="281">
        <v>149803.29999999999</v>
      </c>
      <c r="DG38" s="282" t="s">
        <v>959</v>
      </c>
      <c r="DH38" s="284">
        <v>45653</v>
      </c>
      <c r="DI38" s="284" t="s">
        <v>765</v>
      </c>
      <c r="DJ38" s="285" t="s">
        <v>564</v>
      </c>
      <c r="DK38" s="286">
        <v>34</v>
      </c>
    </row>
    <row r="39" spans="1:115">
      <c r="A39" s="305" t="s">
        <v>567</v>
      </c>
      <c r="B39" s="305" t="s">
        <v>567</v>
      </c>
      <c r="C39" s="305" t="s">
        <v>451</v>
      </c>
      <c r="D39" s="305" t="s">
        <v>452</v>
      </c>
      <c r="E39" s="305" t="s">
        <v>568</v>
      </c>
      <c r="F39" s="305" t="s">
        <v>447</v>
      </c>
      <c r="G39" s="305" t="s">
        <v>569</v>
      </c>
      <c r="H39" s="305" t="s">
        <v>570</v>
      </c>
      <c r="DA39" s="278" t="s">
        <v>310</v>
      </c>
      <c r="DB39" s="279">
        <v>45652</v>
      </c>
      <c r="DC39" s="280" t="s">
        <v>1025</v>
      </c>
      <c r="DD39" s="281">
        <v>0</v>
      </c>
      <c r="DE39" s="281">
        <v>71016</v>
      </c>
      <c r="DF39" s="281">
        <v>173317.3</v>
      </c>
      <c r="DG39" s="282" t="s">
        <v>960</v>
      </c>
      <c r="DH39" s="284">
        <v>45652</v>
      </c>
      <c r="DI39" s="284" t="s">
        <v>760</v>
      </c>
      <c r="DJ39" s="285" t="s">
        <v>568</v>
      </c>
      <c r="DK39" s="286">
        <v>35</v>
      </c>
    </row>
    <row r="40" spans="1:115">
      <c r="A40" s="305" t="s">
        <v>571</v>
      </c>
      <c r="B40" s="305" t="s">
        <v>571</v>
      </c>
      <c r="C40" s="305" t="s">
        <v>451</v>
      </c>
      <c r="D40" s="305" t="s">
        <v>452</v>
      </c>
      <c r="E40" s="305" t="s">
        <v>572</v>
      </c>
      <c r="F40" s="305" t="s">
        <v>447</v>
      </c>
      <c r="G40" s="305" t="s">
        <v>573</v>
      </c>
      <c r="H40" s="305" t="s">
        <v>574</v>
      </c>
      <c r="DA40" s="278" t="s">
        <v>310</v>
      </c>
      <c r="DB40" s="279">
        <v>45650</v>
      </c>
      <c r="DC40" s="280" t="s">
        <v>1026</v>
      </c>
      <c r="DD40" s="281">
        <v>0</v>
      </c>
      <c r="DE40" s="281">
        <v>41700</v>
      </c>
      <c r="DF40" s="281">
        <v>102301.3</v>
      </c>
      <c r="DG40" s="282" t="s">
        <v>961</v>
      </c>
      <c r="DH40" s="284">
        <v>45650</v>
      </c>
      <c r="DI40" s="284" t="s">
        <v>760</v>
      </c>
      <c r="DJ40" s="285" t="s">
        <v>572</v>
      </c>
      <c r="DK40" s="286">
        <v>36</v>
      </c>
    </row>
    <row r="41" spans="1:115">
      <c r="A41" s="305" t="s">
        <v>571</v>
      </c>
      <c r="B41" s="305" t="s">
        <v>571</v>
      </c>
      <c r="C41" s="305" t="s">
        <v>495</v>
      </c>
      <c r="D41" s="305" t="s">
        <v>452</v>
      </c>
      <c r="E41" s="305" t="s">
        <v>575</v>
      </c>
      <c r="F41" s="305" t="s">
        <v>576</v>
      </c>
      <c r="G41" s="305" t="s">
        <v>447</v>
      </c>
      <c r="H41" s="305" t="s">
        <v>577</v>
      </c>
      <c r="DA41" s="278" t="s">
        <v>310</v>
      </c>
      <c r="DB41" s="279">
        <v>45650</v>
      </c>
      <c r="DC41" s="280" t="s">
        <v>1027</v>
      </c>
      <c r="DD41" s="281">
        <v>3000</v>
      </c>
      <c r="DE41" s="281">
        <v>0</v>
      </c>
      <c r="DF41" s="281">
        <v>60601.3</v>
      </c>
      <c r="DG41" s="282" t="s">
        <v>962</v>
      </c>
      <c r="DH41" s="284">
        <v>45650</v>
      </c>
      <c r="DI41" s="284" t="s">
        <v>765</v>
      </c>
      <c r="DJ41" s="285" t="s">
        <v>575</v>
      </c>
      <c r="DK41" s="286">
        <v>37</v>
      </c>
    </row>
    <row r="42" spans="1:115">
      <c r="A42" s="305" t="s">
        <v>578</v>
      </c>
      <c r="B42" s="305" t="s">
        <v>578</v>
      </c>
      <c r="C42" s="305" t="s">
        <v>467</v>
      </c>
      <c r="D42" s="305" t="s">
        <v>452</v>
      </c>
      <c r="E42" s="305" t="s">
        <v>468</v>
      </c>
      <c r="F42" s="305" t="s">
        <v>576</v>
      </c>
      <c r="G42" s="305" t="s">
        <v>447</v>
      </c>
      <c r="H42" s="305" t="s">
        <v>579</v>
      </c>
      <c r="DA42" s="278" t="s">
        <v>310</v>
      </c>
      <c r="DB42" s="279">
        <v>45647</v>
      </c>
      <c r="DC42" s="280" t="s">
        <v>1028</v>
      </c>
      <c r="DD42" s="281">
        <v>3000</v>
      </c>
      <c r="DE42" s="281">
        <v>0</v>
      </c>
      <c r="DF42" s="281">
        <v>63601.3</v>
      </c>
      <c r="DG42" s="282" t="s">
        <v>938</v>
      </c>
      <c r="DH42" s="284">
        <v>45647</v>
      </c>
      <c r="DI42" s="284" t="s">
        <v>765</v>
      </c>
      <c r="DJ42" s="285" t="s">
        <v>468</v>
      </c>
      <c r="DK42" s="286">
        <v>38</v>
      </c>
    </row>
    <row r="43" spans="1:115">
      <c r="A43" s="305" t="s">
        <v>580</v>
      </c>
      <c r="B43" s="305" t="s">
        <v>580</v>
      </c>
      <c r="C43" s="305" t="s">
        <v>451</v>
      </c>
      <c r="D43" s="305" t="s">
        <v>581</v>
      </c>
      <c r="E43" s="305" t="s">
        <v>582</v>
      </c>
      <c r="F43" s="305" t="s">
        <v>583</v>
      </c>
      <c r="G43" s="305" t="s">
        <v>447</v>
      </c>
      <c r="H43" s="305" t="s">
        <v>584</v>
      </c>
      <c r="DA43" s="278" t="s">
        <v>310</v>
      </c>
      <c r="DB43" s="279">
        <v>45643</v>
      </c>
      <c r="DC43" s="280" t="s">
        <v>1029</v>
      </c>
      <c r="DD43" s="281">
        <v>9555</v>
      </c>
      <c r="DE43" s="281">
        <v>0</v>
      </c>
      <c r="DF43" s="281">
        <v>66601.3</v>
      </c>
      <c r="DG43" s="282" t="s">
        <v>963</v>
      </c>
      <c r="DH43" s="284">
        <v>45643</v>
      </c>
      <c r="DI43" s="284" t="s">
        <v>765</v>
      </c>
      <c r="DJ43" s="285" t="s">
        <v>582</v>
      </c>
      <c r="DK43" s="286">
        <v>39</v>
      </c>
    </row>
    <row r="44" spans="1:115">
      <c r="A44" s="305" t="s">
        <v>580</v>
      </c>
      <c r="B44" s="305" t="s">
        <v>580</v>
      </c>
      <c r="C44" s="305" t="s">
        <v>444</v>
      </c>
      <c r="D44" s="305" t="s">
        <v>585</v>
      </c>
      <c r="E44" s="305" t="s">
        <v>586</v>
      </c>
      <c r="F44" s="305" t="s">
        <v>447</v>
      </c>
      <c r="G44" s="305" t="s">
        <v>587</v>
      </c>
      <c r="H44" s="305" t="s">
        <v>588</v>
      </c>
      <c r="DA44" s="278" t="s">
        <v>310</v>
      </c>
      <c r="DB44" s="279">
        <v>45643</v>
      </c>
      <c r="DC44" s="280" t="s">
        <v>1030</v>
      </c>
      <c r="DD44" s="281">
        <v>0</v>
      </c>
      <c r="DE44" s="281">
        <v>36015</v>
      </c>
      <c r="DF44" s="281">
        <v>76156.3</v>
      </c>
      <c r="DG44" s="306" t="s">
        <v>934</v>
      </c>
      <c r="DH44" s="284">
        <v>45643</v>
      </c>
      <c r="DI44" s="284" t="s">
        <v>760</v>
      </c>
      <c r="DJ44" s="285" t="s">
        <v>586</v>
      </c>
      <c r="DK44" s="286">
        <v>40</v>
      </c>
    </row>
    <row r="45" spans="1:115">
      <c r="A45" s="305" t="s">
        <v>589</v>
      </c>
      <c r="B45" s="305" t="s">
        <v>589</v>
      </c>
      <c r="C45" s="305" t="s">
        <v>456</v>
      </c>
      <c r="D45" s="305" t="s">
        <v>590</v>
      </c>
      <c r="E45" s="305" t="s">
        <v>591</v>
      </c>
      <c r="F45" s="305" t="s">
        <v>592</v>
      </c>
      <c r="G45" s="305" t="s">
        <v>447</v>
      </c>
      <c r="H45" s="305" t="s">
        <v>593</v>
      </c>
      <c r="DA45" s="278" t="s">
        <v>310</v>
      </c>
      <c r="DB45" s="279">
        <v>45642</v>
      </c>
      <c r="DC45" s="280" t="s">
        <v>1031</v>
      </c>
      <c r="DD45" s="281">
        <v>25079</v>
      </c>
      <c r="DE45" s="281">
        <v>0</v>
      </c>
      <c r="DF45" s="281">
        <v>40141.300000000003</v>
      </c>
      <c r="DG45" s="282"/>
      <c r="DH45" s="284">
        <v>45642</v>
      </c>
      <c r="DI45" s="284" t="s">
        <v>765</v>
      </c>
      <c r="DJ45" s="285" t="s">
        <v>591</v>
      </c>
      <c r="DK45" s="286">
        <v>41</v>
      </c>
    </row>
    <row r="46" spans="1:115">
      <c r="A46" s="305" t="s">
        <v>594</v>
      </c>
      <c r="B46" s="305" t="s">
        <v>594</v>
      </c>
      <c r="C46" s="305" t="s">
        <v>451</v>
      </c>
      <c r="D46" s="305" t="s">
        <v>595</v>
      </c>
      <c r="E46" s="305" t="s">
        <v>596</v>
      </c>
      <c r="F46" s="305" t="s">
        <v>597</v>
      </c>
      <c r="G46" s="305" t="s">
        <v>447</v>
      </c>
      <c r="H46" s="305" t="s">
        <v>598</v>
      </c>
      <c r="DA46" s="278" t="s">
        <v>310</v>
      </c>
      <c r="DB46" s="279">
        <v>45638</v>
      </c>
      <c r="DC46" s="280" t="s">
        <v>1032</v>
      </c>
      <c r="DD46" s="281">
        <v>44289</v>
      </c>
      <c r="DE46" s="281">
        <v>0</v>
      </c>
      <c r="DF46" s="281">
        <v>65220.3</v>
      </c>
      <c r="DG46" s="282" t="s">
        <v>964</v>
      </c>
      <c r="DH46" s="284">
        <v>45638</v>
      </c>
      <c r="DI46" s="284" t="s">
        <v>765</v>
      </c>
      <c r="DJ46" s="285" t="s">
        <v>596</v>
      </c>
      <c r="DK46" s="286">
        <v>42</v>
      </c>
    </row>
    <row r="47" spans="1:115">
      <c r="A47" s="305" t="s">
        <v>599</v>
      </c>
      <c r="B47" s="305" t="s">
        <v>599</v>
      </c>
      <c r="C47" s="305" t="s">
        <v>456</v>
      </c>
      <c r="D47" s="305" t="s">
        <v>600</v>
      </c>
      <c r="E47" s="305" t="s">
        <v>486</v>
      </c>
      <c r="F47" s="305" t="s">
        <v>601</v>
      </c>
      <c r="G47" s="305" t="s">
        <v>447</v>
      </c>
      <c r="H47" s="305" t="s">
        <v>602</v>
      </c>
      <c r="DA47" s="278" t="s">
        <v>310</v>
      </c>
      <c r="DB47" s="279">
        <v>45637</v>
      </c>
      <c r="DC47" s="280" t="s">
        <v>1033</v>
      </c>
      <c r="DD47" s="281">
        <v>70000</v>
      </c>
      <c r="DE47" s="281">
        <v>0</v>
      </c>
      <c r="DF47" s="281">
        <v>109509.3</v>
      </c>
      <c r="DG47" s="282" t="s">
        <v>942</v>
      </c>
      <c r="DH47" s="284">
        <v>45637</v>
      </c>
      <c r="DI47" s="284" t="s">
        <v>765</v>
      </c>
      <c r="DJ47" s="285" t="s">
        <v>486</v>
      </c>
      <c r="DK47" s="286">
        <v>43</v>
      </c>
    </row>
    <row r="48" spans="1:115">
      <c r="A48" s="305" t="s">
        <v>603</v>
      </c>
      <c r="B48" s="305" t="s">
        <v>603</v>
      </c>
      <c r="C48" s="305" t="s">
        <v>456</v>
      </c>
      <c r="D48" s="305" t="s">
        <v>604</v>
      </c>
      <c r="E48" s="305" t="s">
        <v>486</v>
      </c>
      <c r="F48" s="305" t="s">
        <v>605</v>
      </c>
      <c r="G48" s="305" t="s">
        <v>447</v>
      </c>
      <c r="H48" s="305" t="s">
        <v>606</v>
      </c>
      <c r="DA48" s="278" t="s">
        <v>310</v>
      </c>
      <c r="DB48" s="279">
        <v>45636</v>
      </c>
      <c r="DC48" s="280" t="s">
        <v>1034</v>
      </c>
      <c r="DD48" s="281">
        <v>54000</v>
      </c>
      <c r="DE48" s="281">
        <v>0</v>
      </c>
      <c r="DF48" s="281">
        <v>179509.3</v>
      </c>
      <c r="DG48" s="282" t="s">
        <v>942</v>
      </c>
      <c r="DH48" s="284">
        <v>45636</v>
      </c>
      <c r="DI48" s="284" t="s">
        <v>765</v>
      </c>
      <c r="DJ48" s="285" t="s">
        <v>486</v>
      </c>
      <c r="DK48" s="286">
        <v>44</v>
      </c>
    </row>
    <row r="49" spans="1:115">
      <c r="A49" s="305" t="s">
        <v>603</v>
      </c>
      <c r="B49" s="305" t="s">
        <v>603</v>
      </c>
      <c r="C49" s="305" t="s">
        <v>451</v>
      </c>
      <c r="D49" s="305" t="s">
        <v>452</v>
      </c>
      <c r="E49" s="305" t="s">
        <v>607</v>
      </c>
      <c r="F49" s="305" t="s">
        <v>447</v>
      </c>
      <c r="G49" s="305" t="s">
        <v>608</v>
      </c>
      <c r="H49" s="305" t="s">
        <v>609</v>
      </c>
      <c r="DA49" s="278" t="s">
        <v>310</v>
      </c>
      <c r="DB49" s="279">
        <v>45636</v>
      </c>
      <c r="DC49" s="280" t="s">
        <v>1035</v>
      </c>
      <c r="DD49" s="281">
        <v>0</v>
      </c>
      <c r="DE49" s="281">
        <v>40000</v>
      </c>
      <c r="DF49" s="281">
        <v>233509.3</v>
      </c>
      <c r="DG49" s="282" t="s">
        <v>965</v>
      </c>
      <c r="DH49" s="284">
        <v>45636</v>
      </c>
      <c r="DI49" s="284" t="s">
        <v>760</v>
      </c>
      <c r="DJ49" s="285" t="s">
        <v>607</v>
      </c>
      <c r="DK49" s="286">
        <v>45</v>
      </c>
    </row>
    <row r="50" spans="1:115">
      <c r="A50" s="305" t="s">
        <v>603</v>
      </c>
      <c r="B50" s="305" t="s">
        <v>603</v>
      </c>
      <c r="C50" s="305" t="s">
        <v>451</v>
      </c>
      <c r="D50" s="305" t="s">
        <v>452</v>
      </c>
      <c r="E50" s="305" t="s">
        <v>520</v>
      </c>
      <c r="F50" s="305" t="s">
        <v>521</v>
      </c>
      <c r="G50" s="305" t="s">
        <v>447</v>
      </c>
      <c r="H50" s="305" t="s">
        <v>610</v>
      </c>
      <c r="DA50" s="278" t="s">
        <v>310</v>
      </c>
      <c r="DB50" s="279">
        <v>45636</v>
      </c>
      <c r="DC50" s="280" t="s">
        <v>1036</v>
      </c>
      <c r="DD50" s="281">
        <v>30317</v>
      </c>
      <c r="DE50" s="281">
        <v>0</v>
      </c>
      <c r="DF50" s="281">
        <v>193509.3</v>
      </c>
      <c r="DG50" s="282" t="s">
        <v>950</v>
      </c>
      <c r="DH50" s="284">
        <v>45636</v>
      </c>
      <c r="DI50" s="284" t="s">
        <v>765</v>
      </c>
      <c r="DJ50" s="285" t="s">
        <v>520</v>
      </c>
      <c r="DK50" s="286">
        <v>46</v>
      </c>
    </row>
    <row r="51" spans="1:115">
      <c r="A51" s="305" t="s">
        <v>611</v>
      </c>
      <c r="B51" s="305" t="s">
        <v>611</v>
      </c>
      <c r="C51" s="305" t="s">
        <v>451</v>
      </c>
      <c r="D51" s="305" t="s">
        <v>612</v>
      </c>
      <c r="E51" s="305" t="s">
        <v>613</v>
      </c>
      <c r="F51" s="305" t="s">
        <v>447</v>
      </c>
      <c r="G51" s="305" t="s">
        <v>614</v>
      </c>
      <c r="H51" s="305" t="s">
        <v>615</v>
      </c>
      <c r="DA51" s="278" t="s">
        <v>310</v>
      </c>
      <c r="DB51" s="279">
        <v>45633</v>
      </c>
      <c r="DC51" s="280" t="s">
        <v>1037</v>
      </c>
      <c r="DD51" s="281">
        <v>0</v>
      </c>
      <c r="DE51" s="281">
        <v>36855</v>
      </c>
      <c r="DF51" s="281">
        <v>223826.3</v>
      </c>
      <c r="DG51" s="306" t="s">
        <v>966</v>
      </c>
      <c r="DH51" s="284">
        <v>45633</v>
      </c>
      <c r="DI51" s="284" t="s">
        <v>760</v>
      </c>
      <c r="DJ51" s="285" t="s">
        <v>613</v>
      </c>
      <c r="DK51" s="286">
        <v>47</v>
      </c>
    </row>
    <row r="52" spans="1:115">
      <c r="A52" s="305" t="s">
        <v>611</v>
      </c>
      <c r="B52" s="305" t="s">
        <v>611</v>
      </c>
      <c r="C52" s="305" t="s">
        <v>451</v>
      </c>
      <c r="D52" s="305" t="s">
        <v>616</v>
      </c>
      <c r="E52" s="305" t="s">
        <v>617</v>
      </c>
      <c r="F52" s="305" t="s">
        <v>447</v>
      </c>
      <c r="G52" s="305" t="s">
        <v>618</v>
      </c>
      <c r="H52" s="305" t="s">
        <v>619</v>
      </c>
      <c r="DA52" s="278" t="s">
        <v>310</v>
      </c>
      <c r="DB52" s="279">
        <v>45633</v>
      </c>
      <c r="DC52" s="280" t="s">
        <v>1038</v>
      </c>
      <c r="DD52" s="281">
        <v>0</v>
      </c>
      <c r="DE52" s="281">
        <v>43659</v>
      </c>
      <c r="DF52" s="281">
        <v>186971.3</v>
      </c>
      <c r="DG52" s="306" t="s">
        <v>967</v>
      </c>
      <c r="DH52" s="284">
        <v>45633</v>
      </c>
      <c r="DI52" s="284" t="s">
        <v>760</v>
      </c>
      <c r="DJ52" s="285" t="s">
        <v>617</v>
      </c>
      <c r="DK52" s="286">
        <v>48</v>
      </c>
    </row>
    <row r="53" spans="1:115">
      <c r="A53" s="305" t="s">
        <v>611</v>
      </c>
      <c r="B53" s="305" t="s">
        <v>611</v>
      </c>
      <c r="C53" s="305" t="s">
        <v>451</v>
      </c>
      <c r="D53" s="305" t="s">
        <v>620</v>
      </c>
      <c r="E53" s="305" t="s">
        <v>613</v>
      </c>
      <c r="F53" s="305" t="s">
        <v>447</v>
      </c>
      <c r="G53" s="305" t="s">
        <v>621</v>
      </c>
      <c r="H53" s="305" t="s">
        <v>622</v>
      </c>
      <c r="DA53" s="278" t="s">
        <v>310</v>
      </c>
      <c r="DB53" s="279">
        <v>45633</v>
      </c>
      <c r="DC53" s="280" t="s">
        <v>1039</v>
      </c>
      <c r="DD53" s="281">
        <v>0</v>
      </c>
      <c r="DE53" s="281">
        <v>45360</v>
      </c>
      <c r="DF53" s="281">
        <v>143312.29999999999</v>
      </c>
      <c r="DG53" s="306" t="s">
        <v>966</v>
      </c>
      <c r="DH53" s="284">
        <v>45633</v>
      </c>
      <c r="DI53" s="284" t="s">
        <v>760</v>
      </c>
      <c r="DJ53" s="285" t="s">
        <v>613</v>
      </c>
      <c r="DK53" s="286">
        <v>49</v>
      </c>
    </row>
    <row r="54" spans="1:115">
      <c r="A54" s="305" t="s">
        <v>623</v>
      </c>
      <c r="B54" s="305" t="s">
        <v>623</v>
      </c>
      <c r="C54" s="305" t="s">
        <v>451</v>
      </c>
      <c r="D54" s="305" t="s">
        <v>624</v>
      </c>
      <c r="E54" s="305" t="s">
        <v>625</v>
      </c>
      <c r="F54" s="305" t="s">
        <v>469</v>
      </c>
      <c r="G54" s="305" t="s">
        <v>447</v>
      </c>
      <c r="H54" s="305" t="s">
        <v>626</v>
      </c>
      <c r="DA54" s="278" t="s">
        <v>310</v>
      </c>
      <c r="DB54" s="279">
        <v>45631</v>
      </c>
      <c r="DC54" s="280" t="s">
        <v>1040</v>
      </c>
      <c r="DD54" s="281">
        <v>20000</v>
      </c>
      <c r="DE54" s="281">
        <v>0</v>
      </c>
      <c r="DF54" s="281">
        <v>97952.3</v>
      </c>
      <c r="DG54" s="282" t="s">
        <v>968</v>
      </c>
      <c r="DH54" s="284">
        <v>45631</v>
      </c>
      <c r="DI54" s="284" t="s">
        <v>765</v>
      </c>
      <c r="DJ54" s="285" t="s">
        <v>625</v>
      </c>
      <c r="DK54" s="286">
        <v>50</v>
      </c>
    </row>
    <row r="55" spans="1:115">
      <c r="A55" s="305" t="s">
        <v>627</v>
      </c>
      <c r="B55" s="305" t="s">
        <v>627</v>
      </c>
      <c r="C55" s="305" t="s">
        <v>451</v>
      </c>
      <c r="D55" s="305" t="s">
        <v>452</v>
      </c>
      <c r="E55" s="305" t="s">
        <v>628</v>
      </c>
      <c r="F55" s="305" t="s">
        <v>447</v>
      </c>
      <c r="G55" s="305" t="s">
        <v>629</v>
      </c>
      <c r="H55" s="305" t="s">
        <v>630</v>
      </c>
      <c r="DA55" s="278" t="s">
        <v>310</v>
      </c>
      <c r="DB55" s="279">
        <v>45629</v>
      </c>
      <c r="DC55" s="280" t="s">
        <v>1041</v>
      </c>
      <c r="DD55" s="281">
        <v>0</v>
      </c>
      <c r="DE55" s="281">
        <v>27563</v>
      </c>
      <c r="DF55" s="281">
        <v>117952.3</v>
      </c>
      <c r="DG55" s="282" t="s">
        <v>969</v>
      </c>
      <c r="DH55" s="284">
        <v>45629</v>
      </c>
      <c r="DI55" s="284" t="s">
        <v>760</v>
      </c>
      <c r="DJ55" s="285" t="s">
        <v>628</v>
      </c>
      <c r="DK55" s="286">
        <v>51</v>
      </c>
    </row>
    <row r="56" spans="1:115">
      <c r="A56" s="305" t="s">
        <v>631</v>
      </c>
      <c r="B56" s="305" t="s">
        <v>631</v>
      </c>
      <c r="C56" s="305" t="s">
        <v>451</v>
      </c>
      <c r="D56" s="305" t="s">
        <v>632</v>
      </c>
      <c r="E56" s="305" t="s">
        <v>633</v>
      </c>
      <c r="F56" s="305" t="s">
        <v>555</v>
      </c>
      <c r="G56" s="305" t="s">
        <v>447</v>
      </c>
      <c r="H56" s="305" t="s">
        <v>634</v>
      </c>
      <c r="DA56" s="278" t="s">
        <v>310</v>
      </c>
      <c r="DB56" s="279">
        <v>45626</v>
      </c>
      <c r="DC56" s="280" t="s">
        <v>1042</v>
      </c>
      <c r="DD56" s="281">
        <v>100000</v>
      </c>
      <c r="DE56" s="281">
        <v>0</v>
      </c>
      <c r="DF56" s="281">
        <v>90389.3</v>
      </c>
      <c r="DG56" s="282" t="s">
        <v>970</v>
      </c>
      <c r="DH56" s="284">
        <v>45626</v>
      </c>
      <c r="DI56" s="284" t="s">
        <v>765</v>
      </c>
      <c r="DJ56" s="285" t="s">
        <v>633</v>
      </c>
      <c r="DK56" s="286">
        <v>52</v>
      </c>
    </row>
    <row r="57" spans="1:115">
      <c r="A57" s="305" t="s">
        <v>635</v>
      </c>
      <c r="B57" s="305" t="s">
        <v>635</v>
      </c>
      <c r="C57" s="305" t="s">
        <v>456</v>
      </c>
      <c r="D57" s="305" t="s">
        <v>636</v>
      </c>
      <c r="E57" s="305" t="s">
        <v>486</v>
      </c>
      <c r="F57" s="305" t="s">
        <v>458</v>
      </c>
      <c r="G57" s="305" t="s">
        <v>447</v>
      </c>
      <c r="H57" s="305" t="s">
        <v>637</v>
      </c>
      <c r="DA57" s="278" t="s">
        <v>310</v>
      </c>
      <c r="DB57" s="279">
        <v>45625</v>
      </c>
      <c r="DC57" s="280" t="s">
        <v>1043</v>
      </c>
      <c r="DD57" s="281">
        <v>10000</v>
      </c>
      <c r="DE57" s="281">
        <v>0</v>
      </c>
      <c r="DF57" s="281">
        <v>190389.3</v>
      </c>
      <c r="DG57" s="282" t="s">
        <v>942</v>
      </c>
      <c r="DH57" s="284">
        <v>45625</v>
      </c>
      <c r="DI57" s="284" t="s">
        <v>765</v>
      </c>
      <c r="DJ57" s="285" t="s">
        <v>486</v>
      </c>
      <c r="DK57" s="286">
        <v>53</v>
      </c>
    </row>
    <row r="58" spans="1:115">
      <c r="A58" s="305" t="s">
        <v>635</v>
      </c>
      <c r="B58" s="305" t="s">
        <v>635</v>
      </c>
      <c r="C58" s="305" t="s">
        <v>451</v>
      </c>
      <c r="D58" s="305" t="s">
        <v>638</v>
      </c>
      <c r="E58" s="305" t="s">
        <v>639</v>
      </c>
      <c r="F58" s="305" t="s">
        <v>640</v>
      </c>
      <c r="G58" s="305" t="s">
        <v>447</v>
      </c>
      <c r="H58" s="305" t="s">
        <v>641</v>
      </c>
      <c r="DA58" s="278" t="s">
        <v>310</v>
      </c>
      <c r="DB58" s="279">
        <v>45625</v>
      </c>
      <c r="DC58" s="280" t="s">
        <v>1044</v>
      </c>
      <c r="DD58" s="281">
        <v>77420</v>
      </c>
      <c r="DE58" s="281">
        <v>0</v>
      </c>
      <c r="DF58" s="281">
        <v>200389.3</v>
      </c>
      <c r="DG58" s="282" t="s">
        <v>971</v>
      </c>
      <c r="DH58" s="284">
        <v>45625</v>
      </c>
      <c r="DI58" s="284" t="s">
        <v>765</v>
      </c>
      <c r="DJ58" s="285" t="s">
        <v>639</v>
      </c>
      <c r="DK58" s="286">
        <v>54</v>
      </c>
    </row>
    <row r="59" spans="1:115">
      <c r="A59" s="305" t="s">
        <v>642</v>
      </c>
      <c r="B59" s="305" t="s">
        <v>642</v>
      </c>
      <c r="C59" s="305" t="s">
        <v>451</v>
      </c>
      <c r="D59" s="305" t="s">
        <v>452</v>
      </c>
      <c r="E59" s="305" t="s">
        <v>643</v>
      </c>
      <c r="F59" s="305" t="s">
        <v>447</v>
      </c>
      <c r="G59" s="305" t="s">
        <v>644</v>
      </c>
      <c r="H59" s="305" t="s">
        <v>645</v>
      </c>
      <c r="DA59" s="278" t="s">
        <v>310</v>
      </c>
      <c r="DB59" s="279">
        <v>45624</v>
      </c>
      <c r="DC59" s="280" t="s">
        <v>1045</v>
      </c>
      <c r="DD59" s="281">
        <v>0</v>
      </c>
      <c r="DE59" s="281">
        <v>37485</v>
      </c>
      <c r="DF59" s="281">
        <v>277809.3</v>
      </c>
      <c r="DG59" s="282" t="s">
        <v>972</v>
      </c>
      <c r="DH59" s="284">
        <v>45624</v>
      </c>
      <c r="DI59" s="284" t="s">
        <v>760</v>
      </c>
      <c r="DJ59" s="285" t="s">
        <v>643</v>
      </c>
      <c r="DK59" s="286">
        <v>55</v>
      </c>
    </row>
    <row r="60" spans="1:115">
      <c r="A60" s="305" t="s">
        <v>642</v>
      </c>
      <c r="B60" s="305" t="s">
        <v>642</v>
      </c>
      <c r="C60" s="305" t="s">
        <v>451</v>
      </c>
      <c r="D60" s="305" t="s">
        <v>452</v>
      </c>
      <c r="E60" s="305" t="s">
        <v>646</v>
      </c>
      <c r="F60" s="305" t="s">
        <v>447</v>
      </c>
      <c r="G60" s="305" t="s">
        <v>647</v>
      </c>
      <c r="H60" s="305" t="s">
        <v>648</v>
      </c>
      <c r="DA60" s="278" t="s">
        <v>310</v>
      </c>
      <c r="DB60" s="279">
        <v>45624</v>
      </c>
      <c r="DC60" s="280" t="s">
        <v>1046</v>
      </c>
      <c r="DD60" s="281">
        <v>0</v>
      </c>
      <c r="DE60" s="281">
        <v>45560</v>
      </c>
      <c r="DF60" s="281">
        <v>240324.3</v>
      </c>
      <c r="DG60" s="282" t="s">
        <v>973</v>
      </c>
      <c r="DH60" s="284">
        <v>45624</v>
      </c>
      <c r="DI60" s="284" t="s">
        <v>760</v>
      </c>
      <c r="DJ60" s="285" t="s">
        <v>646</v>
      </c>
      <c r="DK60" s="286">
        <v>56</v>
      </c>
    </row>
    <row r="61" spans="1:115">
      <c r="A61" s="305" t="s">
        <v>649</v>
      </c>
      <c r="B61" s="305" t="s">
        <v>649</v>
      </c>
      <c r="C61" s="305" t="s">
        <v>451</v>
      </c>
      <c r="D61" s="305" t="s">
        <v>452</v>
      </c>
      <c r="E61" s="305" t="s">
        <v>650</v>
      </c>
      <c r="F61" s="305" t="s">
        <v>447</v>
      </c>
      <c r="G61" s="305" t="s">
        <v>651</v>
      </c>
      <c r="H61" s="305" t="s">
        <v>652</v>
      </c>
      <c r="DA61" s="278" t="s">
        <v>310</v>
      </c>
      <c r="DB61" s="279">
        <v>45623</v>
      </c>
      <c r="DC61" s="280" t="s">
        <v>1047</v>
      </c>
      <c r="DD61" s="281">
        <v>0</v>
      </c>
      <c r="DE61" s="281">
        <v>12700</v>
      </c>
      <c r="DF61" s="281">
        <v>194764.3</v>
      </c>
      <c r="DG61" s="282" t="s">
        <v>974</v>
      </c>
      <c r="DH61" s="284">
        <v>45623</v>
      </c>
      <c r="DI61" s="284" t="s">
        <v>760</v>
      </c>
      <c r="DJ61" s="285" t="s">
        <v>650</v>
      </c>
      <c r="DK61" s="286">
        <v>57</v>
      </c>
    </row>
    <row r="62" spans="1:115">
      <c r="A62" s="305" t="s">
        <v>653</v>
      </c>
      <c r="B62" s="305" t="s">
        <v>653</v>
      </c>
      <c r="C62" s="305" t="s">
        <v>444</v>
      </c>
      <c r="D62" s="305" t="s">
        <v>654</v>
      </c>
      <c r="E62" s="305" t="s">
        <v>446</v>
      </c>
      <c r="F62" s="305" t="s">
        <v>447</v>
      </c>
      <c r="G62" s="305" t="s">
        <v>655</v>
      </c>
      <c r="H62" s="305" t="s">
        <v>656</v>
      </c>
      <c r="DA62" s="278" t="s">
        <v>310</v>
      </c>
      <c r="DB62" s="279">
        <v>45622</v>
      </c>
      <c r="DC62" s="280" t="s">
        <v>1048</v>
      </c>
      <c r="DD62" s="281">
        <v>0</v>
      </c>
      <c r="DE62" s="281">
        <v>51850</v>
      </c>
      <c r="DF62" s="281">
        <v>182064.3</v>
      </c>
      <c r="DG62" s="306" t="s">
        <v>934</v>
      </c>
      <c r="DH62" s="284">
        <v>45622</v>
      </c>
      <c r="DI62" s="284" t="s">
        <v>760</v>
      </c>
      <c r="DJ62" s="285" t="s">
        <v>446</v>
      </c>
      <c r="DK62" s="286">
        <v>58</v>
      </c>
    </row>
    <row r="63" spans="1:115">
      <c r="A63" s="305" t="s">
        <v>657</v>
      </c>
      <c r="B63" s="305" t="s">
        <v>657</v>
      </c>
      <c r="C63" s="305" t="s">
        <v>467</v>
      </c>
      <c r="D63" s="305" t="s">
        <v>452</v>
      </c>
      <c r="E63" s="305" t="s">
        <v>658</v>
      </c>
      <c r="F63" s="305" t="s">
        <v>659</v>
      </c>
      <c r="G63" s="305" t="s">
        <v>447</v>
      </c>
      <c r="H63" s="305" t="s">
        <v>660</v>
      </c>
      <c r="DA63" s="278" t="s">
        <v>310</v>
      </c>
      <c r="DB63" s="279">
        <v>45617</v>
      </c>
      <c r="DC63" s="280" t="s">
        <v>1049</v>
      </c>
      <c r="DD63" s="281">
        <v>354</v>
      </c>
      <c r="DE63" s="281">
        <v>0</v>
      </c>
      <c r="DF63" s="281">
        <v>130214.3</v>
      </c>
      <c r="DG63" s="282" t="s">
        <v>962</v>
      </c>
      <c r="DH63" s="284">
        <v>45617</v>
      </c>
      <c r="DI63" s="284" t="s">
        <v>765</v>
      </c>
      <c r="DJ63" s="285" t="s">
        <v>658</v>
      </c>
      <c r="DK63" s="286">
        <v>59</v>
      </c>
    </row>
    <row r="64" spans="1:115">
      <c r="A64" s="305" t="s">
        <v>661</v>
      </c>
      <c r="B64" s="305" t="s">
        <v>661</v>
      </c>
      <c r="C64" s="305" t="s">
        <v>456</v>
      </c>
      <c r="D64" s="305" t="s">
        <v>662</v>
      </c>
      <c r="E64" s="305" t="s">
        <v>486</v>
      </c>
      <c r="F64" s="305" t="s">
        <v>663</v>
      </c>
      <c r="G64" s="305" t="s">
        <v>447</v>
      </c>
      <c r="H64" s="305" t="s">
        <v>664</v>
      </c>
      <c r="DA64" s="278" t="s">
        <v>310</v>
      </c>
      <c r="DB64" s="279">
        <v>45615</v>
      </c>
      <c r="DC64" s="280" t="s">
        <v>1050</v>
      </c>
      <c r="DD64" s="281">
        <v>49000</v>
      </c>
      <c r="DE64" s="281">
        <v>0</v>
      </c>
      <c r="DF64" s="281">
        <v>130568.3</v>
      </c>
      <c r="DG64" s="282" t="s">
        <v>942</v>
      </c>
      <c r="DH64" s="284">
        <v>45615</v>
      </c>
      <c r="DI64" s="284" t="s">
        <v>765</v>
      </c>
      <c r="DJ64" s="285" t="s">
        <v>486</v>
      </c>
      <c r="DK64" s="286">
        <v>60</v>
      </c>
    </row>
    <row r="65" spans="1:115">
      <c r="A65" s="305" t="s">
        <v>665</v>
      </c>
      <c r="B65" s="305" t="s">
        <v>665</v>
      </c>
      <c r="C65" s="305" t="s">
        <v>467</v>
      </c>
      <c r="D65" s="305" t="s">
        <v>666</v>
      </c>
      <c r="E65" s="305" t="s">
        <v>667</v>
      </c>
      <c r="F65" s="305" t="s">
        <v>469</v>
      </c>
      <c r="G65" s="305" t="s">
        <v>447</v>
      </c>
      <c r="H65" s="305" t="s">
        <v>668</v>
      </c>
      <c r="DA65" s="278" t="s">
        <v>310</v>
      </c>
      <c r="DB65" s="279">
        <v>45610</v>
      </c>
      <c r="DC65" s="280" t="s">
        <v>1051</v>
      </c>
      <c r="DD65" s="281">
        <v>20000</v>
      </c>
      <c r="DE65" s="281">
        <v>0</v>
      </c>
      <c r="DF65" s="281">
        <v>179568.3</v>
      </c>
      <c r="DG65" s="282" t="s">
        <v>942</v>
      </c>
      <c r="DH65" s="284">
        <v>45610</v>
      </c>
      <c r="DI65" s="284" t="s">
        <v>765</v>
      </c>
      <c r="DJ65" s="285" t="s">
        <v>667</v>
      </c>
      <c r="DK65" s="286">
        <v>61</v>
      </c>
    </row>
    <row r="66" spans="1:115">
      <c r="A66" s="305" t="s">
        <v>669</v>
      </c>
      <c r="B66" s="305" t="s">
        <v>669</v>
      </c>
      <c r="C66" s="305" t="s">
        <v>451</v>
      </c>
      <c r="D66" s="305" t="s">
        <v>452</v>
      </c>
      <c r="E66" s="305" t="s">
        <v>670</v>
      </c>
      <c r="F66" s="305" t="s">
        <v>447</v>
      </c>
      <c r="G66" s="305" t="s">
        <v>483</v>
      </c>
      <c r="H66" s="305" t="s">
        <v>671</v>
      </c>
      <c r="DA66" s="278" t="s">
        <v>310</v>
      </c>
      <c r="DB66" s="279">
        <v>45609</v>
      </c>
      <c r="DC66" s="280" t="s">
        <v>1052</v>
      </c>
      <c r="DD66" s="281">
        <v>0</v>
      </c>
      <c r="DE66" s="281">
        <v>50000</v>
      </c>
      <c r="DF66" s="281">
        <v>199568.3</v>
      </c>
      <c r="DG66" s="282" t="s">
        <v>975</v>
      </c>
      <c r="DH66" s="284">
        <v>45609</v>
      </c>
      <c r="DI66" s="284" t="s">
        <v>760</v>
      </c>
      <c r="DJ66" s="285" t="s">
        <v>670</v>
      </c>
      <c r="DK66" s="286">
        <v>62</v>
      </c>
    </row>
    <row r="67" spans="1:115">
      <c r="A67" s="305" t="s">
        <v>672</v>
      </c>
      <c r="B67" s="305" t="s">
        <v>672</v>
      </c>
      <c r="C67" s="305" t="s">
        <v>456</v>
      </c>
      <c r="D67" s="305" t="s">
        <v>673</v>
      </c>
      <c r="E67" s="305" t="s">
        <v>674</v>
      </c>
      <c r="F67" s="305" t="s">
        <v>663</v>
      </c>
      <c r="G67" s="305" t="s">
        <v>447</v>
      </c>
      <c r="H67" s="305" t="s">
        <v>675</v>
      </c>
      <c r="DA67" s="278" t="s">
        <v>310</v>
      </c>
      <c r="DB67" s="279">
        <v>45608</v>
      </c>
      <c r="DC67" s="280" t="s">
        <v>1053</v>
      </c>
      <c r="DD67" s="281">
        <v>49000</v>
      </c>
      <c r="DE67" s="281">
        <v>0</v>
      </c>
      <c r="DF67" s="281">
        <v>149568.29999999999</v>
      </c>
      <c r="DG67" s="282" t="s">
        <v>942</v>
      </c>
      <c r="DH67" s="284">
        <v>45608</v>
      </c>
      <c r="DI67" s="284" t="s">
        <v>765</v>
      </c>
      <c r="DJ67" s="285" t="s">
        <v>674</v>
      </c>
      <c r="DK67" s="286">
        <v>63</v>
      </c>
    </row>
    <row r="68" spans="1:115">
      <c r="A68" s="305" t="s">
        <v>672</v>
      </c>
      <c r="B68" s="305" t="s">
        <v>672</v>
      </c>
      <c r="C68" s="305" t="s">
        <v>444</v>
      </c>
      <c r="D68" s="305" t="s">
        <v>676</v>
      </c>
      <c r="E68" s="305" t="s">
        <v>545</v>
      </c>
      <c r="F68" s="305" t="s">
        <v>447</v>
      </c>
      <c r="G68" s="305" t="s">
        <v>677</v>
      </c>
      <c r="H68" s="305" t="s">
        <v>678</v>
      </c>
      <c r="DA68" s="278" t="s">
        <v>310</v>
      </c>
      <c r="DB68" s="279">
        <v>45608</v>
      </c>
      <c r="DC68" s="280" t="s">
        <v>1054</v>
      </c>
      <c r="DD68" s="281">
        <v>0</v>
      </c>
      <c r="DE68" s="281">
        <v>41895</v>
      </c>
      <c r="DF68" s="281">
        <v>198568.3</v>
      </c>
      <c r="DG68" s="306" t="s">
        <v>955</v>
      </c>
      <c r="DH68" s="284">
        <v>45608</v>
      </c>
      <c r="DI68" s="284" t="s">
        <v>760</v>
      </c>
      <c r="DJ68" s="285" t="s">
        <v>545</v>
      </c>
      <c r="DK68" s="286">
        <v>64</v>
      </c>
    </row>
    <row r="69" spans="1:115">
      <c r="A69" s="305" t="s">
        <v>679</v>
      </c>
      <c r="B69" s="305" t="s">
        <v>679</v>
      </c>
      <c r="C69" s="305" t="s">
        <v>451</v>
      </c>
      <c r="D69" s="305" t="s">
        <v>452</v>
      </c>
      <c r="E69" s="305" t="s">
        <v>520</v>
      </c>
      <c r="F69" s="305" t="s">
        <v>521</v>
      </c>
      <c r="G69" s="305" t="s">
        <v>447</v>
      </c>
      <c r="H69" s="305" t="s">
        <v>680</v>
      </c>
      <c r="DA69" s="278" t="s">
        <v>310</v>
      </c>
      <c r="DB69" s="279">
        <v>45606</v>
      </c>
      <c r="DC69" s="280" t="s">
        <v>1055</v>
      </c>
      <c r="DD69" s="281">
        <v>30317</v>
      </c>
      <c r="DE69" s="281">
        <v>0</v>
      </c>
      <c r="DF69" s="281">
        <v>156673.29999999999</v>
      </c>
      <c r="DG69" s="282" t="s">
        <v>950</v>
      </c>
      <c r="DH69" s="284">
        <v>45606</v>
      </c>
      <c r="DI69" s="284" t="s">
        <v>765</v>
      </c>
      <c r="DJ69" s="285" t="s">
        <v>520</v>
      </c>
      <c r="DK69" s="286">
        <v>65</v>
      </c>
    </row>
    <row r="70" spans="1:115">
      <c r="A70" s="305" t="s">
        <v>681</v>
      </c>
      <c r="B70" s="305" t="s">
        <v>681</v>
      </c>
      <c r="C70" s="305" t="s">
        <v>451</v>
      </c>
      <c r="D70" s="305" t="s">
        <v>452</v>
      </c>
      <c r="E70" s="305" t="s">
        <v>682</v>
      </c>
      <c r="F70" s="305" t="s">
        <v>447</v>
      </c>
      <c r="G70" s="305" t="s">
        <v>483</v>
      </c>
      <c r="H70" s="305" t="s">
        <v>683</v>
      </c>
      <c r="DA70" s="278" t="s">
        <v>310</v>
      </c>
      <c r="DB70" s="279">
        <v>45595</v>
      </c>
      <c r="DC70" s="280" t="s">
        <v>1056</v>
      </c>
      <c r="DD70" s="281">
        <v>0</v>
      </c>
      <c r="DE70" s="281">
        <v>50000</v>
      </c>
      <c r="DF70" s="281">
        <v>186990.3</v>
      </c>
      <c r="DG70" s="282" t="s">
        <v>976</v>
      </c>
      <c r="DH70" s="284">
        <v>45595</v>
      </c>
      <c r="DI70" s="284" t="s">
        <v>760</v>
      </c>
      <c r="DJ70" s="285" t="s">
        <v>682</v>
      </c>
      <c r="DK70" s="286">
        <v>66</v>
      </c>
    </row>
    <row r="71" spans="1:115">
      <c r="A71" s="305" t="s">
        <v>681</v>
      </c>
      <c r="B71" s="305" t="s">
        <v>681</v>
      </c>
      <c r="C71" s="305" t="s">
        <v>467</v>
      </c>
      <c r="D71" s="305" t="s">
        <v>684</v>
      </c>
      <c r="E71" s="305" t="s">
        <v>667</v>
      </c>
      <c r="F71" s="305" t="s">
        <v>663</v>
      </c>
      <c r="G71" s="305" t="s">
        <v>447</v>
      </c>
      <c r="H71" s="305" t="s">
        <v>685</v>
      </c>
      <c r="DA71" s="278" t="s">
        <v>310</v>
      </c>
      <c r="DB71" s="279">
        <v>45595</v>
      </c>
      <c r="DC71" s="280" t="s">
        <v>1057</v>
      </c>
      <c r="DD71" s="281">
        <v>49000</v>
      </c>
      <c r="DE71" s="281">
        <v>0</v>
      </c>
      <c r="DF71" s="281">
        <v>136990.29999999999</v>
      </c>
      <c r="DG71" s="282" t="s">
        <v>942</v>
      </c>
      <c r="DH71" s="284">
        <v>45595</v>
      </c>
      <c r="DI71" s="284" t="s">
        <v>765</v>
      </c>
      <c r="DJ71" s="285" t="s">
        <v>667</v>
      </c>
      <c r="DK71" s="286">
        <v>67</v>
      </c>
    </row>
    <row r="72" spans="1:115">
      <c r="A72" s="305" t="s">
        <v>686</v>
      </c>
      <c r="B72" s="305" t="s">
        <v>686</v>
      </c>
      <c r="C72" s="305" t="s">
        <v>451</v>
      </c>
      <c r="D72" s="305" t="s">
        <v>452</v>
      </c>
      <c r="E72" s="305" t="s">
        <v>687</v>
      </c>
      <c r="F72" s="305" t="s">
        <v>447</v>
      </c>
      <c r="G72" s="305" t="s">
        <v>475</v>
      </c>
      <c r="H72" s="305" t="s">
        <v>688</v>
      </c>
      <c r="DA72" s="278" t="s">
        <v>310</v>
      </c>
      <c r="DB72" s="279">
        <v>45594</v>
      </c>
      <c r="DC72" s="280" t="s">
        <v>1058</v>
      </c>
      <c r="DD72" s="281">
        <v>0</v>
      </c>
      <c r="DE72" s="281">
        <v>35000</v>
      </c>
      <c r="DF72" s="281">
        <v>185990.3</v>
      </c>
      <c r="DG72" s="282" t="s">
        <v>977</v>
      </c>
      <c r="DH72" s="284">
        <v>45594</v>
      </c>
      <c r="DI72" s="284" t="s">
        <v>760</v>
      </c>
      <c r="DJ72" s="285" t="s">
        <v>687</v>
      </c>
      <c r="DK72" s="286">
        <v>68</v>
      </c>
    </row>
    <row r="73" spans="1:115">
      <c r="A73" s="305" t="s">
        <v>689</v>
      </c>
      <c r="B73" s="305" t="s">
        <v>686</v>
      </c>
      <c r="C73" s="305" t="s">
        <v>690</v>
      </c>
      <c r="D73" s="305" t="s">
        <v>452</v>
      </c>
      <c r="E73" s="305" t="s">
        <v>691</v>
      </c>
      <c r="F73" s="305" t="s">
        <v>447</v>
      </c>
      <c r="G73" s="305" t="s">
        <v>514</v>
      </c>
      <c r="H73" s="305" t="s">
        <v>692</v>
      </c>
      <c r="DA73" s="278" t="s">
        <v>310</v>
      </c>
      <c r="DB73" s="279">
        <v>45593</v>
      </c>
      <c r="DC73" s="280" t="s">
        <v>1059</v>
      </c>
      <c r="DD73" s="281">
        <v>0</v>
      </c>
      <c r="DE73" s="281">
        <v>30000</v>
      </c>
      <c r="DF73" s="281">
        <v>150990.29999999999</v>
      </c>
      <c r="DG73" s="282" t="s">
        <v>978</v>
      </c>
      <c r="DH73" s="284">
        <v>45593</v>
      </c>
      <c r="DI73" s="284" t="s">
        <v>760</v>
      </c>
      <c r="DJ73" s="285" t="s">
        <v>691</v>
      </c>
      <c r="DK73" s="286">
        <v>69</v>
      </c>
    </row>
    <row r="74" spans="1:115">
      <c r="A74" s="305" t="s">
        <v>689</v>
      </c>
      <c r="B74" s="305" t="s">
        <v>686</v>
      </c>
      <c r="C74" s="305" t="s">
        <v>690</v>
      </c>
      <c r="D74" s="305" t="s">
        <v>452</v>
      </c>
      <c r="E74" s="305" t="s">
        <v>693</v>
      </c>
      <c r="F74" s="305" t="s">
        <v>447</v>
      </c>
      <c r="G74" s="305" t="s">
        <v>694</v>
      </c>
      <c r="H74" s="305" t="s">
        <v>695</v>
      </c>
      <c r="DA74" s="278" t="s">
        <v>310</v>
      </c>
      <c r="DB74" s="279">
        <v>45593</v>
      </c>
      <c r="DC74" s="280" t="s">
        <v>1060</v>
      </c>
      <c r="DD74" s="281">
        <v>0</v>
      </c>
      <c r="DE74" s="281">
        <v>12770</v>
      </c>
      <c r="DF74" s="281">
        <v>120990.3</v>
      </c>
      <c r="DG74" s="282" t="s">
        <v>979</v>
      </c>
      <c r="DH74" s="284">
        <v>45593</v>
      </c>
      <c r="DI74" s="284" t="s">
        <v>760</v>
      </c>
      <c r="DJ74" s="285" t="s">
        <v>693</v>
      </c>
      <c r="DK74" s="286">
        <v>70</v>
      </c>
    </row>
    <row r="75" spans="1:115">
      <c r="A75" s="305" t="s">
        <v>689</v>
      </c>
      <c r="B75" s="305" t="s">
        <v>689</v>
      </c>
      <c r="C75" s="305" t="s">
        <v>467</v>
      </c>
      <c r="D75" s="305" t="s">
        <v>696</v>
      </c>
      <c r="E75" s="305" t="s">
        <v>697</v>
      </c>
      <c r="F75" s="305" t="s">
        <v>698</v>
      </c>
      <c r="G75" s="305" t="s">
        <v>447</v>
      </c>
      <c r="H75" s="305" t="s">
        <v>699</v>
      </c>
      <c r="DA75" s="278" t="s">
        <v>310</v>
      </c>
      <c r="DB75" s="279">
        <v>45593</v>
      </c>
      <c r="DC75" s="280" t="s">
        <v>1061</v>
      </c>
      <c r="DD75" s="281">
        <v>200000</v>
      </c>
      <c r="DE75" s="281">
        <v>0</v>
      </c>
      <c r="DF75" s="281">
        <v>108220.3</v>
      </c>
      <c r="DG75" s="282" t="s">
        <v>942</v>
      </c>
      <c r="DH75" s="284">
        <v>45593</v>
      </c>
      <c r="DI75" s="284" t="s">
        <v>765</v>
      </c>
      <c r="DJ75" s="285" t="s">
        <v>697</v>
      </c>
      <c r="DK75" s="286">
        <v>71</v>
      </c>
    </row>
    <row r="76" spans="1:115">
      <c r="A76" s="305" t="s">
        <v>700</v>
      </c>
      <c r="B76" s="305" t="s">
        <v>700</v>
      </c>
      <c r="C76" s="305" t="s">
        <v>451</v>
      </c>
      <c r="D76" s="305" t="s">
        <v>452</v>
      </c>
      <c r="E76" s="305" t="s">
        <v>701</v>
      </c>
      <c r="F76" s="305" t="s">
        <v>447</v>
      </c>
      <c r="G76" s="305" t="s">
        <v>483</v>
      </c>
      <c r="H76" s="305" t="s">
        <v>702</v>
      </c>
      <c r="DA76" s="278" t="s">
        <v>310</v>
      </c>
      <c r="DB76" s="279">
        <v>45591</v>
      </c>
      <c r="DC76" s="280" t="s">
        <v>1062</v>
      </c>
      <c r="DD76" s="281">
        <v>0</v>
      </c>
      <c r="DE76" s="281">
        <v>50000</v>
      </c>
      <c r="DF76" s="281">
        <v>308220.3</v>
      </c>
      <c r="DG76" s="282" t="s">
        <v>980</v>
      </c>
      <c r="DH76" s="284">
        <v>45591</v>
      </c>
      <c r="DI76" s="284" t="s">
        <v>760</v>
      </c>
      <c r="DJ76" s="285" t="s">
        <v>701</v>
      </c>
      <c r="DK76" s="286">
        <v>72</v>
      </c>
    </row>
    <row r="77" spans="1:115">
      <c r="A77" s="305" t="s">
        <v>703</v>
      </c>
      <c r="B77" s="305" t="s">
        <v>703</v>
      </c>
      <c r="C77" s="305" t="s">
        <v>451</v>
      </c>
      <c r="D77" s="305" t="s">
        <v>704</v>
      </c>
      <c r="E77" s="305" t="s">
        <v>705</v>
      </c>
      <c r="F77" s="305" t="s">
        <v>447</v>
      </c>
      <c r="G77" s="305" t="s">
        <v>706</v>
      </c>
      <c r="H77" s="305" t="s">
        <v>707</v>
      </c>
      <c r="DA77" s="278" t="s">
        <v>310</v>
      </c>
      <c r="DB77" s="279">
        <v>45590</v>
      </c>
      <c r="DC77" s="280" t="s">
        <v>1063</v>
      </c>
      <c r="DD77" s="281">
        <v>0</v>
      </c>
      <c r="DE77" s="281">
        <v>58354</v>
      </c>
      <c r="DF77" s="281">
        <v>258220.3</v>
      </c>
      <c r="DG77" s="306" t="s">
        <v>967</v>
      </c>
      <c r="DH77" s="284">
        <v>45590</v>
      </c>
      <c r="DI77" s="284" t="s">
        <v>760</v>
      </c>
      <c r="DJ77" s="285" t="s">
        <v>705</v>
      </c>
      <c r="DK77" s="286">
        <v>73</v>
      </c>
    </row>
    <row r="78" spans="1:115">
      <c r="A78" s="305" t="s">
        <v>703</v>
      </c>
      <c r="B78" s="305" t="s">
        <v>703</v>
      </c>
      <c r="C78" s="305" t="s">
        <v>451</v>
      </c>
      <c r="D78" s="305" t="s">
        <v>708</v>
      </c>
      <c r="E78" s="305" t="s">
        <v>705</v>
      </c>
      <c r="F78" s="305" t="s">
        <v>447</v>
      </c>
      <c r="G78" s="305" t="s">
        <v>709</v>
      </c>
      <c r="H78" s="305" t="s">
        <v>710</v>
      </c>
      <c r="DA78" s="278" t="s">
        <v>310</v>
      </c>
      <c r="DB78" s="279">
        <v>45590</v>
      </c>
      <c r="DC78" s="280" t="s">
        <v>1064</v>
      </c>
      <c r="DD78" s="281">
        <v>0</v>
      </c>
      <c r="DE78" s="281">
        <v>36225</v>
      </c>
      <c r="DF78" s="281">
        <v>199866.3</v>
      </c>
      <c r="DG78" s="306" t="s">
        <v>967</v>
      </c>
      <c r="DH78" s="284">
        <v>45590</v>
      </c>
      <c r="DI78" s="284" t="s">
        <v>760</v>
      </c>
      <c r="DJ78" s="285" t="s">
        <v>705</v>
      </c>
      <c r="DK78" s="286">
        <v>74</v>
      </c>
    </row>
    <row r="79" spans="1:115">
      <c r="A79" s="305" t="s">
        <v>711</v>
      </c>
      <c r="B79" s="305" t="s">
        <v>711</v>
      </c>
      <c r="C79" s="305" t="s">
        <v>444</v>
      </c>
      <c r="D79" s="305" t="s">
        <v>712</v>
      </c>
      <c r="E79" s="305" t="s">
        <v>713</v>
      </c>
      <c r="F79" s="305" t="s">
        <v>447</v>
      </c>
      <c r="G79" s="305" t="s">
        <v>483</v>
      </c>
      <c r="H79" s="305" t="s">
        <v>714</v>
      </c>
      <c r="DA79" s="278" t="s">
        <v>310</v>
      </c>
      <c r="DB79" s="279">
        <v>45589</v>
      </c>
      <c r="DC79" s="280" t="s">
        <v>1065</v>
      </c>
      <c r="DD79" s="281">
        <v>0</v>
      </c>
      <c r="DE79" s="281">
        <v>50000</v>
      </c>
      <c r="DF79" s="281">
        <v>163641.29999999999</v>
      </c>
      <c r="DG79" s="306" t="s">
        <v>934</v>
      </c>
      <c r="DH79" s="284">
        <v>45589</v>
      </c>
      <c r="DI79" s="284" t="s">
        <v>760</v>
      </c>
      <c r="DJ79" s="285" t="s">
        <v>713</v>
      </c>
      <c r="DK79" s="286">
        <v>75</v>
      </c>
    </row>
    <row r="80" spans="1:115">
      <c r="A80" s="305" t="s">
        <v>715</v>
      </c>
      <c r="B80" s="305" t="s">
        <v>715</v>
      </c>
      <c r="C80" s="305" t="s">
        <v>451</v>
      </c>
      <c r="D80" s="305" t="s">
        <v>716</v>
      </c>
      <c r="E80" s="305" t="s">
        <v>717</v>
      </c>
      <c r="F80" s="305" t="s">
        <v>718</v>
      </c>
      <c r="G80" s="305" t="s">
        <v>447</v>
      </c>
      <c r="H80" s="305" t="s">
        <v>719</v>
      </c>
      <c r="DA80" s="278" t="s">
        <v>310</v>
      </c>
      <c r="DB80" s="279">
        <v>45587</v>
      </c>
      <c r="DC80" s="280" t="s">
        <v>1066</v>
      </c>
      <c r="DD80" s="281">
        <v>55646</v>
      </c>
      <c r="DE80" s="281">
        <v>0</v>
      </c>
      <c r="DF80" s="281">
        <v>113641.3</v>
      </c>
      <c r="DG80" s="282" t="s">
        <v>981</v>
      </c>
      <c r="DH80" s="284">
        <v>45587</v>
      </c>
      <c r="DI80" s="284" t="s">
        <v>765</v>
      </c>
      <c r="DJ80" s="285" t="s">
        <v>717</v>
      </c>
      <c r="DK80" s="286">
        <v>76</v>
      </c>
    </row>
    <row r="81" spans="1:115">
      <c r="A81" s="305" t="s">
        <v>715</v>
      </c>
      <c r="B81" s="305" t="s">
        <v>715</v>
      </c>
      <c r="C81" s="305" t="s">
        <v>451</v>
      </c>
      <c r="D81" s="305" t="s">
        <v>720</v>
      </c>
      <c r="E81" s="305" t="s">
        <v>721</v>
      </c>
      <c r="F81" s="305" t="s">
        <v>698</v>
      </c>
      <c r="G81" s="305" t="s">
        <v>447</v>
      </c>
      <c r="H81" s="305" t="s">
        <v>722</v>
      </c>
      <c r="DA81" s="278" t="s">
        <v>310</v>
      </c>
      <c r="DB81" s="279">
        <v>45587</v>
      </c>
      <c r="DC81" s="280" t="s">
        <v>1067</v>
      </c>
      <c r="DD81" s="281">
        <v>200000</v>
      </c>
      <c r="DE81" s="281">
        <v>0</v>
      </c>
      <c r="DF81" s="281">
        <v>169287.3</v>
      </c>
      <c r="DG81" s="282" t="s">
        <v>982</v>
      </c>
      <c r="DH81" s="284">
        <v>45587</v>
      </c>
      <c r="DI81" s="284" t="s">
        <v>765</v>
      </c>
      <c r="DJ81" s="285" t="s">
        <v>721</v>
      </c>
      <c r="DK81" s="286">
        <v>77</v>
      </c>
    </row>
    <row r="82" spans="1:115">
      <c r="A82" s="305" t="s">
        <v>723</v>
      </c>
      <c r="B82" s="305" t="s">
        <v>723</v>
      </c>
      <c r="C82" s="305" t="s">
        <v>467</v>
      </c>
      <c r="D82" s="305" t="s">
        <v>452</v>
      </c>
      <c r="E82" s="305" t="s">
        <v>724</v>
      </c>
      <c r="F82" s="305" t="s">
        <v>479</v>
      </c>
      <c r="G82" s="305" t="s">
        <v>447</v>
      </c>
      <c r="H82" s="305" t="s">
        <v>725</v>
      </c>
      <c r="DA82" s="278" t="s">
        <v>310</v>
      </c>
      <c r="DB82" s="279">
        <v>45586</v>
      </c>
      <c r="DC82" s="280" t="s">
        <v>1068</v>
      </c>
      <c r="DD82" s="281">
        <v>23.6</v>
      </c>
      <c r="DE82" s="281">
        <v>0</v>
      </c>
      <c r="DF82" s="281">
        <v>369287.3</v>
      </c>
      <c r="DG82" s="282" t="s">
        <v>983</v>
      </c>
      <c r="DH82" s="284">
        <v>45586</v>
      </c>
      <c r="DI82" s="284" t="s">
        <v>765</v>
      </c>
      <c r="DJ82" s="285" t="s">
        <v>724</v>
      </c>
      <c r="DK82" s="286">
        <v>78</v>
      </c>
    </row>
    <row r="83" spans="1:115">
      <c r="A83" s="305" t="s">
        <v>726</v>
      </c>
      <c r="B83" s="305" t="s">
        <v>726</v>
      </c>
      <c r="C83" s="305" t="s">
        <v>451</v>
      </c>
      <c r="D83" s="305" t="s">
        <v>452</v>
      </c>
      <c r="E83" s="305" t="s">
        <v>727</v>
      </c>
      <c r="F83" s="305" t="s">
        <v>447</v>
      </c>
      <c r="G83" s="305" t="s">
        <v>483</v>
      </c>
      <c r="H83" s="305" t="s">
        <v>728</v>
      </c>
      <c r="DA83" s="278" t="s">
        <v>310</v>
      </c>
      <c r="DB83" s="279">
        <v>45584</v>
      </c>
      <c r="DC83" s="280" t="s">
        <v>1069</v>
      </c>
      <c r="DD83" s="281">
        <v>0</v>
      </c>
      <c r="DE83" s="281">
        <v>50000</v>
      </c>
      <c r="DF83" s="281">
        <v>369310.9</v>
      </c>
      <c r="DG83" s="282" t="s">
        <v>984</v>
      </c>
      <c r="DH83" s="284">
        <v>45584</v>
      </c>
      <c r="DI83" s="284" t="s">
        <v>760</v>
      </c>
      <c r="DJ83" s="285" t="s">
        <v>727</v>
      </c>
      <c r="DK83" s="286">
        <v>79</v>
      </c>
    </row>
    <row r="84" spans="1:115">
      <c r="A84" s="305" t="s">
        <v>726</v>
      </c>
      <c r="B84" s="305" t="s">
        <v>726</v>
      </c>
      <c r="C84" s="305" t="s">
        <v>452</v>
      </c>
      <c r="D84" s="305" t="s">
        <v>452</v>
      </c>
      <c r="E84" s="305" t="s">
        <v>729</v>
      </c>
      <c r="F84" s="305" t="s">
        <v>730</v>
      </c>
      <c r="G84" s="305" t="s">
        <v>447</v>
      </c>
      <c r="H84" s="305" t="s">
        <v>731</v>
      </c>
      <c r="DA84" s="278" t="s">
        <v>310</v>
      </c>
      <c r="DB84" s="279">
        <v>45584</v>
      </c>
      <c r="DC84" s="280" t="s">
        <v>1070</v>
      </c>
      <c r="DD84" s="281">
        <v>72</v>
      </c>
      <c r="DE84" s="281">
        <v>0</v>
      </c>
      <c r="DF84" s="281">
        <v>319310.90000000002</v>
      </c>
      <c r="DG84" s="282" t="s">
        <v>729</v>
      </c>
      <c r="DH84" s="284">
        <v>45584</v>
      </c>
      <c r="DI84" s="284" t="s">
        <v>765</v>
      </c>
      <c r="DJ84" s="285" t="s">
        <v>729</v>
      </c>
      <c r="DK84" s="286">
        <v>80</v>
      </c>
    </row>
    <row r="85" spans="1:115">
      <c r="A85" s="305" t="s">
        <v>726</v>
      </c>
      <c r="B85" s="305" t="s">
        <v>726</v>
      </c>
      <c r="C85" s="305" t="s">
        <v>452</v>
      </c>
      <c r="D85" s="305" t="s">
        <v>452</v>
      </c>
      <c r="E85" s="305" t="s">
        <v>732</v>
      </c>
      <c r="F85" s="305" t="s">
        <v>733</v>
      </c>
      <c r="G85" s="305" t="s">
        <v>447</v>
      </c>
      <c r="H85" s="305" t="s">
        <v>734</v>
      </c>
      <c r="DA85" s="278" t="s">
        <v>310</v>
      </c>
      <c r="DB85" s="279">
        <v>45584</v>
      </c>
      <c r="DC85" s="280" t="s">
        <v>1071</v>
      </c>
      <c r="DD85" s="281">
        <v>400</v>
      </c>
      <c r="DE85" s="281">
        <v>0</v>
      </c>
      <c r="DF85" s="281">
        <v>319382.90000000002</v>
      </c>
      <c r="DG85" s="282" t="s">
        <v>985</v>
      </c>
      <c r="DH85" s="284">
        <v>45584</v>
      </c>
      <c r="DI85" s="284" t="s">
        <v>765</v>
      </c>
      <c r="DJ85" s="285" t="s">
        <v>732</v>
      </c>
      <c r="DK85" s="286">
        <v>81</v>
      </c>
    </row>
    <row r="86" spans="1:115">
      <c r="A86" s="305" t="s">
        <v>726</v>
      </c>
      <c r="B86" s="305" t="s">
        <v>726</v>
      </c>
      <c r="C86" s="305" t="s">
        <v>467</v>
      </c>
      <c r="D86" s="305" t="s">
        <v>735</v>
      </c>
      <c r="E86" s="305" t="s">
        <v>674</v>
      </c>
      <c r="F86" s="305" t="s">
        <v>608</v>
      </c>
      <c r="G86" s="305" t="s">
        <v>447</v>
      </c>
      <c r="H86" s="305" t="s">
        <v>736</v>
      </c>
      <c r="DA86" s="278" t="s">
        <v>310</v>
      </c>
      <c r="DB86" s="279">
        <v>45584</v>
      </c>
      <c r="DC86" s="280" t="s">
        <v>1072</v>
      </c>
      <c r="DD86" s="281">
        <v>40000</v>
      </c>
      <c r="DE86" s="281">
        <v>0</v>
      </c>
      <c r="DF86" s="281">
        <v>319782.90000000002</v>
      </c>
      <c r="DG86" s="282" t="s">
        <v>942</v>
      </c>
      <c r="DH86" s="284">
        <v>45584</v>
      </c>
      <c r="DI86" s="284" t="s">
        <v>765</v>
      </c>
      <c r="DJ86" s="285" t="s">
        <v>674</v>
      </c>
      <c r="DK86" s="286">
        <v>82</v>
      </c>
    </row>
    <row r="87" spans="1:115">
      <c r="A87" s="305" t="s">
        <v>726</v>
      </c>
      <c r="B87" s="305" t="s">
        <v>726</v>
      </c>
      <c r="C87" s="305" t="s">
        <v>451</v>
      </c>
      <c r="D87" s="305" t="s">
        <v>737</v>
      </c>
      <c r="E87" s="305" t="s">
        <v>738</v>
      </c>
      <c r="F87" s="305" t="s">
        <v>739</v>
      </c>
      <c r="G87" s="305" t="s">
        <v>447</v>
      </c>
      <c r="H87" s="305" t="s">
        <v>740</v>
      </c>
      <c r="DA87" s="278" t="s">
        <v>310</v>
      </c>
      <c r="DB87" s="279">
        <v>45584</v>
      </c>
      <c r="DC87" s="280" t="s">
        <v>1073</v>
      </c>
      <c r="DD87" s="281">
        <v>4788</v>
      </c>
      <c r="DE87" s="281">
        <v>0</v>
      </c>
      <c r="DF87" s="281">
        <v>359782.9</v>
      </c>
      <c r="DG87" s="282" t="s">
        <v>986</v>
      </c>
      <c r="DH87" s="284">
        <v>45584</v>
      </c>
      <c r="DI87" s="284" t="s">
        <v>765</v>
      </c>
      <c r="DJ87" s="285" t="s">
        <v>738</v>
      </c>
      <c r="DK87" s="286">
        <v>83</v>
      </c>
    </row>
    <row r="88" spans="1:115">
      <c r="A88" s="305" t="s">
        <v>741</v>
      </c>
      <c r="B88" s="305" t="s">
        <v>741</v>
      </c>
      <c r="C88" s="305" t="s">
        <v>451</v>
      </c>
      <c r="D88" s="305" t="s">
        <v>452</v>
      </c>
      <c r="E88" s="305" t="s">
        <v>742</v>
      </c>
      <c r="F88" s="305" t="s">
        <v>447</v>
      </c>
      <c r="G88" s="305" t="s">
        <v>514</v>
      </c>
      <c r="H88" s="305" t="s">
        <v>743</v>
      </c>
      <c r="DA88" s="278" t="s">
        <v>310</v>
      </c>
      <c r="DB88" s="279">
        <v>45582</v>
      </c>
      <c r="DC88" s="280" t="s">
        <v>1074</v>
      </c>
      <c r="DD88" s="281">
        <v>0</v>
      </c>
      <c r="DE88" s="281">
        <v>30000</v>
      </c>
      <c r="DF88" s="281">
        <v>364570.9</v>
      </c>
      <c r="DG88" s="282" t="s">
        <v>987</v>
      </c>
      <c r="DH88" s="284">
        <v>45582</v>
      </c>
      <c r="DI88" s="284" t="s">
        <v>760</v>
      </c>
      <c r="DJ88" s="285" t="s">
        <v>742</v>
      </c>
      <c r="DK88" s="286">
        <v>84</v>
      </c>
    </row>
    <row r="89" spans="1:115">
      <c r="A89" s="305" t="s">
        <v>741</v>
      </c>
      <c r="B89" s="305" t="s">
        <v>741</v>
      </c>
      <c r="C89" s="305" t="s">
        <v>467</v>
      </c>
      <c r="D89" s="305" t="s">
        <v>744</v>
      </c>
      <c r="E89" s="305" t="s">
        <v>674</v>
      </c>
      <c r="F89" s="305" t="s">
        <v>663</v>
      </c>
      <c r="G89" s="305" t="s">
        <v>447</v>
      </c>
      <c r="H89" s="305" t="s">
        <v>745</v>
      </c>
      <c r="DA89" s="278" t="s">
        <v>310</v>
      </c>
      <c r="DB89" s="279">
        <v>45582</v>
      </c>
      <c r="DC89" s="280" t="s">
        <v>1075</v>
      </c>
      <c r="DD89" s="281">
        <v>49000</v>
      </c>
      <c r="DE89" s="281">
        <v>0</v>
      </c>
      <c r="DF89" s="281">
        <v>334570.90000000002</v>
      </c>
      <c r="DG89" s="282" t="s">
        <v>942</v>
      </c>
      <c r="DH89" s="284">
        <v>45582</v>
      </c>
      <c r="DI89" s="284" t="s">
        <v>765</v>
      </c>
      <c r="DJ89" s="285" t="s">
        <v>674</v>
      </c>
      <c r="DK89" s="286">
        <v>85</v>
      </c>
    </row>
    <row r="90" spans="1:115">
      <c r="A90" s="305" t="s">
        <v>741</v>
      </c>
      <c r="B90" s="305" t="s">
        <v>741</v>
      </c>
      <c r="C90" s="305" t="s">
        <v>451</v>
      </c>
      <c r="D90" s="305" t="s">
        <v>746</v>
      </c>
      <c r="E90" s="305" t="s">
        <v>747</v>
      </c>
      <c r="F90" s="305" t="s">
        <v>748</v>
      </c>
      <c r="G90" s="305" t="s">
        <v>447</v>
      </c>
      <c r="H90" s="305" t="s">
        <v>749</v>
      </c>
      <c r="DA90" s="278" t="s">
        <v>310</v>
      </c>
      <c r="DB90" s="279">
        <v>45582</v>
      </c>
      <c r="DC90" s="280" t="s">
        <v>1076</v>
      </c>
      <c r="DD90" s="281">
        <v>10800</v>
      </c>
      <c r="DE90" s="281">
        <v>0</v>
      </c>
      <c r="DF90" s="281">
        <v>383570.9</v>
      </c>
      <c r="DG90" s="282" t="s">
        <v>988</v>
      </c>
      <c r="DH90" s="284">
        <v>45582</v>
      </c>
      <c r="DI90" s="284" t="s">
        <v>765</v>
      </c>
      <c r="DJ90" s="285" t="s">
        <v>747</v>
      </c>
      <c r="DK90" s="286">
        <v>86</v>
      </c>
    </row>
    <row r="91" spans="1:115">
      <c r="A91" s="305" t="s">
        <v>750</v>
      </c>
      <c r="B91" s="305" t="s">
        <v>750</v>
      </c>
      <c r="C91" s="305" t="s">
        <v>451</v>
      </c>
      <c r="D91" s="305" t="s">
        <v>751</v>
      </c>
      <c r="E91" s="305" t="s">
        <v>752</v>
      </c>
      <c r="F91" s="305" t="s">
        <v>447</v>
      </c>
      <c r="G91" s="305" t="s">
        <v>753</v>
      </c>
      <c r="H91" s="305" t="s">
        <v>754</v>
      </c>
      <c r="DA91" s="278" t="s">
        <v>310</v>
      </c>
      <c r="DB91" s="279">
        <v>45581</v>
      </c>
      <c r="DC91" s="280" t="s">
        <v>1077</v>
      </c>
      <c r="DD91" s="281">
        <v>0</v>
      </c>
      <c r="DE91" s="281">
        <v>150000</v>
      </c>
      <c r="DF91" s="281">
        <v>394370.9</v>
      </c>
      <c r="DG91" s="306" t="s">
        <v>989</v>
      </c>
      <c r="DH91" s="284">
        <v>45581</v>
      </c>
      <c r="DI91" s="284" t="s">
        <v>760</v>
      </c>
      <c r="DJ91" s="285" t="s">
        <v>752</v>
      </c>
      <c r="DK91" s="286">
        <v>87</v>
      </c>
    </row>
    <row r="92" spans="1:115">
      <c r="A92" s="305" t="s">
        <v>750</v>
      </c>
      <c r="B92" s="305" t="s">
        <v>750</v>
      </c>
      <c r="C92" s="305" t="s">
        <v>451</v>
      </c>
      <c r="D92" s="305" t="s">
        <v>755</v>
      </c>
      <c r="E92" s="305" t="s">
        <v>756</v>
      </c>
      <c r="F92" s="305" t="s">
        <v>555</v>
      </c>
      <c r="G92" s="305" t="s">
        <v>447</v>
      </c>
      <c r="H92" s="305" t="s">
        <v>757</v>
      </c>
      <c r="DA92" s="278" t="s">
        <v>310</v>
      </c>
      <c r="DB92" s="279">
        <v>45581</v>
      </c>
      <c r="DC92" s="280" t="s">
        <v>1078</v>
      </c>
      <c r="DD92" s="281">
        <v>100000</v>
      </c>
      <c r="DE92" s="281">
        <v>0</v>
      </c>
      <c r="DF92" s="281">
        <v>244370.9</v>
      </c>
      <c r="DG92" s="282" t="s">
        <v>990</v>
      </c>
      <c r="DH92" s="284">
        <v>45581</v>
      </c>
      <c r="DI92" s="284" t="s">
        <v>765</v>
      </c>
      <c r="DJ92" s="285" t="s">
        <v>756</v>
      </c>
      <c r="DK92" s="286">
        <v>88</v>
      </c>
    </row>
  </sheetData>
  <sheetProtection algorithmName="SHA-512" hashValue="tn218v1ObAcPAPT5XcB5NhZhDH8zLGSxNBllIbZSZsQ0pr+NHBn11+wspr6boWUf9S2AzNJldDw/zwJKSiVomQ==" saltValue="41Z33htXN9YmyQkNaurXM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 DH5:DH92 DJ5:DJ92 DA5:DA92" name="Range1_11"/>
    <protectedRange algorithmName="SHA-512" hashValue="FeHjunJeBmEIe1Z+x4LSLD0xeXKoeHqEB4mLNgYC3pUDxBFAiT2e1scH7F48tQXpPGOh+9Z9iw2K5jb0kUxFkQ==" saltValue="Arxg+XESKZddo6Y2q+NDbg==" spinCount="100000" sqref="DD3:DF3 DD5:DF92" name="Range1_1_8"/>
    <protectedRange algorithmName="SHA-512" hashValue="FeHjunJeBmEIe1Z+x4LSLD0xeXKoeHqEB4mLNgYC3pUDxBFAiT2e1scH7F48tQXpPGOh+9Z9iw2K5jb0kUxFkQ==" saltValue="Arxg+XESKZddo6Y2q+NDbg==" spinCount="100000" sqref="DI3 DI5:DI92" name="Range1_2_8"/>
    <protectedRange algorithmName="SHA-512" hashValue="FeHjunJeBmEIe1Z+x4LSLD0xeXKoeHqEB4mLNgYC3pUDxBFAiT2e1scH7F48tQXpPGOh+9Z9iw2K5jb0kUxFkQ==" saltValue="Arxg+XESKZddo6Y2q+NDbg==" spinCount="100000" sqref="DK3 DK5:DK92" name="Range1_3_7"/>
    <protectedRange algorithmName="SHA-512" hashValue="FeHjunJeBmEIe1Z+x4LSLD0xeXKoeHqEB4mLNgYC3pUDxBFAiT2e1scH7F48tQXpPGOh+9Z9iw2K5jb0kUxFkQ==" saltValue="Arxg+XESKZddo6Y2q+NDbg==" spinCount="100000" sqref="DB3 DB5:DB92" name="Range1_4_1"/>
    <protectedRange algorithmName="SHA-512" hashValue="FeHjunJeBmEIe1Z+x4LSLD0xeXKoeHqEB4mLNgYC3pUDxBFAiT2e1scH7F48tQXpPGOh+9Z9iw2K5jb0kUxFkQ==" saltValue="Arxg+XESKZddo6Y2q+NDbg==" spinCount="100000" sqref="DC3 DC5:DC92" name="Range1_5"/>
  </protectedRanges>
  <conditionalFormatting sqref="E3">
    <cfRule type="cellIs" dxfId="542" priority="11" operator="equal">
      <formula>#N/A</formula>
    </cfRule>
  </conditionalFormatting>
  <conditionalFormatting sqref="DG2">
    <cfRule type="cellIs" dxfId="541" priority="10" operator="equal">
      <formula>#N/A</formula>
    </cfRule>
  </conditionalFormatting>
  <conditionalFormatting sqref="DH2:DI2">
    <cfRule type="cellIs" dxfId="540" priority="9" operator="equal">
      <formula>#N/A</formula>
    </cfRule>
  </conditionalFormatting>
  <conditionalFormatting sqref="I1:I2">
    <cfRule type="cellIs" dxfId="539" priority="8" operator="equal">
      <formula>#N/A</formula>
    </cfRule>
  </conditionalFormatting>
  <conditionalFormatting sqref="H1">
    <cfRule type="cellIs" dxfId="538" priority="7" operator="equal">
      <formula>#N/A</formula>
    </cfRule>
  </conditionalFormatting>
  <conditionalFormatting sqref="E1">
    <cfRule type="cellIs" dxfId="537" priority="6" operator="equal">
      <formula>#N/A</formula>
    </cfRule>
  </conditionalFormatting>
  <conditionalFormatting sqref="I1">
    <cfRule type="containsText" dxfId="536" priority="4" operator="containsText" text="All Data Import Successfully">
      <formula>NOT(ISERROR(SEARCH("All Data Import Successfully",I1)))</formula>
    </cfRule>
    <cfRule type="containsText" dxfId="535" priority="5" operator="containsText" text="Difference Entry">
      <formula>NOT(ISERROR(SEARCH("Difference Entry",I1)))</formula>
    </cfRule>
  </conditionalFormatting>
  <conditionalFormatting sqref="E2:G2">
    <cfRule type="cellIs" dxfId="534" priority="3" operator="equal">
      <formula>#N/A</formula>
    </cfRule>
  </conditionalFormatting>
  <conditionalFormatting sqref="H2">
    <cfRule type="cellIs" dxfId="533" priority="2" operator="equal">
      <formula>#N/A</formula>
    </cfRule>
  </conditionalFormatting>
  <conditionalFormatting sqref="I2">
    <cfRule type="cellIs" dxfId="53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56">
    <tabColor theme="8" tint="0.79998168889431442"/>
  </sheetPr>
  <dimension ref="A1:DZ4"/>
  <sheetViews>
    <sheetView workbookViewId="0">
      <selection activeCell="C13" sqref="C13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202</v>
      </c>
      <c r="T1" s="92">
        <v>7</v>
      </c>
      <c r="U1" s="92" t="s">
        <v>180</v>
      </c>
      <c r="V1" s="92" t="s">
        <v>171</v>
      </c>
      <c r="W1" s="92" t="s">
        <v>172</v>
      </c>
      <c r="X1" s="99" t="s">
        <v>6</v>
      </c>
      <c r="Y1" s="99">
        <v>3</v>
      </c>
      <c r="Z1" s="92">
        <v>0</v>
      </c>
      <c r="AA1" s="92" t="s">
        <v>254</v>
      </c>
      <c r="AB1" s="92" t="s">
        <v>196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 xml:space="preserve">City Union Bank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333</v>
      </c>
      <c r="B3" s="56"/>
      <c r="C3" s="55"/>
      <c r="D3" s="55"/>
      <c r="E3" s="57"/>
      <c r="F3" s="55"/>
      <c r="G3" s="21"/>
      <c r="H3" s="21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+DA2</f>
        <v xml:space="preserve">City Union Bank </v>
      </c>
      <c r="DB3" s="165" t="e">
        <f>VALUE(A3)</f>
        <v>#VALUE!</v>
      </c>
      <c r="DC3" s="166" t="e">
        <f>+CONCATENATE(TEXT(DB3,"D"),"",TEXT(DB3,"MM"),"","/",ABS(SUBSTITUTE(DF3,",","")),"/",DK3)</f>
        <v>#VALUE!</v>
      </c>
      <c r="DD3" s="131">
        <f>IF(TRIM(D3)="",VALUE("0"),VALUE(SUBSTITUTE((TRIM(D3)),",","")))</f>
        <v>0</v>
      </c>
      <c r="DE3" s="131">
        <f>IF(E3="",VALUE("0"),VALUE(SUBSTITUTE((E3),",","")))</f>
        <v>0</v>
      </c>
      <c r="DF3" s="131" t="e">
        <f>IF(TRIM(F3)=" ","",VALUE(SUBSTITUTE((TRIM(F3)),",","")))</f>
        <v>#VALUE!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 t="e">
        <f>VALUE(A3)</f>
        <v>#VALUE!</v>
      </c>
      <c r="DI3" s="168" t="str">
        <f>+IF(DE3=0,"Suspance Payment","Suspance Receipt")</f>
        <v>Suspance Payment</v>
      </c>
      <c r="DJ3" s="173">
        <f>+B3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56" t="s">
        <v>32</v>
      </c>
      <c r="B4" s="157" t="s">
        <v>146</v>
      </c>
      <c r="C4" s="158" t="s">
        <v>34</v>
      </c>
      <c r="D4" s="158" t="s">
        <v>234</v>
      </c>
      <c r="E4" s="159" t="s">
        <v>154</v>
      </c>
      <c r="F4" s="159" t="s">
        <v>11</v>
      </c>
      <c r="DA4" s="38" t="str">
        <f>+DA3</f>
        <v xml:space="preserve">City Union Bank </v>
      </c>
    </row>
  </sheetData>
  <sheetProtection algorithmName="SHA-512" hashValue="auDcaIRaR4gf8vQcCFeqnxkZWUB2lGsqLDUU+/5ssde9wiH4GBS8SyZhEOPHiqIDR/Bmq3xIYhss98hlUSwkVA==" saltValue="zeWmHyealhtAOucgNUfyG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531" priority="11" operator="equal">
      <formula>#N/A</formula>
    </cfRule>
  </conditionalFormatting>
  <conditionalFormatting sqref="DG2">
    <cfRule type="cellIs" dxfId="530" priority="10" operator="equal">
      <formula>#N/A</formula>
    </cfRule>
  </conditionalFormatting>
  <conditionalFormatting sqref="DH2:DI2">
    <cfRule type="cellIs" dxfId="529" priority="9" operator="equal">
      <formula>#N/A</formula>
    </cfRule>
  </conditionalFormatting>
  <conditionalFormatting sqref="I1:I2">
    <cfRule type="cellIs" dxfId="528" priority="8" operator="equal">
      <formula>#N/A</formula>
    </cfRule>
  </conditionalFormatting>
  <conditionalFormatting sqref="H1">
    <cfRule type="cellIs" dxfId="527" priority="7" operator="equal">
      <formula>#N/A</formula>
    </cfRule>
  </conditionalFormatting>
  <conditionalFormatting sqref="E1">
    <cfRule type="cellIs" dxfId="526" priority="6" operator="equal">
      <formula>#N/A</formula>
    </cfRule>
  </conditionalFormatting>
  <conditionalFormatting sqref="I1">
    <cfRule type="containsText" dxfId="525" priority="4" operator="containsText" text="All Data Import Successfully">
      <formula>NOT(ISERROR(SEARCH("All Data Import Successfully",I1)))</formula>
    </cfRule>
    <cfRule type="containsText" dxfId="524" priority="5" operator="containsText" text="Difference Entry">
      <formula>NOT(ISERROR(SEARCH("Difference Entry",I1)))</formula>
    </cfRule>
  </conditionalFormatting>
  <conditionalFormatting sqref="E2:G2">
    <cfRule type="cellIs" dxfId="523" priority="3" operator="equal">
      <formula>#N/A</formula>
    </cfRule>
  </conditionalFormatting>
  <conditionalFormatting sqref="H2">
    <cfRule type="cellIs" dxfId="522" priority="2" operator="equal">
      <formula>#N/A</formula>
    </cfRule>
  </conditionalFormatting>
  <conditionalFormatting sqref="I2">
    <cfRule type="cellIs" dxfId="52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Sheet32"/>
  <dimension ref="A1:DZ4"/>
  <sheetViews>
    <sheetView showRuler="0" workbookViewId="0">
      <selection activeCell="D12" sqref="D12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3.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165</v>
      </c>
      <c r="T1" s="92">
        <v>8</v>
      </c>
      <c r="U1" s="92" t="s">
        <v>172</v>
      </c>
      <c r="V1" s="92" t="s">
        <v>167</v>
      </c>
      <c r="W1" s="92" t="s">
        <v>168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162</v>
      </c>
      <c r="B3" s="56"/>
      <c r="C3" s="55"/>
      <c r="D3" s="55" t="s">
        <v>210</v>
      </c>
      <c r="E3" s="57"/>
      <c r="F3" s="55"/>
      <c r="G3" s="58"/>
      <c r="H3" s="59"/>
      <c r="I3" s="55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DCB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e">
        <f>IF(H3=" ","",VALUE(SUBSTITUTE((SUBSTITUTE((H3),"Cr.","")),",","")))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str">
        <f>+A3</f>
        <v>DCB Bank A/c.</v>
      </c>
      <c r="DI3" s="28" t="str">
        <f>+IF(DE3=0,"Suspance Payment","Suspance Receipt")</f>
        <v>Suspance Payment</v>
      </c>
      <c r="DJ3" s="39" t="str">
        <f>+D3</f>
        <v>C:\Users\ADITYA\Desktop\Ecomm\Bank Statement\dcbbank.xls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7.25" thickBot="1">
      <c r="A4" s="107" t="s">
        <v>25</v>
      </c>
      <c r="B4" s="108" t="s">
        <v>18</v>
      </c>
      <c r="C4" s="109"/>
      <c r="D4" s="110" t="s">
        <v>125</v>
      </c>
      <c r="E4" s="110" t="s">
        <v>136</v>
      </c>
      <c r="F4" s="110" t="s">
        <v>163</v>
      </c>
      <c r="G4" s="110" t="s">
        <v>164</v>
      </c>
      <c r="H4" s="108" t="s">
        <v>31</v>
      </c>
      <c r="I4" s="85"/>
      <c r="DA4" s="38" t="str">
        <f>+DA3</f>
        <v>DCB Bank A/c.</v>
      </c>
    </row>
  </sheetData>
  <sheetProtection algorithmName="SHA-512" hashValue="fQv8S5PvCFfcXG+QRAFAGeVYYuf3C6YlDzDARAH7D4V90FvWyibIJV/iJ+kBatNosL0whH0DGvzERI3MopWniA==" saltValue="PPdp5KAoEeOC0QLdgTbcz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520" priority="18" operator="equal">
      <formula>#N/A</formula>
    </cfRule>
  </conditionalFormatting>
  <conditionalFormatting sqref="DG2">
    <cfRule type="cellIs" dxfId="519" priority="13" operator="equal">
      <formula>#N/A</formula>
    </cfRule>
  </conditionalFormatting>
  <conditionalFormatting sqref="DH2:DI2">
    <cfRule type="cellIs" dxfId="518" priority="12" operator="equal">
      <formula>#N/A</formula>
    </cfRule>
  </conditionalFormatting>
  <conditionalFormatting sqref="I1:I2">
    <cfRule type="cellIs" dxfId="517" priority="8" operator="equal">
      <formula>#N/A</formula>
    </cfRule>
  </conditionalFormatting>
  <conditionalFormatting sqref="H1">
    <cfRule type="cellIs" dxfId="516" priority="7" operator="equal">
      <formula>#N/A</formula>
    </cfRule>
  </conditionalFormatting>
  <conditionalFormatting sqref="E1">
    <cfRule type="cellIs" dxfId="515" priority="6" operator="equal">
      <formula>#N/A</formula>
    </cfRule>
  </conditionalFormatting>
  <conditionalFormatting sqref="I1">
    <cfRule type="containsText" dxfId="514" priority="4" operator="containsText" text="All Data Import Successfully">
      <formula>NOT(ISERROR(SEARCH("All Data Import Successfully",I1)))</formula>
    </cfRule>
    <cfRule type="containsText" dxfId="513" priority="5" operator="containsText" text="Difference Entry">
      <formula>NOT(ISERROR(SEARCH("Difference Entry",I1)))</formula>
    </cfRule>
  </conditionalFormatting>
  <conditionalFormatting sqref="E2:G2">
    <cfRule type="cellIs" dxfId="512" priority="3" operator="equal">
      <formula>#N/A</formula>
    </cfRule>
  </conditionalFormatting>
  <conditionalFormatting sqref="H2">
    <cfRule type="cellIs" dxfId="511" priority="2" operator="equal">
      <formula>#N/A</formula>
    </cfRule>
  </conditionalFormatting>
  <conditionalFormatting sqref="I2">
    <cfRule type="cellIs" dxfId="51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Sheet57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339</v>
      </c>
      <c r="T1" s="92">
        <v>7</v>
      </c>
      <c r="U1" s="92" t="s">
        <v>196</v>
      </c>
      <c r="V1" s="92" t="s">
        <v>180</v>
      </c>
      <c r="W1" s="92" t="s">
        <v>171</v>
      </c>
      <c r="X1" s="99" t="s">
        <v>6</v>
      </c>
      <c r="Y1" s="99">
        <v>10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Equitas Small Finance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341</v>
      </c>
      <c r="B3" s="56"/>
      <c r="C3" s="55"/>
      <c r="D3" s="55" t="s">
        <v>340</v>
      </c>
      <c r="E3" s="57"/>
      <c r="F3" s="55"/>
      <c r="G3" s="21"/>
      <c r="H3" s="21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Equitas Small Finance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str">
        <f>IF(F3="","",VALUE(SUBSTITUTE((F3),",","")))</f>
        <v/>
      </c>
      <c r="DG3" s="27">
        <f>+B3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32</v>
      </c>
      <c r="B4" s="101" t="s">
        <v>335</v>
      </c>
      <c r="C4" s="101" t="s">
        <v>33</v>
      </c>
      <c r="D4" s="101" t="s">
        <v>336</v>
      </c>
      <c r="E4" s="101" t="s">
        <v>337</v>
      </c>
      <c r="F4" s="101" t="s">
        <v>338</v>
      </c>
      <c r="DA4" s="38" t="str">
        <f>+DA3</f>
        <v>Equitas Small Finance Bank</v>
      </c>
    </row>
  </sheetData>
  <sheetProtection algorithmName="SHA-512" hashValue="p8Kg01yFIJNqxhCKZpr/ziNLD64N+76CBEbkKsEmLX7Urk44BIbHFELZyvrBgtbTTaWghpM/4jIBf5SMdRRsSQ==" saltValue="GBna8CPv8paYJVFdttG64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509" priority="11" operator="equal">
      <formula>#N/A</formula>
    </cfRule>
  </conditionalFormatting>
  <conditionalFormatting sqref="DG2">
    <cfRule type="cellIs" dxfId="508" priority="10" operator="equal">
      <formula>#N/A</formula>
    </cfRule>
  </conditionalFormatting>
  <conditionalFormatting sqref="DH2:DI2">
    <cfRule type="cellIs" dxfId="507" priority="9" operator="equal">
      <formula>#N/A</formula>
    </cfRule>
  </conditionalFormatting>
  <conditionalFormatting sqref="I1:I2">
    <cfRule type="cellIs" dxfId="506" priority="8" operator="equal">
      <formula>#N/A</formula>
    </cfRule>
  </conditionalFormatting>
  <conditionalFormatting sqref="H1">
    <cfRule type="cellIs" dxfId="505" priority="7" operator="equal">
      <formula>#N/A</formula>
    </cfRule>
  </conditionalFormatting>
  <conditionalFormatting sqref="E1">
    <cfRule type="cellIs" dxfId="504" priority="6" operator="equal">
      <formula>#N/A</formula>
    </cfRule>
  </conditionalFormatting>
  <conditionalFormatting sqref="I1">
    <cfRule type="containsText" dxfId="503" priority="4" operator="containsText" text="All Data Import Successfully">
      <formula>NOT(ISERROR(SEARCH("All Data Import Successfully",I1)))</formula>
    </cfRule>
    <cfRule type="containsText" dxfId="502" priority="5" operator="containsText" text="Difference Entry">
      <formula>NOT(ISERROR(SEARCH("Difference Entry",I1)))</formula>
    </cfRule>
  </conditionalFormatting>
  <conditionalFormatting sqref="E2:G2">
    <cfRule type="cellIs" dxfId="501" priority="3" operator="equal">
      <formula>#N/A</formula>
    </cfRule>
  </conditionalFormatting>
  <conditionalFormatting sqref="H2">
    <cfRule type="cellIs" dxfId="500" priority="2" operator="equal">
      <formula>#N/A</formula>
    </cfRule>
  </conditionalFormatting>
  <conditionalFormatting sqref="I2">
    <cfRule type="cellIs" dxfId="49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Sheet30"/>
  <dimension ref="A1:DZ4"/>
  <sheetViews>
    <sheetView workbookViewId="0">
      <selection activeCell="A8" sqref="A8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192</v>
      </c>
      <c r="T1" s="92">
        <v>10</v>
      </c>
      <c r="U1" s="92" t="s">
        <v>167</v>
      </c>
      <c r="V1" s="92" t="s">
        <v>168</v>
      </c>
      <c r="W1" s="92" t="s">
        <v>169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150</v>
      </c>
      <c r="B3" s="56"/>
      <c r="C3" s="55"/>
      <c r="D3" s="55" t="s">
        <v>193</v>
      </c>
      <c r="E3" s="57"/>
      <c r="F3" s="55"/>
      <c r="G3" s="58"/>
      <c r="H3" s="59"/>
      <c r="I3" s="55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Federal Bank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IF(H3="", 0, IFERROR(VALUE(SUBSTITUTE(H3, ",", "")), 0))</f>
        <v>0</v>
      </c>
      <c r="DE3" s="26">
        <f>IF(I3="", 0, IFERROR(VALUE(SUBSTITUTE(I3, ",", "")), 0))</f>
        <v>0</v>
      </c>
      <c r="DF3" s="26" t="e">
        <f>IF(J3=" ","",VALUE(SUBSTITUTE((J3),",","")))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3.25" thickBot="1">
      <c r="A4" s="111" t="s">
        <v>78</v>
      </c>
      <c r="B4" s="112" t="s">
        <v>39</v>
      </c>
      <c r="C4" s="336" t="s">
        <v>146</v>
      </c>
      <c r="D4" s="336"/>
      <c r="E4" s="112" t="s">
        <v>18</v>
      </c>
      <c r="F4" s="112" t="s">
        <v>151</v>
      </c>
      <c r="G4" s="112" t="s">
        <v>152</v>
      </c>
      <c r="H4" s="112" t="s">
        <v>153</v>
      </c>
      <c r="I4" s="112" t="s">
        <v>154</v>
      </c>
      <c r="J4" s="113" t="s">
        <v>155</v>
      </c>
      <c r="DA4" s="38" t="str">
        <f>+DA3</f>
        <v>Federal Bank</v>
      </c>
    </row>
  </sheetData>
  <sheetProtection algorithmName="SHA-512" hashValue="VwO0qNnrZggLU1TL4FyIN38PMUyTuORjgHfvVMIVA7d//Q/HBO9eqbyrDGNe7ap19ixPEYyCfIQdcNEWr+R4dA==" saltValue="/Q4bULo7qMPzXdtL4Sp2X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mergeCells count="1">
    <mergeCell ref="C4:D4"/>
  </mergeCells>
  <conditionalFormatting sqref="E3">
    <cfRule type="cellIs" dxfId="498" priority="23" operator="equal">
      <formula>#N/A</formula>
    </cfRule>
  </conditionalFormatting>
  <conditionalFormatting sqref="DG2">
    <cfRule type="cellIs" dxfId="497" priority="18" operator="equal">
      <formula>#N/A</formula>
    </cfRule>
  </conditionalFormatting>
  <conditionalFormatting sqref="DH2:DI2">
    <cfRule type="cellIs" dxfId="496" priority="17" operator="equal">
      <formula>#N/A</formula>
    </cfRule>
  </conditionalFormatting>
  <conditionalFormatting sqref="I1:I2">
    <cfRule type="cellIs" dxfId="495" priority="8" operator="equal">
      <formula>#N/A</formula>
    </cfRule>
  </conditionalFormatting>
  <conditionalFormatting sqref="H1">
    <cfRule type="cellIs" dxfId="494" priority="7" operator="equal">
      <formula>#N/A</formula>
    </cfRule>
  </conditionalFormatting>
  <conditionalFormatting sqref="E1">
    <cfRule type="cellIs" dxfId="493" priority="6" operator="equal">
      <formula>#N/A</formula>
    </cfRule>
  </conditionalFormatting>
  <conditionalFormatting sqref="I1">
    <cfRule type="containsText" dxfId="492" priority="4" operator="containsText" text="All Data Import Successfully">
      <formula>NOT(ISERROR(SEARCH("All Data Import Successfully",I1)))</formula>
    </cfRule>
    <cfRule type="containsText" dxfId="491" priority="5" operator="containsText" text="Difference Entry">
      <formula>NOT(ISERROR(SEARCH("Difference Entry",I1)))</formula>
    </cfRule>
  </conditionalFormatting>
  <conditionalFormatting sqref="E2:G2">
    <cfRule type="cellIs" dxfId="490" priority="3" operator="equal">
      <formula>#N/A</formula>
    </cfRule>
  </conditionalFormatting>
  <conditionalFormatting sqref="H2">
    <cfRule type="cellIs" dxfId="489" priority="2" operator="equal">
      <formula>#N/A</formula>
    </cfRule>
  </conditionalFormatting>
  <conditionalFormatting sqref="I2">
    <cfRule type="cellIs" dxfId="48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524F2-F2D5-4571-BE07-65B736C9C0AE}">
  <sheetPr codeName="Sheet69"/>
  <dimension ref="A1:DZ4"/>
  <sheetViews>
    <sheetView topLeftCell="A5" workbookViewId="0">
      <selection activeCell="A5" sqref="A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192</v>
      </c>
      <c r="T1" s="92">
        <v>10</v>
      </c>
      <c r="U1" s="92" t="s">
        <v>167</v>
      </c>
      <c r="V1" s="92" t="s">
        <v>168</v>
      </c>
      <c r="W1" s="92" t="s">
        <v>169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150</v>
      </c>
      <c r="B3" s="56"/>
      <c r="C3" s="55"/>
      <c r="D3" s="55" t="s">
        <v>193</v>
      </c>
      <c r="E3" s="57"/>
      <c r="F3" s="55"/>
      <c r="G3" s="58"/>
      <c r="H3" s="59"/>
      <c r="I3" s="55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39" t="str">
        <f>+$A$3</f>
        <v>Federal Bank</v>
      </c>
      <c r="DB3" s="140">
        <f>VALUE(B3)</f>
        <v>0</v>
      </c>
      <c r="DC3" s="141" t="e">
        <f>+CONCATENATE(TEXT(DB3,"D"),"",TEXT(DB3,"MM"),"","/",SUBSTITUTE(DF3,",",""),"/",DK3)</f>
        <v>#VALUE!</v>
      </c>
      <c r="DD3" s="50">
        <f>IF(F3="", 0, IFERROR(VALUE(SUBSTITUTE(F3, ",", "")), 0))</f>
        <v>0</v>
      </c>
      <c r="DE3" s="50">
        <f>IF(H3="", 0, IFERROR(VALUE(SUBSTITUTE(H3, ",", "")), 0))</f>
        <v>0</v>
      </c>
      <c r="DF3" s="50" t="e">
        <f>IF(K3=" ","",VALUE(SUBSTITUTE((K3),",","")))</f>
        <v>#VALUE!</v>
      </c>
      <c r="DG3" s="142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43">
        <f>VALUE(B3)</f>
        <v>0</v>
      </c>
      <c r="DI3" s="143" t="str">
        <f>+IF(DE3=0,"Suspance Payment","Suspance Receipt")</f>
        <v>Suspance Payment</v>
      </c>
      <c r="DJ3" s="323" t="str">
        <f>+D3</f>
        <v>C:\Users\ADITYA\Desktop\Ecomm\Bank Statement\Fedral Bank .xls</v>
      </c>
      <c r="DK3" s="144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9.5">
      <c r="A4" s="321" t="s">
        <v>32</v>
      </c>
      <c r="B4" s="337" t="s">
        <v>1111</v>
      </c>
      <c r="C4" s="338"/>
      <c r="D4" s="321" t="s">
        <v>1112</v>
      </c>
      <c r="E4" s="321" t="s">
        <v>1113</v>
      </c>
      <c r="F4" s="321" t="s">
        <v>1114</v>
      </c>
      <c r="G4" s="321" t="s">
        <v>1115</v>
      </c>
      <c r="H4" s="337" t="s">
        <v>1116</v>
      </c>
      <c r="I4" s="338"/>
      <c r="J4" s="321" t="s">
        <v>1117</v>
      </c>
      <c r="K4" s="337" t="s">
        <v>1118</v>
      </c>
      <c r="L4" s="338"/>
      <c r="M4" s="322" t="s">
        <v>1119</v>
      </c>
      <c r="DA4" s="38" t="str">
        <f>+DA3</f>
        <v>Federal Bank</v>
      </c>
    </row>
  </sheetData>
  <sheetProtection algorithmName="SHA-512" hashValue="B8yWz+iimEl2ilziriN6BG0oqFgUGiLT2O/9kTvPdoQvg2ebN1pOsBgSRGuzQxU8BBWhe3g3MUc6Ohm4wcWV1Q==" saltValue="beb7FdyUrhv+McmIQ1Qy5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mergeCells count="3">
    <mergeCell ref="B4:C4"/>
    <mergeCell ref="H4:I4"/>
    <mergeCell ref="K4:L4"/>
  </mergeCells>
  <conditionalFormatting sqref="E3">
    <cfRule type="cellIs" dxfId="487" priority="11" operator="equal">
      <formula>#N/A</formula>
    </cfRule>
  </conditionalFormatting>
  <conditionalFormatting sqref="DG2">
    <cfRule type="cellIs" dxfId="486" priority="10" operator="equal">
      <formula>#N/A</formula>
    </cfRule>
  </conditionalFormatting>
  <conditionalFormatting sqref="DH2:DI2">
    <cfRule type="cellIs" dxfId="485" priority="9" operator="equal">
      <formula>#N/A</formula>
    </cfRule>
  </conditionalFormatting>
  <conditionalFormatting sqref="I1:I2">
    <cfRule type="cellIs" dxfId="484" priority="8" operator="equal">
      <formula>#N/A</formula>
    </cfRule>
  </conditionalFormatting>
  <conditionalFormatting sqref="H1">
    <cfRule type="cellIs" dxfId="483" priority="7" operator="equal">
      <formula>#N/A</formula>
    </cfRule>
  </conditionalFormatting>
  <conditionalFormatting sqref="E1">
    <cfRule type="cellIs" dxfId="482" priority="6" operator="equal">
      <formula>#N/A</formula>
    </cfRule>
  </conditionalFormatting>
  <conditionalFormatting sqref="I1">
    <cfRule type="containsText" dxfId="481" priority="4" operator="containsText" text="All Data Import Successfully">
      <formula>NOT(ISERROR(SEARCH("All Data Import Successfully",I1)))</formula>
    </cfRule>
    <cfRule type="containsText" dxfId="480" priority="5" operator="containsText" text="Difference Entry">
      <formula>NOT(ISERROR(SEARCH("Difference Entry",I1)))</formula>
    </cfRule>
  </conditionalFormatting>
  <conditionalFormatting sqref="E2:G2">
    <cfRule type="cellIs" dxfId="479" priority="3" operator="equal">
      <formula>#N/A</formula>
    </cfRule>
  </conditionalFormatting>
  <conditionalFormatting sqref="H2">
    <cfRule type="cellIs" dxfId="478" priority="2" operator="equal">
      <formula>#N/A</formula>
    </cfRule>
  </conditionalFormatting>
  <conditionalFormatting sqref="I2">
    <cfRule type="cellIs" dxfId="47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3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179</v>
      </c>
      <c r="T1" s="92">
        <v>7</v>
      </c>
      <c r="U1" s="92" t="s">
        <v>180</v>
      </c>
      <c r="V1" s="92" t="s">
        <v>171</v>
      </c>
      <c r="W1" s="92" t="s">
        <v>172</v>
      </c>
      <c r="X1" s="99" t="s">
        <v>6</v>
      </c>
      <c r="Y1" s="99">
        <v>10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64</v>
      </c>
      <c r="B3" s="56"/>
      <c r="C3" s="55"/>
      <c r="D3" s="55" t="s">
        <v>181</v>
      </c>
      <c r="E3" s="57"/>
      <c r="F3" s="55"/>
      <c r="G3" s="58"/>
      <c r="H3" s="21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32</v>
      </c>
      <c r="B4" s="101" t="s">
        <v>33</v>
      </c>
      <c r="C4" s="101" t="s">
        <v>34</v>
      </c>
      <c r="D4" s="101" t="s">
        <v>35</v>
      </c>
      <c r="E4" s="101" t="s">
        <v>36</v>
      </c>
      <c r="F4" s="101" t="s">
        <v>37</v>
      </c>
      <c r="G4" s="102" t="s">
        <v>38</v>
      </c>
      <c r="DA4" s="38" t="str">
        <f>+DA3</f>
        <v>HDFC Bank A/c.</v>
      </c>
    </row>
  </sheetData>
  <sheetProtection algorithmName="SHA-512" hashValue="HoQqD+ImvfLrQtxjQMIuWuXI1StT9IcchBMVwdDdmy7theN6AVdkbStfNj8DCvRvJDQcwwNbSSVwDfsAAcqjqw==" saltValue="JaNkW+ccroUopKnYddOoy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76" priority="18" operator="equal">
      <formula>#N/A</formula>
    </cfRule>
  </conditionalFormatting>
  <conditionalFormatting sqref="DG2">
    <cfRule type="cellIs" dxfId="475" priority="13" operator="equal">
      <formula>#N/A</formula>
    </cfRule>
  </conditionalFormatting>
  <conditionalFormatting sqref="DH2:DI2">
    <cfRule type="cellIs" dxfId="474" priority="12" operator="equal">
      <formula>#N/A</formula>
    </cfRule>
  </conditionalFormatting>
  <conditionalFormatting sqref="I1:I2">
    <cfRule type="cellIs" dxfId="473" priority="8" operator="equal">
      <formula>#N/A</formula>
    </cfRule>
  </conditionalFormatting>
  <conditionalFormatting sqref="H1">
    <cfRule type="cellIs" dxfId="472" priority="7" operator="equal">
      <formula>#N/A</formula>
    </cfRule>
  </conditionalFormatting>
  <conditionalFormatting sqref="E1">
    <cfRule type="cellIs" dxfId="471" priority="6" operator="equal">
      <formula>#N/A</formula>
    </cfRule>
  </conditionalFormatting>
  <conditionalFormatting sqref="I1">
    <cfRule type="containsText" dxfId="470" priority="4" operator="containsText" text="All Data Import Successfully">
      <formula>NOT(ISERROR(SEARCH("All Data Import Successfully",I1)))</formula>
    </cfRule>
    <cfRule type="containsText" dxfId="469" priority="5" operator="containsText" text="Difference Entry">
      <formula>NOT(ISERROR(SEARCH("Difference Entry",I1)))</formula>
    </cfRule>
  </conditionalFormatting>
  <conditionalFormatting sqref="E2:G2">
    <cfRule type="cellIs" dxfId="468" priority="3" operator="equal">
      <formula>#N/A</formula>
    </cfRule>
  </conditionalFormatting>
  <conditionalFormatting sqref="H2">
    <cfRule type="cellIs" dxfId="467" priority="2" operator="equal">
      <formula>#N/A</formula>
    </cfRule>
  </conditionalFormatting>
  <conditionalFormatting sqref="I2">
    <cfRule type="cellIs" dxfId="46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6">
    <tabColor theme="8" tint="0.79998168889431442"/>
  </sheetPr>
  <dimension ref="A1:DZ4"/>
  <sheetViews>
    <sheetView workbookViewId="0">
      <selection activeCell="C3" sqref="C3"/>
    </sheetView>
  </sheetViews>
  <sheetFormatPr defaultRowHeight="15"/>
  <cols>
    <col min="1" max="1" width="25.7109375" style="192" customWidth="1"/>
    <col min="2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179</v>
      </c>
      <c r="T1" s="92">
        <v>7</v>
      </c>
      <c r="U1" s="92" t="s">
        <v>180</v>
      </c>
      <c r="V1" s="92" t="s">
        <v>171</v>
      </c>
      <c r="W1" s="92" t="s">
        <v>172</v>
      </c>
      <c r="X1" s="99" t="s">
        <v>6</v>
      </c>
      <c r="Y1" s="99">
        <v>10</v>
      </c>
      <c r="Z1" s="92">
        <v>0</v>
      </c>
      <c r="AA1" s="92" t="s">
        <v>255</v>
      </c>
      <c r="AB1" s="92" t="s">
        <v>254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64</v>
      </c>
      <c r="B3" s="56"/>
      <c r="C3" s="55"/>
      <c r="D3" s="55"/>
      <c r="E3" s="57"/>
      <c r="F3" s="55"/>
      <c r="G3" s="58"/>
      <c r="H3" s="21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32</v>
      </c>
      <c r="B4" s="101" t="s">
        <v>33</v>
      </c>
      <c r="C4" s="101" t="s">
        <v>34</v>
      </c>
      <c r="D4" s="101" t="s">
        <v>35</v>
      </c>
      <c r="E4" s="101" t="s">
        <v>36</v>
      </c>
      <c r="F4" s="101" t="s">
        <v>37</v>
      </c>
      <c r="G4" s="102" t="s">
        <v>38</v>
      </c>
      <c r="DA4" s="38" t="str">
        <f>+DA3</f>
        <v>HDFC Bank A/c.</v>
      </c>
    </row>
  </sheetData>
  <sheetProtection algorithmName="SHA-512" hashValue="0Y4oY7xYt/GPfCI1XgUmCrY6PLg4/iphmXYWlWNAddWJFluhrriYu5owtDDUeb+Wa9SB/cynUu0HP82xnp6l+Q==" saltValue="GPmnF4y7biwYQO/CvYpDD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65" priority="11" operator="equal">
      <formula>#N/A</formula>
    </cfRule>
  </conditionalFormatting>
  <conditionalFormatting sqref="DG2">
    <cfRule type="cellIs" dxfId="464" priority="10" operator="equal">
      <formula>#N/A</formula>
    </cfRule>
  </conditionalFormatting>
  <conditionalFormatting sqref="DH2:DI2">
    <cfRule type="cellIs" dxfId="463" priority="9" operator="equal">
      <formula>#N/A</formula>
    </cfRule>
  </conditionalFormatting>
  <conditionalFormatting sqref="I1:I2">
    <cfRule type="cellIs" dxfId="462" priority="8" operator="equal">
      <formula>#N/A</formula>
    </cfRule>
  </conditionalFormatting>
  <conditionalFormatting sqref="H1">
    <cfRule type="cellIs" dxfId="461" priority="7" operator="equal">
      <formula>#N/A</formula>
    </cfRule>
  </conditionalFormatting>
  <conditionalFormatting sqref="E1">
    <cfRule type="cellIs" dxfId="460" priority="6" operator="equal">
      <formula>#N/A</formula>
    </cfRule>
  </conditionalFormatting>
  <conditionalFormatting sqref="I1">
    <cfRule type="containsText" dxfId="459" priority="4" operator="containsText" text="All Data Import Successfully">
      <formula>NOT(ISERROR(SEARCH("All Data Import Successfully",I1)))</formula>
    </cfRule>
    <cfRule type="containsText" dxfId="458" priority="5" operator="containsText" text="Difference Entry">
      <formula>NOT(ISERROR(SEARCH("Difference Entry",I1)))</formula>
    </cfRule>
  </conditionalFormatting>
  <conditionalFormatting sqref="E2:G2">
    <cfRule type="cellIs" dxfId="457" priority="3" operator="equal">
      <formula>#N/A</formula>
    </cfRule>
  </conditionalFormatting>
  <conditionalFormatting sqref="H2">
    <cfRule type="cellIs" dxfId="456" priority="2" operator="equal">
      <formula>#N/A</formula>
    </cfRule>
  </conditionalFormatting>
  <conditionalFormatting sqref="I2">
    <cfRule type="cellIs" dxfId="45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EFF68-2B34-4744-A335-29F81A186A10}">
  <sheetPr codeName="Sheet68">
    <tabColor theme="8" tint="0.79998168889431442"/>
  </sheetPr>
  <dimension ref="A1:DZ4"/>
  <sheetViews>
    <sheetView workbookViewId="0">
      <selection activeCell="D11" sqref="D11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192</v>
      </c>
      <c r="T1" s="92">
        <v>8</v>
      </c>
      <c r="U1" s="92" t="s">
        <v>180</v>
      </c>
      <c r="V1" s="92" t="s">
        <v>180</v>
      </c>
      <c r="W1" s="92" t="s">
        <v>172</v>
      </c>
      <c r="X1" s="99" t="s">
        <v>6</v>
      </c>
      <c r="Y1" s="99" t="s">
        <v>6</v>
      </c>
      <c r="Z1" s="92">
        <v>0</v>
      </c>
      <c r="AA1" s="92" t="s">
        <v>255</v>
      </c>
      <c r="AB1" s="92" t="s">
        <v>254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60</v>
      </c>
      <c r="B3" s="56"/>
      <c r="C3" s="55"/>
      <c r="D3" s="55"/>
      <c r="E3" s="57"/>
      <c r="F3" s="55"/>
      <c r="G3" s="58"/>
      <c r="H3" s="59"/>
      <c r="I3" s="5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>ICICI Bank A/c.</v>
      </c>
      <c r="DB3" s="165">
        <f>VALUE(C3)</f>
        <v>0</v>
      </c>
      <c r="DC3" s="166" t="e">
        <f>+CONCATENATE(TEXT(DB3,"D"),"",TEXT(DB3,"MM"),"","/",SUBSTITUTE(DF3,",",""),"/",DK3)</f>
        <v>#VALUE!</v>
      </c>
      <c r="DD3" s="131" t="e">
        <f>IF(G3="CR",VALUE("0"),VALUE(SUBSTITUTE((TRIM(H3)),",","")))</f>
        <v>#VALUE!</v>
      </c>
      <c r="DE3" s="131" t="e">
        <f>IF(G3="DR",VALUE("0"),VALUE(SUBSTITUTE((TRIM(H3)),",","")))</f>
        <v>#VALUE!</v>
      </c>
      <c r="DF3" s="130" t="str">
        <f>+TRIM(I3)</f>
        <v/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>
        <f>+DB3</f>
        <v>0</v>
      </c>
      <c r="DI3" s="168" t="e">
        <f>+IF(DE3=0,"Suspance Payment","Suspance Receipt")</f>
        <v>#VALUE!</v>
      </c>
      <c r="DJ3" s="169">
        <f>+F3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6.25" customHeight="1">
      <c r="A4" s="319" t="s">
        <v>104</v>
      </c>
      <c r="B4" s="319" t="s">
        <v>1106</v>
      </c>
      <c r="C4" s="319" t="s">
        <v>18</v>
      </c>
      <c r="D4" s="319" t="s">
        <v>1107</v>
      </c>
      <c r="E4" s="319" t="s">
        <v>105</v>
      </c>
      <c r="F4" s="319" t="s">
        <v>19</v>
      </c>
      <c r="G4" s="319" t="s">
        <v>106</v>
      </c>
      <c r="H4" s="319" t="s">
        <v>1108</v>
      </c>
      <c r="I4" s="320" t="s">
        <v>1109</v>
      </c>
      <c r="DA4" s="38" t="str">
        <f>+DA3</f>
        <v>ICICI Bank A/c.</v>
      </c>
    </row>
  </sheetData>
  <sheetProtection algorithmName="SHA-512" hashValue="w3Oqz2XkM1PY9Zg7bdN7IMfavQoP2gIPps25uDFdk34SxvH1tFsp50a4KoqI6bvZuOtSvstUoYzbeFSD++L6pg==" saltValue="slnV26P2wcmTnCLPVEPqN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54" priority="11" operator="equal">
      <formula>#N/A</formula>
    </cfRule>
  </conditionalFormatting>
  <conditionalFormatting sqref="DG2">
    <cfRule type="cellIs" dxfId="453" priority="10" operator="equal">
      <formula>#N/A</formula>
    </cfRule>
  </conditionalFormatting>
  <conditionalFormatting sqref="DH2:DI2">
    <cfRule type="cellIs" dxfId="452" priority="9" operator="equal">
      <formula>#N/A</formula>
    </cfRule>
  </conditionalFormatting>
  <conditionalFormatting sqref="I1:I2">
    <cfRule type="cellIs" dxfId="451" priority="8" operator="equal">
      <formula>#N/A</formula>
    </cfRule>
  </conditionalFormatting>
  <conditionalFormatting sqref="H1">
    <cfRule type="cellIs" dxfId="450" priority="7" operator="equal">
      <formula>#N/A</formula>
    </cfRule>
  </conditionalFormatting>
  <conditionalFormatting sqref="E1">
    <cfRule type="cellIs" dxfId="449" priority="6" operator="equal">
      <formula>#N/A</formula>
    </cfRule>
  </conditionalFormatting>
  <conditionalFormatting sqref="I1">
    <cfRule type="containsText" dxfId="448" priority="4" operator="containsText" text="All Data Import Successfully">
      <formula>NOT(ISERROR(SEARCH("All Data Import Successfully",I1)))</formula>
    </cfRule>
    <cfRule type="containsText" dxfId="447" priority="5" operator="containsText" text="Difference Entry">
      <formula>NOT(ISERROR(SEARCH("Difference Entry",I1)))</formula>
    </cfRule>
  </conditionalFormatting>
  <conditionalFormatting sqref="E2:G2">
    <cfRule type="cellIs" dxfId="446" priority="3" operator="equal">
      <formula>#N/A</formula>
    </cfRule>
  </conditionalFormatting>
  <conditionalFormatting sqref="H2">
    <cfRule type="cellIs" dxfId="445" priority="2" operator="equal">
      <formula>#N/A</formula>
    </cfRule>
  </conditionalFormatting>
  <conditionalFormatting sqref="I2">
    <cfRule type="cellIs" dxfId="44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"/>
  <dimension ref="A1:DZ4"/>
  <sheetViews>
    <sheetView workbookViewId="0"/>
  </sheetViews>
  <sheetFormatPr defaultRowHeight="15"/>
  <cols>
    <col min="1" max="10" width="25.7109375" style="6" customWidth="1"/>
    <col min="11" max="104" width="9.140625" style="6"/>
    <col min="105" max="110" width="24.7109375" style="6" customWidth="1"/>
    <col min="111" max="111" width="37.140625" style="6" customWidth="1"/>
    <col min="112" max="113" width="24.7109375" style="6" customWidth="1"/>
    <col min="114" max="114" width="81.42578125" style="6" customWidth="1"/>
    <col min="115" max="115" width="24.7109375" style="6" customWidth="1"/>
    <col min="116" max="116" width="103.28515625" style="6" customWidth="1"/>
    <col min="117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166</v>
      </c>
      <c r="T1" s="92">
        <v>10</v>
      </c>
      <c r="U1" s="92" t="s">
        <v>167</v>
      </c>
      <c r="V1" s="92" t="s">
        <v>168</v>
      </c>
      <c r="W1" s="92" t="s">
        <v>169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94" t="s">
        <v>60</v>
      </c>
      <c r="B3" s="95"/>
      <c r="C3" s="94"/>
      <c r="D3" s="94" t="s">
        <v>1079</v>
      </c>
      <c r="E3" s="19"/>
      <c r="F3" s="17"/>
      <c r="G3" s="20"/>
      <c r="H3" s="21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>
        <f>VALUE(C3)</f>
        <v>0</v>
      </c>
      <c r="DC3" s="25" t="str">
        <f>+CONCATENATE(TEXT(DB3,"D"),"",TEXT(DB3,"MM"),"/",RIGHT(E3,11),"/",SUBSTITUTE(DF3,",",""))</f>
        <v>001//</v>
      </c>
      <c r="DD3" s="26">
        <f>IF(H3="",VALUE("0"),VALUE(SUBSTITUTE((H3),",","")))</f>
        <v>0</v>
      </c>
      <c r="DE3" s="26">
        <f>IF(I3="",VALUE("0"),VALUE(SUBSTITUTE((I3),",","")))</f>
        <v>0</v>
      </c>
      <c r="DF3" s="26" t="str">
        <f>IF(J3="","",VALUE(SUBSTITUTE((J3),",","")))</f>
        <v/>
      </c>
      <c r="DG3" s="302" t="s">
        <v>6</v>
      </c>
      <c r="DH3" s="28">
        <f>VALUE(C3)</f>
        <v>0</v>
      </c>
      <c r="DI3" s="28" t="str">
        <f>+IF(DE3=0,"Suspance Payment","Suspance Receipt")</f>
        <v>Suspance Payment</v>
      </c>
      <c r="DJ3" s="29">
        <f>+G3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96" t="s">
        <v>23</v>
      </c>
      <c r="B4" s="96" t="s">
        <v>24</v>
      </c>
      <c r="C4" s="96" t="s">
        <v>18</v>
      </c>
      <c r="D4" s="96" t="s">
        <v>25</v>
      </c>
      <c r="E4" s="96" t="s">
        <v>26</v>
      </c>
      <c r="F4" s="96" t="s">
        <v>27</v>
      </c>
      <c r="G4" s="96" t="s">
        <v>28</v>
      </c>
      <c r="H4" s="96" t="s">
        <v>29</v>
      </c>
      <c r="I4" s="96" t="s">
        <v>30</v>
      </c>
      <c r="J4" s="96" t="s">
        <v>31</v>
      </c>
      <c r="U4" s="6" t="s">
        <v>177</v>
      </c>
      <c r="DA4" s="38" t="str">
        <f>+DA3</f>
        <v>ICICI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phoneticPr fontId="44" type="noConversion"/>
  <conditionalFormatting sqref="E3 I1:I2">
    <cfRule type="cellIs" dxfId="443" priority="10" operator="equal">
      <formula>#N/A</formula>
    </cfRule>
  </conditionalFormatting>
  <conditionalFormatting sqref="H1">
    <cfRule type="cellIs" dxfId="442" priority="9" operator="equal">
      <formula>#N/A</formula>
    </cfRule>
  </conditionalFormatting>
  <conditionalFormatting sqref="E1">
    <cfRule type="cellIs" dxfId="441" priority="8" operator="equal">
      <formula>#N/A</formula>
    </cfRule>
  </conditionalFormatting>
  <conditionalFormatting sqref="I1">
    <cfRule type="containsText" dxfId="440" priority="6" operator="containsText" text="All Data Import Successfully">
      <formula>NOT(ISERROR(SEARCH("All Data Import Successfully",I1)))</formula>
    </cfRule>
    <cfRule type="containsText" dxfId="439" priority="7" operator="containsText" text="Difference Entry">
      <formula>NOT(ISERROR(SEARCH("Difference Entry",I1)))</formula>
    </cfRule>
  </conditionalFormatting>
  <conditionalFormatting sqref="DG2">
    <cfRule type="cellIs" dxfId="438" priority="5" operator="equal">
      <formula>#N/A</formula>
    </cfRule>
  </conditionalFormatting>
  <conditionalFormatting sqref="DH2:DI2">
    <cfRule type="cellIs" dxfId="437" priority="4" operator="equal">
      <formula>#N/A</formula>
    </cfRule>
  </conditionalFormatting>
  <conditionalFormatting sqref="E2:G2">
    <cfRule type="cellIs" dxfId="436" priority="3" operator="equal">
      <formula>#N/A</formula>
    </cfRule>
  </conditionalFormatting>
  <conditionalFormatting sqref="H2">
    <cfRule type="cellIs" dxfId="435" priority="2" operator="equal">
      <formula>#N/A</formula>
    </cfRule>
  </conditionalFormatting>
  <conditionalFormatting sqref="I2">
    <cfRule type="cellIs" dxfId="43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4">
    <tabColor theme="8" tint="0.79998168889431442"/>
  </sheetPr>
  <dimension ref="A1:DZ4"/>
  <sheetViews>
    <sheetView showRuler="0" workbookViewId="0">
      <selection activeCell="A5" sqref="A5:H6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166</v>
      </c>
      <c r="T1" s="92">
        <v>10</v>
      </c>
      <c r="U1" s="92" t="s">
        <v>169</v>
      </c>
      <c r="V1" s="92" t="s">
        <v>201</v>
      </c>
      <c r="W1" s="92" t="s">
        <v>222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94" t="s">
        <v>60</v>
      </c>
      <c r="B3" s="95"/>
      <c r="C3" s="94"/>
      <c r="D3" s="94"/>
      <c r="E3" s="19"/>
      <c r="F3" s="17"/>
      <c r="G3" s="20"/>
      <c r="H3" s="21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45" t="str">
        <f>+$A$3</f>
        <v>ICICI Bank A/c.</v>
      </c>
      <c r="DB3" s="146">
        <f>VALUE(B3)</f>
        <v>0</v>
      </c>
      <c r="DC3" s="147" t="e">
        <f>+CONCATENATE(TEXT(DB3,"D"),"",TEXT(DB3,"MM"),"","/",SUBSTITUTE(DF3,",",""),"/",DK3)</f>
        <v>#VALUE!</v>
      </c>
      <c r="DD3" s="148">
        <f>IF(TRIM(J3)="",VALUE("0"),VALUE(SUBSTITUTE((TRIM(J3)),",","")))</f>
        <v>0</v>
      </c>
      <c r="DE3" s="148" t="e">
        <f>IF(TRIM(L3)="",VALUE("0"),VALUE(SUBSTITUTE((TRIM(L3)),",","")))</f>
        <v>#VALUE!</v>
      </c>
      <c r="DF3" s="148">
        <f>IF(TRIM(N3)="", 0, VALUE(SUBSTITUTE(SUBSTITUTE(SUBSTITUTE(TRIM(N3), ",", ""), "Cr", ""), "Dr", "")))</f>
        <v>0</v>
      </c>
      <c r="DG3" s="149" t="str">
        <f ca="1">(SUBSTITUTE(TRIM(IF(LEFT(G3,3)="CLG"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6),LEFT(IF(SUM(LEN(G3)-LEN(SUBSTITUTE(G3,{"0","1","2","3","4","5","6","7","8","9"},"")))&gt;0,SUMPRODUCT(MID(0&amp;G3,LARGE(INDEX(ISNUMBER(--MID(G3,ROW(INDIRECT("$1:$"&amp;LEN(G3))),1))*ROW(INDIRECT("$1:$"&amp;LEN(G3))),0),ROW(INDIRECT("$1:$"&amp;LEN(G3))))+1,1)*10^ROW(INDIRECT("$1:$"&amp;LEN(G3)))/10),""),12))),".",""))</f>
        <v/>
      </c>
      <c r="DH3" s="150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I3" s="151" t="e">
        <f>+IF(DE3=0,"Suspance Payment","Suspance Receipt")</f>
        <v>#VALUE!</v>
      </c>
      <c r="DJ3" s="152">
        <f>+C3</f>
        <v>0</v>
      </c>
      <c r="DK3" s="153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38" t="s">
        <v>39</v>
      </c>
      <c r="B4" s="96" t="s">
        <v>215</v>
      </c>
      <c r="C4" s="96" t="s">
        <v>216</v>
      </c>
      <c r="D4" s="96"/>
      <c r="E4" s="96"/>
      <c r="F4" s="96"/>
      <c r="G4" s="96" t="s">
        <v>217</v>
      </c>
      <c r="H4" s="96"/>
      <c r="I4" s="96" t="s">
        <v>218</v>
      </c>
      <c r="J4" s="96" t="s">
        <v>219</v>
      </c>
      <c r="K4" s="137"/>
      <c r="L4" s="137" t="s">
        <v>220</v>
      </c>
      <c r="M4" s="137"/>
      <c r="N4" s="137" t="s">
        <v>221</v>
      </c>
      <c r="U4" s="6" t="s">
        <v>177</v>
      </c>
      <c r="DA4" s="38" t="str">
        <f>+DA3</f>
        <v>ICICI Bank A/c.</v>
      </c>
    </row>
  </sheetData>
  <sheetProtection algorithmName="SHA-512" hashValue="BYgFkddzds8Tase+h432c0Ecx7N13n+9y81iGVFu0erh/58vTew2o3XdGQwxBHkEOvLZmHMwxWzw+MNTE5+zrA==" saltValue="2tK9xx3HRB8gQCPW6YUd1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phoneticPr fontId="44" type="noConversion"/>
  <conditionalFormatting sqref="E3 I1:I2">
    <cfRule type="cellIs" dxfId="433" priority="10" operator="equal">
      <formula>#N/A</formula>
    </cfRule>
  </conditionalFormatting>
  <conditionalFormatting sqref="H1">
    <cfRule type="cellIs" dxfId="432" priority="9" operator="equal">
      <formula>#N/A</formula>
    </cfRule>
  </conditionalFormatting>
  <conditionalFormatting sqref="E1">
    <cfRule type="cellIs" dxfId="431" priority="8" operator="equal">
      <formula>#N/A</formula>
    </cfRule>
  </conditionalFormatting>
  <conditionalFormatting sqref="I1">
    <cfRule type="containsText" dxfId="430" priority="6" operator="containsText" text="All Data Import Successfully">
      <formula>NOT(ISERROR(SEARCH("All Data Import Successfully",I1)))</formula>
    </cfRule>
    <cfRule type="containsText" dxfId="429" priority="7" operator="containsText" text="Difference Entry">
      <formula>NOT(ISERROR(SEARCH("Difference Entry",I1)))</formula>
    </cfRule>
  </conditionalFormatting>
  <conditionalFormatting sqref="DG2">
    <cfRule type="cellIs" dxfId="428" priority="5" operator="equal">
      <formula>#N/A</formula>
    </cfRule>
  </conditionalFormatting>
  <conditionalFormatting sqref="DH2:DI2">
    <cfRule type="cellIs" dxfId="427" priority="4" operator="equal">
      <formula>#N/A</formula>
    </cfRule>
  </conditionalFormatting>
  <conditionalFormatting sqref="E2:G2">
    <cfRule type="cellIs" dxfId="426" priority="3" operator="equal">
      <formula>#N/A</formula>
    </cfRule>
  </conditionalFormatting>
  <conditionalFormatting sqref="H2">
    <cfRule type="cellIs" dxfId="425" priority="2" operator="equal">
      <formula>#N/A</formula>
    </cfRule>
  </conditionalFormatting>
  <conditionalFormatting sqref="I2">
    <cfRule type="cellIs" dxfId="42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3">
    <tabColor theme="8" tint="0.79998168889431442"/>
  </sheetPr>
  <dimension ref="A1:DZ4"/>
  <sheetViews>
    <sheetView workbookViewId="0"/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166</v>
      </c>
      <c r="T1" s="92">
        <v>10</v>
      </c>
      <c r="U1" s="92" t="s">
        <v>167</v>
      </c>
      <c r="V1" s="92" t="s">
        <v>168</v>
      </c>
      <c r="W1" s="92" t="s">
        <v>169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04" t="s">
        <v>60</v>
      </c>
      <c r="B3" s="205"/>
      <c r="C3" s="204"/>
      <c r="D3" s="204"/>
      <c r="E3" s="57"/>
      <c r="F3" s="55"/>
      <c r="G3" s="58"/>
      <c r="H3" s="59"/>
      <c r="I3" s="55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>
        <f>VALUE(E3)</f>
        <v>0</v>
      </c>
      <c r="DC3" s="25" t="e">
        <f>+CONCATENATE(TEXT(DB3,"D"),"",TEXT(DB3,"MM"),"","/",SUBSTITUTE(DF3,",",""),"/",DK3)</f>
        <v>#VALUE!</v>
      </c>
      <c r="DD3" s="26">
        <f>IF(H3="",VALUE("0"),VALUE(SUBSTITUTE(SUBSTITUTE((H3),",",""),"NA",0)))</f>
        <v>0</v>
      </c>
      <c r="DE3" s="26">
        <f>IF(J3="",VALUE("0"),VALUE(SUBSTITUTE(SUBSTITUTE((J3),",",""),"NA",0)))</f>
        <v>0</v>
      </c>
      <c r="DF3" s="26" t="str">
        <f>IF(K3="","",VALUE(SUBSTITUTE((K3),",","")))</f>
        <v/>
      </c>
      <c r="DG3" s="26" t="str">
        <f>IF(K3="","",VALUE(SUBSTITUTE((K3),",","")))</f>
        <v/>
      </c>
      <c r="DH3" s="28">
        <f>+DB3</f>
        <v>0</v>
      </c>
      <c r="DI3" s="28" t="str">
        <f>+IF(DE3=0,"Suspance Payment","Suspance Receipt")</f>
        <v>Suspance Payment</v>
      </c>
      <c r="DJ3" s="29">
        <f>+G3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9" t="s">
        <v>16</v>
      </c>
      <c r="B4" s="219" t="s">
        <v>323</v>
      </c>
      <c r="C4" s="219" t="s">
        <v>18</v>
      </c>
      <c r="D4" s="219"/>
      <c r="E4" s="219" t="s">
        <v>25</v>
      </c>
      <c r="F4" s="219" t="s">
        <v>324</v>
      </c>
      <c r="G4" s="219" t="s">
        <v>28</v>
      </c>
      <c r="H4" s="219" t="s">
        <v>325</v>
      </c>
      <c r="I4" s="219"/>
      <c r="J4" s="219" t="s">
        <v>326</v>
      </c>
      <c r="K4" s="220" t="s">
        <v>11</v>
      </c>
      <c r="U4" s="6" t="s">
        <v>177</v>
      </c>
      <c r="DA4" s="38" t="str">
        <f>+DA3</f>
        <v>ICICI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4"/>
    <protectedRange algorithmName="SHA-512" hashValue="FeHjunJeBmEIe1Z+x4LSLD0xeXKoeHqEB4mLNgYC3pUDxBFAiT2e1scH7F48tQXpPGOh+9Z9iw2K5jb0kUxFkQ==" saltValue="Arxg+XESKZddo6Y2q+NDbg==" spinCount="100000" sqref="DD3:DG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423" priority="10" operator="equal">
      <formula>#N/A</formula>
    </cfRule>
  </conditionalFormatting>
  <conditionalFormatting sqref="H1">
    <cfRule type="cellIs" dxfId="422" priority="9" operator="equal">
      <formula>#N/A</formula>
    </cfRule>
  </conditionalFormatting>
  <conditionalFormatting sqref="E1">
    <cfRule type="cellIs" dxfId="421" priority="8" operator="equal">
      <formula>#N/A</formula>
    </cfRule>
  </conditionalFormatting>
  <conditionalFormatting sqref="I1">
    <cfRule type="containsText" dxfId="420" priority="6" operator="containsText" text="All Data Import Successfully">
      <formula>NOT(ISERROR(SEARCH("All Data Import Successfully",I1)))</formula>
    </cfRule>
    <cfRule type="containsText" dxfId="419" priority="7" operator="containsText" text="Difference Entry">
      <formula>NOT(ISERROR(SEARCH("Difference Entry",I1)))</formula>
    </cfRule>
  </conditionalFormatting>
  <conditionalFormatting sqref="DG2">
    <cfRule type="cellIs" dxfId="418" priority="5" operator="equal">
      <formula>#N/A</formula>
    </cfRule>
  </conditionalFormatting>
  <conditionalFormatting sqref="DH2:DI2">
    <cfRule type="cellIs" dxfId="417" priority="4" operator="equal">
      <formula>#N/A</formula>
    </cfRule>
  </conditionalFormatting>
  <conditionalFormatting sqref="E2:G2">
    <cfRule type="cellIs" dxfId="416" priority="3" operator="equal">
      <formula>#N/A</formula>
    </cfRule>
  </conditionalFormatting>
  <conditionalFormatting sqref="H2">
    <cfRule type="cellIs" dxfId="415" priority="2" operator="equal">
      <formula>#N/A</formula>
    </cfRule>
  </conditionalFormatting>
  <conditionalFormatting sqref="I2">
    <cfRule type="cellIs" dxfId="41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4"/>
  <dimension ref="A1:DZ4"/>
  <sheetViews>
    <sheetView workbookViewId="0">
      <selection activeCell="D10" sqref="D10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ICICI Bank A/c. (Saving)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17" t="s">
        <v>140</v>
      </c>
      <c r="B3" s="18"/>
      <c r="C3" s="17"/>
      <c r="D3" s="17"/>
      <c r="E3" s="19"/>
      <c r="F3" s="17"/>
      <c r="G3" s="20"/>
      <c r="H3" s="21"/>
      <c r="I3" s="55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ICICI Bank A/c. (Saving)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8">
        <f>VALUE(C3)</f>
        <v>0</v>
      </c>
      <c r="DI3" s="28" t="str">
        <f>+IF(DE3=0,"Suspance Payment","Suspance Receipt")</f>
        <v>Suspance Payment</v>
      </c>
      <c r="DJ3" s="2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63" t="s">
        <v>135</v>
      </c>
      <c r="B4" s="63" t="s">
        <v>18</v>
      </c>
      <c r="C4" s="63" t="s">
        <v>25</v>
      </c>
      <c r="D4" s="63" t="s">
        <v>136</v>
      </c>
      <c r="E4" s="63" t="s">
        <v>28</v>
      </c>
      <c r="F4" s="63" t="s">
        <v>137</v>
      </c>
      <c r="G4" s="63" t="s">
        <v>138</v>
      </c>
      <c r="H4" s="63" t="s">
        <v>139</v>
      </c>
      <c r="I4" s="1"/>
      <c r="J4" s="1"/>
      <c r="DA4" s="38" t="str">
        <f>+DA3</f>
        <v>ICICI Bank A/c. (Saving)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C3" name="Range1_4"/>
    <protectedRange algorithmName="SHA-512" hashValue="FeHjunJeBmEIe1Z+x4LSLD0xeXKoeHqEB4mLNgYC3pUDxBFAiT2e1scH7F48tQXpPGOh+9Z9iw2K5jb0kUxFkQ==" saltValue="Arxg+XESKZddo6Y2q+NDbg==" spinCount="100000" sqref="DD3:DF3" name="Range1_1_1"/>
    <protectedRange algorithmName="SHA-512" hashValue="FeHjunJeBmEIe1Z+x4LSLD0xeXKoeHqEB4mLNgYC3pUDxBFAiT2e1scH7F48tQXpPGOh+9Z9iw2K5jb0kUxFkQ==" saltValue="Arxg+XESKZddo6Y2q+NDbg==" spinCount="100000" sqref="DI3" name="Range1_2_1"/>
    <protectedRange algorithmName="SHA-512" hashValue="FeHjunJeBmEIe1Z+x4LSLD0xeXKoeHqEB4mLNgYC3pUDxBFAiT2e1scH7F48tQXpPGOh+9Z9iw2K5jb0kUxFkQ==" saltValue="Arxg+XESKZddo6Y2q+NDbg==" spinCount="100000" sqref="DK3" name="Range1_3_1"/>
  </protectedRanges>
  <conditionalFormatting sqref="E3 I1:I2">
    <cfRule type="cellIs" dxfId="413" priority="10" operator="equal">
      <formula>#N/A</formula>
    </cfRule>
  </conditionalFormatting>
  <conditionalFormatting sqref="H1">
    <cfRule type="cellIs" dxfId="412" priority="9" operator="equal">
      <formula>#N/A</formula>
    </cfRule>
  </conditionalFormatting>
  <conditionalFormatting sqref="E1">
    <cfRule type="cellIs" dxfId="411" priority="8" operator="equal">
      <formula>#N/A</formula>
    </cfRule>
  </conditionalFormatting>
  <conditionalFormatting sqref="I1">
    <cfRule type="containsText" dxfId="410" priority="6" operator="containsText" text="All Data Import Successfully">
      <formula>NOT(ISERROR(SEARCH("All Data Import Successfully",I1)))</formula>
    </cfRule>
    <cfRule type="containsText" dxfId="409" priority="7" operator="containsText" text="Difference Entry">
      <formula>NOT(ISERROR(SEARCH("Difference Entry",I1)))</formula>
    </cfRule>
  </conditionalFormatting>
  <conditionalFormatting sqref="DG2">
    <cfRule type="cellIs" dxfId="408" priority="5" operator="equal">
      <formula>#N/A</formula>
    </cfRule>
  </conditionalFormatting>
  <conditionalFormatting sqref="DH2:DI2">
    <cfRule type="cellIs" dxfId="407" priority="4" operator="equal">
      <formula>#N/A</formula>
    </cfRule>
  </conditionalFormatting>
  <conditionalFormatting sqref="E2:G2">
    <cfRule type="cellIs" dxfId="406" priority="3" operator="equal">
      <formula>#N/A</formula>
    </cfRule>
  </conditionalFormatting>
  <conditionalFormatting sqref="H2">
    <cfRule type="cellIs" dxfId="405" priority="2" operator="equal">
      <formula>#N/A</formula>
    </cfRule>
  </conditionalFormatting>
  <conditionalFormatting sqref="I2">
    <cfRule type="cellIs" dxfId="40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9">
    <tabColor theme="8" tint="0.79998168889431442"/>
  </sheetPr>
  <dimension ref="A1:DZ6"/>
  <sheetViews>
    <sheetView showRuler="0" workbookViewId="0">
      <selection activeCell="A7" sqref="A7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54.2851562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166</v>
      </c>
      <c r="T1" s="92">
        <v>10</v>
      </c>
      <c r="U1" s="92" t="s">
        <v>169</v>
      </c>
      <c r="V1" s="92" t="s">
        <v>201</v>
      </c>
      <c r="W1" s="92" t="s">
        <v>222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04" t="s">
        <v>60</v>
      </c>
      <c r="B3" s="205"/>
      <c r="C3" s="204"/>
      <c r="D3" s="204"/>
      <c r="E3" s="57"/>
      <c r="F3" s="55"/>
      <c r="G3" s="58"/>
      <c r="H3" s="59"/>
      <c r="I3" s="55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ICICI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IF(TRIM(F3)="",VALUE("0"),VALUE(SUBSTITUTE((TRIM(F3)),",","")))</f>
        <v>0</v>
      </c>
      <c r="DE3" s="26">
        <f>IF(TRIM(H3)="",VALUE("0"),VALUE(SUBSTITUTE((TRIM(H3)),",","")))</f>
        <v>0</v>
      </c>
      <c r="DF3" s="26">
        <f>IFERROR(IF(TRIM(M3)="", 0, VALUE(SUBSTITUTE(SUBSTITUTE(SUBSTITUTE(TRIM(M3), ",", ""), "Cr", ""), "Dr", ""))),DF2+DE3-DD3)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66" t="str">
        <f>+A3</f>
        <v>ICICI Bank A/c.</v>
      </c>
      <c r="DI3" s="28" t="str">
        <f>+IF(DE3=0,"Suspance Payment","Suspance Receipt")</f>
        <v>Suspance Payment</v>
      </c>
      <c r="DJ3" s="2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3.25" thickBot="1">
      <c r="A4" s="206" t="s">
        <v>32</v>
      </c>
      <c r="B4" s="207" t="s">
        <v>146</v>
      </c>
      <c r="C4" s="207"/>
      <c r="D4" s="207"/>
      <c r="E4" s="207" t="s">
        <v>299</v>
      </c>
      <c r="F4" s="207" t="s">
        <v>68</v>
      </c>
      <c r="G4" s="207"/>
      <c r="H4" s="207" t="s">
        <v>69</v>
      </c>
      <c r="I4" s="207"/>
      <c r="J4" s="207" t="s">
        <v>300</v>
      </c>
      <c r="K4" s="207" t="s">
        <v>301</v>
      </c>
      <c r="L4" s="207"/>
      <c r="M4" s="208" t="s">
        <v>108</v>
      </c>
      <c r="N4" s="137"/>
      <c r="U4" s="6" t="s">
        <v>177</v>
      </c>
      <c r="DA4" s="38" t="str">
        <f>+DA3</f>
        <v>ICICI Bank A/c.</v>
      </c>
    </row>
    <row r="5" spans="1:130">
      <c r="DA5" s="278" t="s">
        <v>60</v>
      </c>
      <c r="DB5" s="279">
        <v>45504</v>
      </c>
      <c r="DC5" s="280" t="s">
        <v>420</v>
      </c>
      <c r="DD5" s="281">
        <v>0</v>
      </c>
      <c r="DE5" s="281" t="e">
        <v>#VALUE!</v>
      </c>
      <c r="DF5" s="281">
        <v>0</v>
      </c>
      <c r="DG5" s="282" t="s">
        <v>421</v>
      </c>
      <c r="DH5" s="283">
        <v>45504</v>
      </c>
      <c r="DI5" s="284" t="e">
        <v>#VALUE!</v>
      </c>
      <c r="DJ5" s="285" t="s">
        <v>422</v>
      </c>
      <c r="DK5" s="286">
        <v>1</v>
      </c>
    </row>
    <row r="6" spans="1:130">
      <c r="DA6" s="278" t="s">
        <v>60</v>
      </c>
      <c r="DB6" s="279">
        <v>45565</v>
      </c>
      <c r="DC6" s="280" t="s">
        <v>423</v>
      </c>
      <c r="DD6" s="281">
        <v>0</v>
      </c>
      <c r="DE6" s="281" t="e">
        <v>#VALUE!</v>
      </c>
      <c r="DF6" s="281">
        <v>0</v>
      </c>
      <c r="DG6" s="282" t="s">
        <v>424</v>
      </c>
      <c r="DH6" s="283">
        <v>45565</v>
      </c>
      <c r="DI6" s="284" t="e">
        <v>#VALUE!</v>
      </c>
      <c r="DJ6" s="285" t="s">
        <v>425</v>
      </c>
      <c r="DK6" s="286">
        <v>2</v>
      </c>
    </row>
  </sheetData>
  <sheetProtection algorithmName="SHA-512" hashValue="QNtJPd580UuZNCqGLERXAO0TzhztmQedUQLAAHQHCFfbT+bFtg0VksWEZKRMtEz3/YVUcsqY9giRyrsYnaS3Sw==" saltValue="oz+bSiUda0sPpU/OYmxR6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H5:DH6 DJ5:DJ6 DA5:DB6" name="Range1_4"/>
    <protectedRange algorithmName="SHA-512" hashValue="FeHjunJeBmEIe1Z+x4LSLD0xeXKoeHqEB4mLNgYC3pUDxBFAiT2e1scH7F48tQXpPGOh+9Z9iw2K5jb0kUxFkQ==" saltValue="Arxg+XESKZddo6Y2q+NDbg==" spinCount="100000" sqref="DD3:DF3 DD5:DF6" name="Range1_1_1"/>
    <protectedRange algorithmName="SHA-512" hashValue="FeHjunJeBmEIe1Z+x4LSLD0xeXKoeHqEB4mLNgYC3pUDxBFAiT2e1scH7F48tQXpPGOh+9Z9iw2K5jb0kUxFkQ==" saltValue="Arxg+XESKZddo6Y2q+NDbg==" spinCount="100000" sqref="DI3 DI5:DI6" name="Range1_2_1"/>
    <protectedRange algorithmName="SHA-512" hashValue="FeHjunJeBmEIe1Z+x4LSLD0xeXKoeHqEB4mLNgYC3pUDxBFAiT2e1scH7F48tQXpPGOh+9Z9iw2K5jb0kUxFkQ==" saltValue="Arxg+XESKZddo6Y2q+NDbg==" spinCount="100000" sqref="DK3 DK5:DK6" name="Range1_3_1"/>
    <protectedRange algorithmName="SHA-512" hashValue="FeHjunJeBmEIe1Z+x4LSLD0xeXKoeHqEB4mLNgYC3pUDxBFAiT2e1scH7F48tQXpPGOh+9Z9iw2K5jb0kUxFkQ==" saltValue="Arxg+XESKZddo6Y2q+NDbg==" spinCount="100000" sqref="DC3 DC5:DC6" name="Range1_5"/>
  </protectedRanges>
  <conditionalFormatting sqref="E3 I1:I2">
    <cfRule type="cellIs" dxfId="403" priority="10" operator="equal">
      <formula>#N/A</formula>
    </cfRule>
  </conditionalFormatting>
  <conditionalFormatting sqref="H1">
    <cfRule type="cellIs" dxfId="402" priority="9" operator="equal">
      <formula>#N/A</formula>
    </cfRule>
  </conditionalFormatting>
  <conditionalFormatting sqref="E1">
    <cfRule type="cellIs" dxfId="401" priority="8" operator="equal">
      <formula>#N/A</formula>
    </cfRule>
  </conditionalFormatting>
  <conditionalFormatting sqref="I1">
    <cfRule type="containsText" dxfId="400" priority="6" operator="containsText" text="All Data Import Successfully">
      <formula>NOT(ISERROR(SEARCH("All Data Import Successfully",I1)))</formula>
    </cfRule>
    <cfRule type="containsText" dxfId="399" priority="7" operator="containsText" text="Difference Entry">
      <formula>NOT(ISERROR(SEARCH("Difference Entry",I1)))</formula>
    </cfRule>
  </conditionalFormatting>
  <conditionalFormatting sqref="DG2">
    <cfRule type="cellIs" dxfId="398" priority="5" operator="equal">
      <formula>#N/A</formula>
    </cfRule>
  </conditionalFormatting>
  <conditionalFormatting sqref="DH2:DI2">
    <cfRule type="cellIs" dxfId="397" priority="4" operator="equal">
      <formula>#N/A</formula>
    </cfRule>
  </conditionalFormatting>
  <conditionalFormatting sqref="E2:G2">
    <cfRule type="cellIs" dxfId="396" priority="3" operator="equal">
      <formula>#N/A</formula>
    </cfRule>
  </conditionalFormatting>
  <conditionalFormatting sqref="H2">
    <cfRule type="cellIs" dxfId="395" priority="2" operator="equal">
      <formula>#N/A</formula>
    </cfRule>
  </conditionalFormatting>
  <conditionalFormatting sqref="I2">
    <cfRule type="cellIs" dxfId="39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5"/>
  <dimension ref="A1:DZ4"/>
  <sheetViews>
    <sheetView showRuler="0" workbookViewId="0">
      <selection activeCell="C21" sqref="C21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200</v>
      </c>
      <c r="T1" s="92">
        <v>9</v>
      </c>
      <c r="U1" s="92" t="s">
        <v>169</v>
      </c>
      <c r="V1" s="92" t="s">
        <v>169</v>
      </c>
      <c r="W1" s="92" t="s">
        <v>201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62</v>
      </c>
      <c r="B3" s="56"/>
      <c r="C3" s="55"/>
      <c r="D3" s="55" t="s">
        <v>414</v>
      </c>
      <c r="E3" s="57"/>
      <c r="F3" s="55"/>
      <c r="G3" s="58"/>
      <c r="H3" s="59"/>
      <c r="I3" s="55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IDBI Bank A/c.</v>
      </c>
      <c r="DB3" s="24">
        <f>VALUE(C3)</f>
        <v>0</v>
      </c>
      <c r="DC3" s="25" t="e">
        <f>+CONCATENATE(TEXT(DB3,"D"),"",TEXT(DB3,"MM"),"","/",SUBSTITUTE(DF3,",",""),"/",DK3)</f>
        <v>#VALUE!</v>
      </c>
      <c r="DD3" s="26" t="e">
        <f>IF(F3="Cr.",VALUE("0"),VALUE(SUBSTITUTE((H3),",","")))</f>
        <v>#VALUE!</v>
      </c>
      <c r="DE3" s="26" t="e">
        <f>IF(F3="Dr.",VALUE("0"),VALUE(SUBSTITUTE((H3),",","")))</f>
        <v>#VALUE!</v>
      </c>
      <c r="DF3" s="26" t="str">
        <f>IF(I3="","",VALUE(SUBSTITUTE((I3),",","")))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>
        <f>VALUE(C3)</f>
        <v>0</v>
      </c>
      <c r="DI3" s="28" t="e">
        <f>+IF(DE3=0,"Suspance Payment","Suspance Receipt")</f>
        <v>#VALUE!</v>
      </c>
      <c r="DJ3" s="39" t="str">
        <f>+D3</f>
        <v>C:\Users\ADITYA\Desktop\Ecomm\Bank Statement\IDBI BANK - ACURA.xls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46</v>
      </c>
      <c r="B4" s="104" t="s">
        <v>17</v>
      </c>
      <c r="C4" s="104" t="s">
        <v>18</v>
      </c>
      <c r="D4" s="104" t="s">
        <v>19</v>
      </c>
      <c r="E4" s="104" t="s">
        <v>47</v>
      </c>
      <c r="F4" s="104" t="s">
        <v>48</v>
      </c>
      <c r="G4" s="104" t="s">
        <v>49</v>
      </c>
      <c r="H4" s="104" t="s">
        <v>50</v>
      </c>
      <c r="I4" s="104" t="s">
        <v>31</v>
      </c>
      <c r="J4" s="53"/>
      <c r="DA4" s="38" t="str">
        <f>+DA3</f>
        <v>IDBI Bank A/c.</v>
      </c>
    </row>
  </sheetData>
  <sheetProtection algorithmName="SHA-512" hashValue="5u7Ty7uUSYSIL81m+cVCHlIhuD/D9T/k6btJCcLyo3JLcMfW5oJak+TCnxfY9TS0IynQTffYDce5qGFBiOCQxw==" saltValue="MjphVRnHiGQI3nkzV2Uz4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393" priority="18" operator="equal">
      <formula>#N/A</formula>
    </cfRule>
  </conditionalFormatting>
  <conditionalFormatting sqref="DG2">
    <cfRule type="cellIs" dxfId="392" priority="13" operator="equal">
      <formula>#N/A</formula>
    </cfRule>
  </conditionalFormatting>
  <conditionalFormatting sqref="DH2:DI2">
    <cfRule type="cellIs" dxfId="391" priority="12" operator="equal">
      <formula>#N/A</formula>
    </cfRule>
  </conditionalFormatting>
  <conditionalFormatting sqref="I1:I2">
    <cfRule type="cellIs" dxfId="390" priority="8" operator="equal">
      <formula>#N/A</formula>
    </cfRule>
  </conditionalFormatting>
  <conditionalFormatting sqref="H1">
    <cfRule type="cellIs" dxfId="389" priority="7" operator="equal">
      <formula>#N/A</formula>
    </cfRule>
  </conditionalFormatting>
  <conditionalFormatting sqref="E1">
    <cfRule type="cellIs" dxfId="388" priority="6" operator="equal">
      <formula>#N/A</formula>
    </cfRule>
  </conditionalFormatting>
  <conditionalFormatting sqref="I1">
    <cfRule type="containsText" dxfId="387" priority="4" operator="containsText" text="All Data Import Successfully">
      <formula>NOT(ISERROR(SEARCH("All Data Import Successfully",I1)))</formula>
    </cfRule>
    <cfRule type="containsText" dxfId="386" priority="5" operator="containsText" text="Difference Entry">
      <formula>NOT(ISERROR(SEARCH("Difference Entry",I1)))</formula>
    </cfRule>
  </conditionalFormatting>
  <conditionalFormatting sqref="E2:G2">
    <cfRule type="cellIs" dxfId="385" priority="3" operator="equal">
      <formula>#N/A</formula>
    </cfRule>
  </conditionalFormatting>
  <conditionalFormatting sqref="H2">
    <cfRule type="cellIs" dxfId="384" priority="2" operator="equal">
      <formula>#N/A</formula>
    </cfRule>
  </conditionalFormatting>
  <conditionalFormatting sqref="I2">
    <cfRule type="cellIs" dxfId="38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7">
    <tabColor theme="8" tint="0.79998168889431442"/>
  </sheetPr>
  <dimension ref="A1:DZ4"/>
  <sheetViews>
    <sheetView zoomScaleNormal="100" workbookViewId="0">
      <selection activeCell="C14" sqref="C14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200</v>
      </c>
      <c r="T1" s="92">
        <v>9</v>
      </c>
      <c r="U1" s="92" t="s">
        <v>232</v>
      </c>
      <c r="V1" s="92" t="s">
        <v>232</v>
      </c>
      <c r="W1" s="92" t="s">
        <v>233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62</v>
      </c>
      <c r="B3" s="56"/>
      <c r="C3" s="55"/>
      <c r="D3" s="55"/>
      <c r="E3" s="57"/>
      <c r="F3" s="55"/>
      <c r="G3" s="58"/>
      <c r="H3" s="59"/>
      <c r="I3" s="55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39" t="str">
        <f>+$A$3</f>
        <v>IDBI Bank A/c.</v>
      </c>
      <c r="DB3" s="140" t="e">
        <f>IF(MID(LEFT(B3, 10), 5, 1) = "-", TEXT(DATE(LEFT(LEFT(B3, 10), 4), MID(LEFT(B3, 10), 6, 2), MID(LEFT(B3, 10), 9, 2)), "dd/MM/yyyy"), TEXT(DATE(RIGHT(LEFT(B3, 10), 4), MID(LEFT(B3, 10), 4, 2), LEFT(LEFT(B3, 10), 2)), "dd/MM/yyyy"))</f>
        <v>#VALUE!</v>
      </c>
      <c r="DC3" s="141" t="e">
        <f>+CONCATENATE(TEXT(DB3,"D"),"",TEXT(DB3,"MM"),"","/",SUBSTITUTE(DF3,",",""),"/",DK3)</f>
        <v>#VALUE!</v>
      </c>
      <c r="DD3" s="50" t="e">
        <f>IF(TRIM(J3)="Cr.",VALUE("0"),VALUE(SUBSTITUTE((TRIM(L3)),",","")))</f>
        <v>#VALUE!</v>
      </c>
      <c r="DE3" s="50" t="e">
        <f>IF(TRIM(J3)="Dr.",VALUE("0"),VALUE(SUBSTITUTE((TRIM(L3)),",","")))</f>
        <v>#VALUE!</v>
      </c>
      <c r="DF3" s="50" t="str">
        <f>IF(TRIM(M3)="","",VALUE(SUBSTITUTE((TRIM(M3)),",","")))</f>
        <v/>
      </c>
      <c r="DG3" s="142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43" t="e">
        <f>+DB3</f>
        <v>#VALUE!</v>
      </c>
      <c r="DI3" s="143" t="e">
        <f>+IF(DE3=0,"Suspance Payment","Suspance Receipt")</f>
        <v>#VALUE!</v>
      </c>
      <c r="DJ3" s="155" t="str">
        <f>+TRIM(F3)</f>
        <v/>
      </c>
      <c r="DK3" s="144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223</v>
      </c>
      <c r="B4" s="104" t="s">
        <v>224</v>
      </c>
      <c r="C4" s="104"/>
      <c r="D4" s="104" t="s">
        <v>225</v>
      </c>
      <c r="E4" s="104"/>
      <c r="F4" s="104" t="s">
        <v>226</v>
      </c>
      <c r="G4" s="104"/>
      <c r="H4" s="104"/>
      <c r="I4" s="104" t="s">
        <v>227</v>
      </c>
      <c r="J4" s="154" t="s">
        <v>228</v>
      </c>
      <c r="K4" s="101" t="s">
        <v>229</v>
      </c>
      <c r="L4" s="101" t="s">
        <v>230</v>
      </c>
      <c r="M4" s="102" t="s">
        <v>231</v>
      </c>
      <c r="N4" s="137"/>
      <c r="DA4" s="38" t="str">
        <f>+DA3</f>
        <v>IDBI Bank A/c.</v>
      </c>
    </row>
  </sheetData>
  <sheetProtection algorithmName="SHA-512" hashValue="Mg2L05rgrKA50I1N3cVEap+wh2j23dFtuC2dZfwRyMPZDaQr2rN2tB0ucVfKKShNEkctzm4x/dkcYnYzUyO9eg==" saltValue="a+vAeNzskCUWvTQAg9ZGg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382" priority="11" operator="equal">
      <formula>#N/A</formula>
    </cfRule>
  </conditionalFormatting>
  <conditionalFormatting sqref="DG2">
    <cfRule type="cellIs" dxfId="381" priority="10" operator="equal">
      <formula>#N/A</formula>
    </cfRule>
  </conditionalFormatting>
  <conditionalFormatting sqref="DH2:DI2">
    <cfRule type="cellIs" dxfId="380" priority="9" operator="equal">
      <formula>#N/A</formula>
    </cfRule>
  </conditionalFormatting>
  <conditionalFormatting sqref="I1:I2">
    <cfRule type="cellIs" dxfId="379" priority="8" operator="equal">
      <formula>#N/A</formula>
    </cfRule>
  </conditionalFormatting>
  <conditionalFormatting sqref="H1">
    <cfRule type="cellIs" dxfId="378" priority="7" operator="equal">
      <formula>#N/A</formula>
    </cfRule>
  </conditionalFormatting>
  <conditionalFormatting sqref="E1">
    <cfRule type="cellIs" dxfId="377" priority="6" operator="equal">
      <formula>#N/A</formula>
    </cfRule>
  </conditionalFormatting>
  <conditionalFormatting sqref="I1">
    <cfRule type="containsText" dxfId="376" priority="4" operator="containsText" text="All Data Import Successfully">
      <formula>NOT(ISERROR(SEARCH("All Data Import Successfully",I1)))</formula>
    </cfRule>
    <cfRule type="containsText" dxfId="375" priority="5" operator="containsText" text="Difference Entry">
      <formula>NOT(ISERROR(SEARCH("Difference Entry",I1)))</formula>
    </cfRule>
  </conditionalFormatting>
  <conditionalFormatting sqref="E2:G2">
    <cfRule type="cellIs" dxfId="374" priority="3" operator="equal">
      <formula>#N/A</formula>
    </cfRule>
  </conditionalFormatting>
  <conditionalFormatting sqref="H2">
    <cfRule type="cellIs" dxfId="373" priority="2" operator="equal">
      <formula>#N/A</formula>
    </cfRule>
  </conditionalFormatting>
  <conditionalFormatting sqref="I2">
    <cfRule type="cellIs" dxfId="37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4">
    <tabColor theme="8" tint="0.79998168889431442"/>
  </sheetPr>
  <dimension ref="A1:DZ4"/>
  <sheetViews>
    <sheetView showRuler="0" workbookViewId="0">
      <selection activeCell="C13" sqref="C13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179</v>
      </c>
      <c r="T1" s="92">
        <v>7</v>
      </c>
      <c r="U1" s="92" t="s">
        <v>180</v>
      </c>
      <c r="V1" s="92" t="s">
        <v>171</v>
      </c>
      <c r="W1" s="92" t="s">
        <v>172</v>
      </c>
      <c r="X1" s="99" t="s">
        <v>6</v>
      </c>
      <c r="Y1" s="99">
        <v>10</v>
      </c>
      <c r="Z1" s="92">
        <v>0</v>
      </c>
      <c r="AA1" s="92" t="s">
        <v>255</v>
      </c>
      <c r="AB1" s="92" t="s">
        <v>254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/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IDBI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62</v>
      </c>
      <c r="B3" s="56"/>
      <c r="C3" s="55"/>
      <c r="D3" s="55"/>
      <c r="E3" s="57"/>
      <c r="F3" s="55"/>
      <c r="G3" s="58"/>
      <c r="H3" s="21"/>
      <c r="I3" s="17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IDBI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IF(G3="",VALUE("0"),VALUE(SUBSTITUTE((TRIM(G3)),",","")))</f>
        <v>0</v>
      </c>
      <c r="DE3" s="26">
        <f>IF(H3="",VALUE("0"),VALUE(SUBSTITUTE((TRIM(H3)),",","")))</f>
        <v>0</v>
      </c>
      <c r="DF3" s="26" t="str">
        <f>IF(I3="", "", VALUE(SUBSTITUTE(SUBSTITUTE(SUBSTITUTE(TRIM(I3), ",", ""), "Cr", ""), "Dr", 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83" t="s">
        <v>263</v>
      </c>
      <c r="B4" s="183" t="s">
        <v>264</v>
      </c>
      <c r="C4" s="183" t="s">
        <v>265</v>
      </c>
      <c r="D4" s="339" t="s">
        <v>266</v>
      </c>
      <c r="E4" s="340"/>
      <c r="F4" s="184" t="s">
        <v>267</v>
      </c>
      <c r="G4" s="184" t="s">
        <v>268</v>
      </c>
      <c r="H4" s="185" t="s">
        <v>269</v>
      </c>
      <c r="I4" s="185" t="s">
        <v>270</v>
      </c>
      <c r="DA4" s="38" t="str">
        <f>+DA3</f>
        <v>IDBI Bank A/c.</v>
      </c>
    </row>
  </sheetData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mergeCells count="1">
    <mergeCell ref="D4:E4"/>
  </mergeCells>
  <conditionalFormatting sqref="E3">
    <cfRule type="cellIs" dxfId="371" priority="11" operator="equal">
      <formula>#N/A</formula>
    </cfRule>
  </conditionalFormatting>
  <conditionalFormatting sqref="DG2">
    <cfRule type="cellIs" dxfId="370" priority="10" operator="equal">
      <formula>#N/A</formula>
    </cfRule>
  </conditionalFormatting>
  <conditionalFormatting sqref="DH2:DI2">
    <cfRule type="cellIs" dxfId="369" priority="9" operator="equal">
      <formula>#N/A</formula>
    </cfRule>
  </conditionalFormatting>
  <conditionalFormatting sqref="I1:I2">
    <cfRule type="cellIs" dxfId="368" priority="8" operator="equal">
      <formula>#N/A</formula>
    </cfRule>
  </conditionalFormatting>
  <conditionalFormatting sqref="H1">
    <cfRule type="cellIs" dxfId="367" priority="7" operator="equal">
      <formula>#N/A</formula>
    </cfRule>
  </conditionalFormatting>
  <conditionalFormatting sqref="E1">
    <cfRule type="cellIs" dxfId="366" priority="6" operator="equal">
      <formula>#N/A</formula>
    </cfRule>
  </conditionalFormatting>
  <conditionalFormatting sqref="I1">
    <cfRule type="containsText" dxfId="365" priority="4" operator="containsText" text="All Data Import Successfully">
      <formula>NOT(ISERROR(SEARCH("All Data Import Successfully",I1)))</formula>
    </cfRule>
    <cfRule type="containsText" dxfId="364" priority="5" operator="containsText" text="Difference Entry">
      <formula>NOT(ISERROR(SEARCH("Difference Entry",I1)))</formula>
    </cfRule>
  </conditionalFormatting>
  <conditionalFormatting sqref="E2:G2">
    <cfRule type="cellIs" dxfId="363" priority="3" operator="equal">
      <formula>#N/A</formula>
    </cfRule>
  </conditionalFormatting>
  <conditionalFormatting sqref="H2">
    <cfRule type="cellIs" dxfId="362" priority="2" operator="equal">
      <formula>#N/A</formula>
    </cfRule>
  </conditionalFormatting>
  <conditionalFormatting sqref="I2">
    <cfRule type="cellIs" dxfId="36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21"/>
  <dimension ref="A1:DZ4"/>
  <sheetViews>
    <sheetView showRuler="0" workbookViewId="0">
      <selection activeCell="D15" sqref="D1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202</v>
      </c>
      <c r="T1" s="92">
        <v>7</v>
      </c>
      <c r="U1" s="92" t="s">
        <v>180</v>
      </c>
      <c r="V1" s="92" t="s">
        <v>171</v>
      </c>
      <c r="W1" s="92" t="s">
        <v>172</v>
      </c>
      <c r="X1" s="99" t="s">
        <v>6</v>
      </c>
      <c r="Y1" s="99">
        <v>3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123</v>
      </c>
      <c r="B3" s="56"/>
      <c r="C3" s="55"/>
      <c r="D3" s="55" t="s">
        <v>204</v>
      </c>
      <c r="E3" s="57"/>
      <c r="F3" s="55"/>
      <c r="G3" s="58"/>
      <c r="H3" s="21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IDFC First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54" t="e">
        <f>IF(G3=" ","",VALUE(SUBSTITUTE((G3),",","")))</f>
        <v>#VALUE!</v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17</v>
      </c>
      <c r="B4" s="101" t="s">
        <v>18</v>
      </c>
      <c r="C4" s="101" t="s">
        <v>19</v>
      </c>
      <c r="D4" s="101" t="s">
        <v>20</v>
      </c>
      <c r="E4" s="101" t="s">
        <v>21</v>
      </c>
      <c r="F4" s="101" t="s">
        <v>22</v>
      </c>
      <c r="G4" s="102" t="s">
        <v>11</v>
      </c>
      <c r="DA4" s="38" t="str">
        <f>+DA3</f>
        <v>IDFC First</v>
      </c>
      <c r="DF4" s="26"/>
    </row>
  </sheetData>
  <sheetProtection algorithmName="SHA-512" hashValue="asuvEcjgw7NIx5dS5AeRTekjKx3bX5XJAEgjbKNoP4zhm54V7k0CdNlDT5E06Ejimerd1YZP6FwVBeMZeVvgBg==" saltValue="Fk2sYdEO8FUtMdgsyO3Le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E3 DF4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F3" name="Range1_1_8_1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60" priority="18" operator="equal">
      <formula>#N/A</formula>
    </cfRule>
  </conditionalFormatting>
  <conditionalFormatting sqref="DG2">
    <cfRule type="cellIs" dxfId="359" priority="13" operator="equal">
      <formula>#N/A</formula>
    </cfRule>
  </conditionalFormatting>
  <conditionalFormatting sqref="DH2:DI2">
    <cfRule type="cellIs" dxfId="358" priority="12" operator="equal">
      <formula>#N/A</formula>
    </cfRule>
  </conditionalFormatting>
  <conditionalFormatting sqref="I1:I2">
    <cfRule type="cellIs" dxfId="357" priority="8" operator="equal">
      <formula>#N/A</formula>
    </cfRule>
  </conditionalFormatting>
  <conditionalFormatting sqref="H1">
    <cfRule type="cellIs" dxfId="356" priority="7" operator="equal">
      <formula>#N/A</formula>
    </cfRule>
  </conditionalFormatting>
  <conditionalFormatting sqref="E1">
    <cfRule type="cellIs" dxfId="355" priority="6" operator="equal">
      <formula>#N/A</formula>
    </cfRule>
  </conditionalFormatting>
  <conditionalFormatting sqref="I1">
    <cfRule type="containsText" dxfId="354" priority="4" operator="containsText" text="All Data Import Successfully">
      <formula>NOT(ISERROR(SEARCH("All Data Import Successfully",I1)))</formula>
    </cfRule>
    <cfRule type="containsText" dxfId="353" priority="5" operator="containsText" text="Difference Entry">
      <formula>NOT(ISERROR(SEARCH("Difference Entry",I1)))</formula>
    </cfRule>
  </conditionalFormatting>
  <conditionalFormatting sqref="E2:G2">
    <cfRule type="cellIs" dxfId="352" priority="3" operator="equal">
      <formula>#N/A</formula>
    </cfRule>
  </conditionalFormatting>
  <conditionalFormatting sqref="H2">
    <cfRule type="cellIs" dxfId="351" priority="2" operator="equal">
      <formula>#N/A</formula>
    </cfRule>
  </conditionalFormatting>
  <conditionalFormatting sqref="I2">
    <cfRule type="cellIs" dxfId="35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38">
    <tabColor theme="8" tint="0.79998168889431442"/>
  </sheetPr>
  <dimension ref="A1:DZ4"/>
  <sheetViews>
    <sheetView showRuler="0" workbookViewId="0">
      <selection activeCell="A2" sqref="A2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202</v>
      </c>
      <c r="T1" s="92">
        <v>7</v>
      </c>
      <c r="U1" s="92" t="s">
        <v>180</v>
      </c>
      <c r="V1" s="92" t="s">
        <v>171</v>
      </c>
      <c r="W1" s="92" t="s">
        <v>172</v>
      </c>
      <c r="X1" s="99" t="s">
        <v>6</v>
      </c>
      <c r="Y1" s="99">
        <v>3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123</v>
      </c>
      <c r="B3" s="56"/>
      <c r="C3" s="55"/>
      <c r="D3" s="55"/>
      <c r="E3" s="57"/>
      <c r="F3" s="55"/>
      <c r="G3" s="58"/>
      <c r="H3" s="21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IDFC First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IF(TRIM(E3)="",VALUE("0"),VALUE(SUBSTITUTE((TRIM(E3)),",","")))</f>
        <v>0</v>
      </c>
      <c r="DE3" s="26">
        <f>IF(TRIM(F3)="",VALUE("0"),VALUE(SUBSTITUTE((TRIM(F3)),",","")))</f>
        <v>0</v>
      </c>
      <c r="DF3" s="54" t="e">
        <f>IF(TRIM(G3)=" ","",VALUE(SUBSTITUTE((TRIM(G3)),",","")))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17</v>
      </c>
      <c r="B4" s="101" t="s">
        <v>18</v>
      </c>
      <c r="C4" s="101" t="s">
        <v>19</v>
      </c>
      <c r="D4" s="101" t="s">
        <v>20</v>
      </c>
      <c r="E4" s="101" t="s">
        <v>21</v>
      </c>
      <c r="F4" s="101" t="s">
        <v>22</v>
      </c>
      <c r="G4" s="102" t="s">
        <v>11</v>
      </c>
      <c r="DA4" s="38" t="str">
        <f>+DA3</f>
        <v>IDFC First</v>
      </c>
      <c r="DF4" s="26"/>
    </row>
  </sheetData>
  <sheetProtection algorithmName="SHA-512" hashValue="S0BkroxmXk40a7ZlIY+Oqb2i9JYq8mDiBKLWmmesKBIf8rs0Sj8OSymUZaos8BYEi1HE5efatfT1+IxZQS6kPw==" saltValue="FrlQ7Z6FYyhogj3CNHe/U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E3 DF4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F3" name="Range1_1_8_1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49" priority="11" operator="equal">
      <formula>#N/A</formula>
    </cfRule>
  </conditionalFormatting>
  <conditionalFormatting sqref="DG2">
    <cfRule type="cellIs" dxfId="348" priority="10" operator="equal">
      <formula>#N/A</formula>
    </cfRule>
  </conditionalFormatting>
  <conditionalFormatting sqref="DH2:DI2">
    <cfRule type="cellIs" dxfId="347" priority="9" operator="equal">
      <formula>#N/A</formula>
    </cfRule>
  </conditionalFormatting>
  <conditionalFormatting sqref="I1:I2">
    <cfRule type="cellIs" dxfId="346" priority="8" operator="equal">
      <formula>#N/A</formula>
    </cfRule>
  </conditionalFormatting>
  <conditionalFormatting sqref="H1">
    <cfRule type="cellIs" dxfId="345" priority="7" operator="equal">
      <formula>#N/A</formula>
    </cfRule>
  </conditionalFormatting>
  <conditionalFormatting sqref="E1">
    <cfRule type="cellIs" dxfId="344" priority="6" operator="equal">
      <formula>#N/A</formula>
    </cfRule>
  </conditionalFormatting>
  <conditionalFormatting sqref="I1">
    <cfRule type="containsText" dxfId="343" priority="4" operator="containsText" text="All Data Import Successfully">
      <formula>NOT(ISERROR(SEARCH("All Data Import Successfully",I1)))</formula>
    </cfRule>
    <cfRule type="containsText" dxfId="342" priority="5" operator="containsText" text="Difference Entry">
      <formula>NOT(ISERROR(SEARCH("Difference Entry",I1)))</formula>
    </cfRule>
  </conditionalFormatting>
  <conditionalFormatting sqref="E2:G2">
    <cfRule type="cellIs" dxfId="341" priority="3" operator="equal">
      <formula>#N/A</formula>
    </cfRule>
  </conditionalFormatting>
  <conditionalFormatting sqref="H2">
    <cfRule type="cellIs" dxfId="340" priority="2" operator="equal">
      <formula>#N/A</formula>
    </cfRule>
  </conditionalFormatting>
  <conditionalFormatting sqref="I2">
    <cfRule type="cellIs" dxfId="33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10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06" width="24.7109375" style="6" customWidth="1"/>
    <col min="107" max="107" width="28.28515625" style="6" customWidth="1"/>
    <col min="108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185</v>
      </c>
      <c r="T1" s="92">
        <v>8</v>
      </c>
      <c r="U1" s="92" t="s">
        <v>171</v>
      </c>
      <c r="V1" s="92" t="s">
        <v>172</v>
      </c>
      <c r="W1" s="92" t="s">
        <v>167</v>
      </c>
      <c r="X1" s="99" t="s">
        <v>6</v>
      </c>
      <c r="Y1" s="99">
        <v>1</v>
      </c>
      <c r="Z1" s="92">
        <v>0</v>
      </c>
      <c r="AH1" s="7"/>
      <c r="AL1" s="7"/>
      <c r="BZ1" s="8"/>
      <c r="DA1" s="37"/>
      <c r="DC1" s="37"/>
      <c r="DE1" s="37"/>
      <c r="DG1" s="37"/>
      <c r="DI1" s="37"/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77</v>
      </c>
      <c r="B3" s="18"/>
      <c r="C3" s="17"/>
      <c r="D3" s="17" t="s">
        <v>186</v>
      </c>
      <c r="E3" s="19"/>
      <c r="F3" s="17"/>
      <c r="G3" s="20"/>
      <c r="H3" s="21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Indian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IF(F3=" ",VALUE("0"),VALUE(SUBSTITUTE((F3),",","")))</f>
        <v>#VALUE!</v>
      </c>
      <c r="DE3" s="26" t="e">
        <f>IF(G3=" ",VALUE("0"),VALUE(SUBSTITUTE((G3),",","")))</f>
        <v>#VALUE!</v>
      </c>
      <c r="DF3" s="26" t="e">
        <f>IF(H3=" ","",VALUE(SUBSTITUTE((VALUE(LEFT(H3,LEN(H3)-2))),",","")))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42">
        <f>+VALUE(B3)</f>
        <v>0</v>
      </c>
      <c r="DI3" s="28" t="e">
        <f>+IF(DE3=0,"Suspance Payment","Suspance Receipt")</f>
        <v>#VALUE!</v>
      </c>
      <c r="DJ3" s="39" t="str">
        <f>+D3</f>
        <v>C:\Users\ADITYA\Desktop\Ecomm\Bank Statement\indian 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06" t="s">
        <v>18</v>
      </c>
      <c r="B4" s="106" t="s">
        <v>72</v>
      </c>
      <c r="C4" s="106" t="s">
        <v>73</v>
      </c>
      <c r="D4" s="106" t="s">
        <v>19</v>
      </c>
      <c r="E4" s="106" t="s">
        <v>74</v>
      </c>
      <c r="F4" s="106" t="s">
        <v>75</v>
      </c>
      <c r="G4" s="106" t="s">
        <v>76</v>
      </c>
      <c r="H4" s="106" t="s">
        <v>11</v>
      </c>
      <c r="DA4" s="38" t="str">
        <f>+DA3</f>
        <v>Indian Bank</v>
      </c>
    </row>
  </sheetData>
  <sheetProtection algorithmName="SHA-512" hashValue="oErib5izS6bFeIqsE6nFBhYokiX74sl42P0d6bn0DzFuyadUhyn/j1xgszXDLmldT9sceQcZbtdN67C5B+bg0g==" saltValue="XVabJfpVxmLoIQs3o9FCj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338" priority="18" operator="equal">
      <formula>#N/A</formula>
    </cfRule>
  </conditionalFormatting>
  <conditionalFormatting sqref="DG2">
    <cfRule type="cellIs" dxfId="337" priority="13" operator="equal">
      <formula>#N/A</formula>
    </cfRule>
  </conditionalFormatting>
  <conditionalFormatting sqref="DH2:DI2">
    <cfRule type="cellIs" dxfId="336" priority="12" operator="equal">
      <formula>#N/A</formula>
    </cfRule>
  </conditionalFormatting>
  <conditionalFormatting sqref="I1:I2">
    <cfRule type="cellIs" dxfId="335" priority="8" operator="equal">
      <formula>#N/A</formula>
    </cfRule>
  </conditionalFormatting>
  <conditionalFormatting sqref="H1">
    <cfRule type="cellIs" dxfId="334" priority="7" operator="equal">
      <formula>#N/A</formula>
    </cfRule>
  </conditionalFormatting>
  <conditionalFormatting sqref="E1">
    <cfRule type="cellIs" dxfId="333" priority="6" operator="equal">
      <formula>#N/A</formula>
    </cfRule>
  </conditionalFormatting>
  <conditionalFormatting sqref="I1">
    <cfRule type="containsText" dxfId="332" priority="4" operator="containsText" text="All Data Import Successfully">
      <formula>NOT(ISERROR(SEARCH("All Data Import Successfully",I1)))</formula>
    </cfRule>
    <cfRule type="containsText" dxfId="331" priority="5" operator="containsText" text="Difference Entry">
      <formula>NOT(ISERROR(SEARCH("Difference Entry",I1)))</formula>
    </cfRule>
  </conditionalFormatting>
  <conditionalFormatting sqref="E2:G2">
    <cfRule type="cellIs" dxfId="330" priority="3" operator="equal">
      <formula>#N/A</formula>
    </cfRule>
  </conditionalFormatting>
  <conditionalFormatting sqref="H2">
    <cfRule type="cellIs" dxfId="329" priority="2" operator="equal">
      <formula>#N/A</formula>
    </cfRule>
  </conditionalFormatting>
  <conditionalFormatting sqref="I2">
    <cfRule type="cellIs" dxfId="32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14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Indusind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93</v>
      </c>
      <c r="B3" s="18"/>
      <c r="C3" s="17"/>
      <c r="D3" s="17"/>
      <c r="E3" s="19"/>
      <c r="F3" s="17"/>
      <c r="G3" s="20"/>
      <c r="H3" s="21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Indusind Bank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IF(E3="-",VALUE("0"),VALUE(SUBSTITUTE((E3),"-","")))</f>
        <v>#VALUE!</v>
      </c>
      <c r="DE3" s="26" t="e">
        <f>IF(F3="-",VALUE("0"),VALUE(SUBSTITUTE((F3),"-","")))</f>
        <v>#VALUE!</v>
      </c>
      <c r="DF3" s="26" t="e">
        <f>IF(G3=" ","",VALUE(SUBSTITUTE((G3),",","")))</f>
        <v>#VALUE!</v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2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t="s">
        <v>94</v>
      </c>
      <c r="B4" t="s">
        <v>32</v>
      </c>
      <c r="C4" t="s">
        <v>95</v>
      </c>
      <c r="D4" t="s">
        <v>96</v>
      </c>
      <c r="E4" t="s">
        <v>97</v>
      </c>
      <c r="F4" t="s">
        <v>98</v>
      </c>
      <c r="G4" t="s">
        <v>11</v>
      </c>
      <c r="DA4" s="38" t="str">
        <f>+DA3</f>
        <v>Indusind Bank</v>
      </c>
    </row>
  </sheetData>
  <sheetProtection algorithmName="SHA-512" hashValue="LALkZMY7W3KZgrIMTogzEmdHYqKrGN5C2OuXTtSVcXSpDzyvJOiox5Bx9NYaMyh2CGRRY5LLmMVqht5g3B4TNA==" saltValue="08XwXIbJEtACrZyNwJSqY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 I1:I2">
    <cfRule type="cellIs" dxfId="327" priority="10" operator="equal">
      <formula>#N/A</formula>
    </cfRule>
  </conditionalFormatting>
  <conditionalFormatting sqref="H1">
    <cfRule type="cellIs" dxfId="326" priority="9" operator="equal">
      <formula>#N/A</formula>
    </cfRule>
  </conditionalFormatting>
  <conditionalFormatting sqref="E1">
    <cfRule type="cellIs" dxfId="325" priority="8" operator="equal">
      <formula>#N/A</formula>
    </cfRule>
  </conditionalFormatting>
  <conditionalFormatting sqref="I1">
    <cfRule type="containsText" dxfId="324" priority="6" operator="containsText" text="All Data Import Successfully">
      <formula>NOT(ISERROR(SEARCH("All Data Import Successfully",I1)))</formula>
    </cfRule>
    <cfRule type="containsText" dxfId="323" priority="7" operator="containsText" text="Difference Entry">
      <formula>NOT(ISERROR(SEARCH("Difference Entry",I1)))</formula>
    </cfRule>
  </conditionalFormatting>
  <conditionalFormatting sqref="DG2">
    <cfRule type="cellIs" dxfId="322" priority="5" operator="equal">
      <formula>#N/A</formula>
    </cfRule>
  </conditionalFormatting>
  <conditionalFormatting sqref="DH2:DI2">
    <cfRule type="cellIs" dxfId="321" priority="4" operator="equal">
      <formula>#N/A</formula>
    </cfRule>
  </conditionalFormatting>
  <conditionalFormatting sqref="E2:G2">
    <cfRule type="cellIs" dxfId="320" priority="3" operator="equal">
      <formula>#N/A</formula>
    </cfRule>
  </conditionalFormatting>
  <conditionalFormatting sqref="H2">
    <cfRule type="cellIs" dxfId="319" priority="2" operator="equal">
      <formula>#N/A</formula>
    </cfRule>
  </conditionalFormatting>
  <conditionalFormatting sqref="I2">
    <cfRule type="cellIs" dxfId="318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9">
    <tabColor theme="8" tint="0.79998168889431442"/>
  </sheetPr>
  <dimension ref="A1:DZ5"/>
  <sheetViews>
    <sheetView workbookViewId="0">
      <selection activeCell="D34" sqref="D34"/>
    </sheetView>
  </sheetViews>
  <sheetFormatPr defaultRowHeight="15"/>
  <cols>
    <col min="1" max="10" width="25.7109375" style="6" customWidth="1"/>
    <col min="11" max="104" width="9.140625" style="6"/>
    <col min="105" max="113" width="24.7109375" style="6" customWidth="1"/>
    <col min="114" max="114" width="44.85546875" style="6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202</v>
      </c>
      <c r="T1" s="92">
        <v>7</v>
      </c>
      <c r="U1" s="92" t="s">
        <v>180</v>
      </c>
      <c r="V1" s="92" t="s">
        <v>171</v>
      </c>
      <c r="W1" s="92" t="s">
        <v>172</v>
      </c>
      <c r="X1" s="99" t="s">
        <v>6</v>
      </c>
      <c r="Y1" s="99">
        <v>3</v>
      </c>
      <c r="Z1" s="92">
        <v>0</v>
      </c>
      <c r="AA1" s="92" t="s">
        <v>254</v>
      </c>
      <c r="AB1" s="92" t="s">
        <v>196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Indusind Bank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93</v>
      </c>
      <c r="B3" s="56"/>
      <c r="C3" s="55"/>
      <c r="D3" s="55"/>
      <c r="E3" s="57"/>
      <c r="F3" s="55"/>
      <c r="G3" s="21"/>
      <c r="H3" s="21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+DA2</f>
        <v>Indusind Bank</v>
      </c>
      <c r="DB3" s="165" t="e">
        <f>VALUE(A3)</f>
        <v>#VALUE!</v>
      </c>
      <c r="DC3" s="166" t="e">
        <f>+CONCATENATE(TEXT(DB3,"D"),"",TEXT(DB3,"MM"),"","/",SUBSTITUTE(DF3,",",""),"/",DK3)</f>
        <v>#VALUE!</v>
      </c>
      <c r="DD3" s="131">
        <f>IF(TRIM(D3)="",VALUE("0"),VALUE(SUBSTITUTE((TRIM(D3)),"-","")))</f>
        <v>0</v>
      </c>
      <c r="DE3" s="131">
        <f>IF(E3="",VALUE("0"),VALUE(SUBSTITUTE((E3),"-","")))</f>
        <v>0</v>
      </c>
      <c r="DF3" s="131" t="e">
        <f>IF(TRIM(F3)=" ","",VALUE(SUBSTITUTE((TRIM(F3)),",","")))</f>
        <v>#VALUE!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 t="e">
        <f>VALUE(A3)</f>
        <v>#VALUE!</v>
      </c>
      <c r="DI3" s="168" t="str">
        <f>+IF(DE3=0,"Suspance Payment","Suspance Receipt")</f>
        <v>Suspance Payment</v>
      </c>
      <c r="DJ3" s="173">
        <f>+B3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56" t="s">
        <v>32</v>
      </c>
      <c r="B4" s="157" t="s">
        <v>146</v>
      </c>
      <c r="C4" s="158" t="s">
        <v>34</v>
      </c>
      <c r="D4" s="158" t="s">
        <v>234</v>
      </c>
      <c r="E4" s="159" t="s">
        <v>154</v>
      </c>
      <c r="F4" s="159" t="s">
        <v>11</v>
      </c>
      <c r="DA4" s="38" t="str">
        <f>+DA3</f>
        <v>Indusind Bank</v>
      </c>
    </row>
    <row r="5" spans="1:130">
      <c r="A5" s="174"/>
      <c r="B5" s="174"/>
      <c r="C5" s="174"/>
      <c r="D5" s="174"/>
      <c r="E5" s="174"/>
    </row>
  </sheetData>
  <sheetProtection algorithmName="SHA-512" hashValue="RIUYhj8pD0MS2uTbTTLxVfbbYonMSv49bfQ6HgQgFI69JkyOreOFhQt8iQ4eroEBQyfD1V/oOCKQ9p4QJqnqjQ==" saltValue="urJjFwEOMfD+345ePSIXO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317" priority="26" operator="equal">
      <formula>#N/A</formula>
    </cfRule>
  </conditionalFormatting>
  <conditionalFormatting sqref="DG2">
    <cfRule type="cellIs" dxfId="316" priority="21" operator="equal">
      <formula>#N/A</formula>
    </cfRule>
  </conditionalFormatting>
  <conditionalFormatting sqref="DH2:DI2">
    <cfRule type="cellIs" dxfId="315" priority="20" operator="equal">
      <formula>#N/A</formula>
    </cfRule>
  </conditionalFormatting>
  <conditionalFormatting sqref="I1:I2">
    <cfRule type="cellIs" dxfId="314" priority="8" operator="equal">
      <formula>#N/A</formula>
    </cfRule>
  </conditionalFormatting>
  <conditionalFormatting sqref="H1">
    <cfRule type="cellIs" dxfId="313" priority="7" operator="equal">
      <formula>#N/A</formula>
    </cfRule>
  </conditionalFormatting>
  <conditionalFormatting sqref="E1">
    <cfRule type="cellIs" dxfId="312" priority="6" operator="equal">
      <formula>#N/A</formula>
    </cfRule>
  </conditionalFormatting>
  <conditionalFormatting sqref="I1">
    <cfRule type="containsText" dxfId="311" priority="4" operator="containsText" text="All Data Import Successfully">
      <formula>NOT(ISERROR(SEARCH("All Data Import Successfully",I1)))</formula>
    </cfRule>
    <cfRule type="containsText" dxfId="310" priority="5" operator="containsText" text="Difference Entry">
      <formula>NOT(ISERROR(SEARCH("Difference Entry",I1)))</formula>
    </cfRule>
  </conditionalFormatting>
  <conditionalFormatting sqref="E2:G2">
    <cfRule type="cellIs" dxfId="309" priority="3" operator="equal">
      <formula>#N/A</formula>
    </cfRule>
  </conditionalFormatting>
  <conditionalFormatting sqref="H2">
    <cfRule type="cellIs" dxfId="308" priority="2" operator="equal">
      <formula>#N/A</formula>
    </cfRule>
  </conditionalFormatting>
  <conditionalFormatting sqref="I2">
    <cfRule type="cellIs" dxfId="307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2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179</v>
      </c>
      <c r="T1" s="92">
        <v>7</v>
      </c>
      <c r="U1" s="92" t="s">
        <v>180</v>
      </c>
      <c r="V1" s="92" t="s">
        <v>171</v>
      </c>
      <c r="W1" s="92" t="s">
        <v>172</v>
      </c>
      <c r="X1" s="99" t="s">
        <v>6</v>
      </c>
      <c r="Y1" s="99">
        <v>10</v>
      </c>
      <c r="Z1" s="92">
        <v>0</v>
      </c>
      <c r="AA1" s="92" t="s">
        <v>254</v>
      </c>
      <c r="AB1" s="92" t="s">
        <v>196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HDFC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64</v>
      </c>
      <c r="B3" s="56"/>
      <c r="C3" s="55"/>
      <c r="D3" s="55" t="s">
        <v>181</v>
      </c>
      <c r="E3" s="57"/>
      <c r="F3" s="55"/>
      <c r="G3" s="58"/>
      <c r="H3" s="21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HDFC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>
        <f>+C3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39" t="str">
        <f>+D3</f>
        <v>C:\Users\ADITYA\Desktop\Ecomm\Bank Statement\HDFC BANK.xls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248</v>
      </c>
      <c r="B4" s="101" t="s">
        <v>249</v>
      </c>
      <c r="C4" s="101" t="s">
        <v>250</v>
      </c>
      <c r="D4" s="101" t="s">
        <v>251</v>
      </c>
      <c r="E4" s="101" t="s">
        <v>252</v>
      </c>
      <c r="F4" s="101" t="s">
        <v>253</v>
      </c>
      <c r="G4" s="102" t="s">
        <v>239</v>
      </c>
      <c r="DA4" s="38" t="str">
        <f>+DA3</f>
        <v>HDFC Bank A/c.</v>
      </c>
    </row>
  </sheetData>
  <sheetProtection algorithmName="SHA-512" hashValue="OUc5pkubXS+BVKMUuw9nyUXrFUti0oLEsAlYANj+RN5s9cm0Ry+QLk0ZWTSk0jHIpXYgwK2ZuHaAVQqKjljbdw==" saltValue="SmlSz5scRDpJDbGvzcCxk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6"/>
    <protectedRange algorithmName="SHA-512" hashValue="FeHjunJeBmEIe1Z+x4LSLD0xeXKoeHqEB4mLNgYC3pUDxBFAiT2e1scH7F48tQXpPGOh+9Z9iw2K5jb0kUxFkQ==" saltValue="Arxg+XESKZddo6Y2q+NDbg==" spinCount="100000" sqref="DD3:DF3" name="Range1_1_3"/>
    <protectedRange algorithmName="SHA-512" hashValue="FeHjunJeBmEIe1Z+x4LSLD0xeXKoeHqEB4mLNgYC3pUDxBFAiT2e1scH7F48tQXpPGOh+9Z9iw2K5jb0kUxFkQ==" saltValue="Arxg+XESKZddo6Y2q+NDbg==" spinCount="100000" sqref="DI3" name="Range1_2_3"/>
    <protectedRange algorithmName="SHA-512" hashValue="FeHjunJeBmEIe1Z+x4LSLD0xeXKoeHqEB4mLNgYC3pUDxBFAiT2e1scH7F48tQXpPGOh+9Z9iw2K5jb0kUxFkQ==" saltValue="Arxg+XESKZddo6Y2q+NDbg==" spinCount="100000" sqref="DK3" name="Range1_3_3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306" priority="11" operator="equal">
      <formula>#N/A</formula>
    </cfRule>
  </conditionalFormatting>
  <conditionalFormatting sqref="DG2">
    <cfRule type="cellIs" dxfId="305" priority="10" operator="equal">
      <formula>#N/A</formula>
    </cfRule>
  </conditionalFormatting>
  <conditionalFormatting sqref="DH2:DI2">
    <cfRule type="cellIs" dxfId="304" priority="9" operator="equal">
      <formula>#N/A</formula>
    </cfRule>
  </conditionalFormatting>
  <conditionalFormatting sqref="I1:I2">
    <cfRule type="cellIs" dxfId="303" priority="8" operator="equal">
      <formula>#N/A</formula>
    </cfRule>
  </conditionalFormatting>
  <conditionalFormatting sqref="H1">
    <cfRule type="cellIs" dxfId="302" priority="7" operator="equal">
      <formula>#N/A</formula>
    </cfRule>
  </conditionalFormatting>
  <conditionalFormatting sqref="E1">
    <cfRule type="cellIs" dxfId="301" priority="6" operator="equal">
      <formula>#N/A</formula>
    </cfRule>
  </conditionalFormatting>
  <conditionalFormatting sqref="I1">
    <cfRule type="containsText" dxfId="300" priority="4" operator="containsText" text="All Data Import Successfully">
      <formula>NOT(ISERROR(SEARCH("All Data Import Successfully",I1)))</formula>
    </cfRule>
    <cfRule type="containsText" dxfId="299" priority="5" operator="containsText" text="Difference Entry">
      <formula>NOT(ISERROR(SEARCH("Difference Entry",I1)))</formula>
    </cfRule>
  </conditionalFormatting>
  <conditionalFormatting sqref="E2:G2">
    <cfRule type="cellIs" dxfId="298" priority="3" operator="equal">
      <formula>#N/A</formula>
    </cfRule>
  </conditionalFormatting>
  <conditionalFormatting sqref="H2">
    <cfRule type="cellIs" dxfId="297" priority="2" operator="equal">
      <formula>#N/A</formula>
    </cfRule>
  </conditionalFormatting>
  <conditionalFormatting sqref="I2">
    <cfRule type="cellIs" dxfId="296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>
    <tabColor theme="8" tint="0.79998168889431442"/>
  </sheetPr>
  <dimension ref="A1:DZ21"/>
  <sheetViews>
    <sheetView showRuler="0" workbookViewId="0">
      <selection activeCell="E17" sqref="E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192</v>
      </c>
      <c r="T1" s="92">
        <v>8</v>
      </c>
      <c r="U1" s="92" t="s">
        <v>180</v>
      </c>
      <c r="V1" s="92" t="s">
        <v>180</v>
      </c>
      <c r="W1" s="92" t="s">
        <v>172</v>
      </c>
      <c r="X1" s="99" t="s">
        <v>6</v>
      </c>
      <c r="Y1" s="99" t="s">
        <v>6</v>
      </c>
      <c r="Z1" s="92">
        <v>0</v>
      </c>
      <c r="AA1" s="92" t="s">
        <v>255</v>
      </c>
      <c r="AB1" s="92" t="s">
        <v>254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65</v>
      </c>
      <c r="B3" s="56"/>
      <c r="C3" s="55"/>
      <c r="D3" s="55"/>
      <c r="E3" s="57"/>
      <c r="F3" s="55"/>
      <c r="G3" s="58"/>
      <c r="H3" s="59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>Kotak Bank A/c.</v>
      </c>
      <c r="DB3" s="165" t="e">
        <f>VALUE(A3)</f>
        <v>#VALUE!</v>
      </c>
      <c r="DC3" s="166" t="e">
        <f>+CONCATENATE(TEXT(DB3,"D"),"",TEXT(DB3,"MM"),"","/",SUBSTITUTE(DF3,",",""),"/",DK3)</f>
        <v>#VALUE!</v>
      </c>
      <c r="DD3" s="131" t="e">
        <f>IF(RIGHT(D3,4)="(Cr)",VALUE("0"),VALUE(SUBSTITUTE(SUBSTITUTE((D3),",",""),"(Dr)","")))</f>
        <v>#VALUE!</v>
      </c>
      <c r="DE3" s="131" t="e">
        <f>IF(RIGHT(D3,4)="(Dr)",VALUE("0"),VALUE(SUBSTITUTE(SUBSTITUTE((D3),",",""),"(Cr)","")))</f>
        <v>#VALUE!</v>
      </c>
      <c r="DF3" s="130" t="e">
        <f>+IF(RIGHT(E3,4)="(Dr)",VALUE(SUBSTITUTE(SUBSTITUTE(SUBSTITUTE((E3),",",""),"(Cr)",""),"(Dr)",""))*-1,VALUE(SUBSTITUTE(SUBSTITUTE(SUBSTITUTE((E3),",",""),"(Cr)",""),"(Dr)","")))</f>
        <v>#VALUE!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68" t="e">
        <f>+DB3</f>
        <v>#VALUE!</v>
      </c>
      <c r="DI3" s="168" t="e">
        <f>+IF(DE3=0,"Suspance Payment","Suspance Receipt")</f>
        <v>#VALUE!</v>
      </c>
      <c r="DJ3" s="169" t="str">
        <f>+TRIM(B3)</f>
        <v/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60" t="s">
        <v>235</v>
      </c>
      <c r="B4" s="161" t="s">
        <v>236</v>
      </c>
      <c r="C4" s="162" t="s">
        <v>237</v>
      </c>
      <c r="D4" s="162" t="s">
        <v>238</v>
      </c>
      <c r="E4" s="163" t="s">
        <v>239</v>
      </c>
      <c r="DA4" s="38" t="str">
        <f>+DA3</f>
        <v>Kotak Bank A/c.</v>
      </c>
    </row>
    <row r="21" ht="15" customHeight="1"/>
  </sheetData>
  <sheetProtection algorithmName="SHA-512" hashValue="Mv+yfltPH/ngjOX7sbblDo2eSfJQzAcIZUAsEQcYoLaZKvbR+y2HnEk3FZy2MyKvTG1kzbZ8ipoklaIaM2LomA==" saltValue="hmiY7w4oNKHkd0/TU/l39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295" priority="11" operator="equal">
      <formula>#N/A</formula>
    </cfRule>
  </conditionalFormatting>
  <conditionalFormatting sqref="DG2">
    <cfRule type="cellIs" dxfId="294" priority="10" operator="equal">
      <formula>#N/A</formula>
    </cfRule>
  </conditionalFormatting>
  <conditionalFormatting sqref="DH2:DI2">
    <cfRule type="cellIs" dxfId="293" priority="9" operator="equal">
      <formula>#N/A</formula>
    </cfRule>
  </conditionalFormatting>
  <conditionalFormatting sqref="I1:I2">
    <cfRule type="cellIs" dxfId="292" priority="8" operator="equal">
      <formula>#N/A</formula>
    </cfRule>
  </conditionalFormatting>
  <conditionalFormatting sqref="H1">
    <cfRule type="cellIs" dxfId="291" priority="7" operator="equal">
      <formula>#N/A</formula>
    </cfRule>
  </conditionalFormatting>
  <conditionalFormatting sqref="E1">
    <cfRule type="cellIs" dxfId="290" priority="6" operator="equal">
      <formula>#N/A</formula>
    </cfRule>
  </conditionalFormatting>
  <conditionalFormatting sqref="I1">
    <cfRule type="containsText" dxfId="289" priority="4" operator="containsText" text="All Data Import Successfully">
      <formula>NOT(ISERROR(SEARCH("All Data Import Successfully",I1)))</formula>
    </cfRule>
    <cfRule type="containsText" dxfId="288" priority="5" operator="containsText" text="Difference Entry">
      <formula>NOT(ISERROR(SEARCH("Difference Entry",I1)))</formula>
    </cfRule>
  </conditionalFormatting>
  <conditionalFormatting sqref="E2:G2">
    <cfRule type="cellIs" dxfId="287" priority="3" operator="equal">
      <formula>#N/A</formula>
    </cfRule>
  </conditionalFormatting>
  <conditionalFormatting sqref="H2">
    <cfRule type="cellIs" dxfId="286" priority="2" operator="equal">
      <formula>#N/A</formula>
    </cfRule>
  </conditionalFormatting>
  <conditionalFormatting sqref="I2">
    <cfRule type="cellIs" dxfId="28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6"/>
  <dimension ref="A1:DZ4"/>
  <sheetViews>
    <sheetView showRuler="0" workbookViewId="0">
      <selection activeCell="E26" sqref="E26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192</v>
      </c>
      <c r="T1" s="92">
        <v>8</v>
      </c>
      <c r="U1" s="92" t="s">
        <v>180</v>
      </c>
      <c r="V1" s="92" t="s">
        <v>180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65</v>
      </c>
      <c r="B3" s="56"/>
      <c r="C3" s="55"/>
      <c r="D3" s="55" t="s">
        <v>213</v>
      </c>
      <c r="E3" s="57"/>
      <c r="F3" s="55"/>
      <c r="G3" s="58"/>
      <c r="H3" s="59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 t="e">
        <f>IF(F3="CR",VALUE("0"),VALUE(SUBSTITUTE((E3),",","")))</f>
        <v>#VALUE!</v>
      </c>
      <c r="DE3" s="26" t="e">
        <f>IF(F3="DR",VALUE("0"),VALUE(SUBSTITUTE((E3),",","")))</f>
        <v>#VALUE!</v>
      </c>
      <c r="DF3" s="26" t="str">
        <f>IF(G3="","",VALUE(SUBSTITUTE((G3),",","")))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>202406171904</v>
      </c>
      <c r="DH3" s="28">
        <f>VALUE(B3)</f>
        <v>0</v>
      </c>
      <c r="DI3" s="28" t="e">
        <f>+IF(DE3=0,"Suspance Payment","Suspance Receipt")</f>
        <v>#VALUE!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78</v>
      </c>
      <c r="B4" s="101" t="s">
        <v>32</v>
      </c>
      <c r="C4" s="101" t="s">
        <v>19</v>
      </c>
      <c r="D4" s="101" t="s">
        <v>79</v>
      </c>
      <c r="E4" s="101" t="s">
        <v>80</v>
      </c>
      <c r="F4" s="101" t="s">
        <v>81</v>
      </c>
      <c r="G4" s="101" t="s">
        <v>11</v>
      </c>
      <c r="H4" s="102" t="s">
        <v>81</v>
      </c>
      <c r="DA4" s="38" t="str">
        <f>+DA3</f>
        <v>Kotak Bank A/c.</v>
      </c>
    </row>
  </sheetData>
  <sheetProtection algorithmName="SHA-512" hashValue="WL8geRap2aTPHAvzLNwPJWUiSWblVhYo8dURG7iwLHjdH5TY/Lo2zCKUEWwdrGiAu4rcX6gkUidM2e0buzzItw==" saltValue="662uAA+ZzaUurFYTzUdfK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284" priority="18" operator="equal">
      <formula>#N/A</formula>
    </cfRule>
  </conditionalFormatting>
  <conditionalFormatting sqref="DG2">
    <cfRule type="cellIs" dxfId="283" priority="13" operator="equal">
      <formula>#N/A</formula>
    </cfRule>
  </conditionalFormatting>
  <conditionalFormatting sqref="DH2:DI2">
    <cfRule type="cellIs" dxfId="282" priority="12" operator="equal">
      <formula>#N/A</formula>
    </cfRule>
  </conditionalFormatting>
  <conditionalFormatting sqref="I1:I2">
    <cfRule type="cellIs" dxfId="281" priority="8" operator="equal">
      <formula>#N/A</formula>
    </cfRule>
  </conditionalFormatting>
  <conditionalFormatting sqref="H1">
    <cfRule type="cellIs" dxfId="280" priority="7" operator="equal">
      <formula>#N/A</formula>
    </cfRule>
  </conditionalFormatting>
  <conditionalFormatting sqref="E1">
    <cfRule type="cellIs" dxfId="279" priority="6" operator="equal">
      <formula>#N/A</formula>
    </cfRule>
  </conditionalFormatting>
  <conditionalFormatting sqref="I1">
    <cfRule type="containsText" dxfId="278" priority="4" operator="containsText" text="All Data Import Successfully">
      <formula>NOT(ISERROR(SEARCH("All Data Import Successfully",I1)))</formula>
    </cfRule>
    <cfRule type="containsText" dxfId="277" priority="5" operator="containsText" text="Difference Entry">
      <formula>NOT(ISERROR(SEARCH("Difference Entry",I1)))</formula>
    </cfRule>
  </conditionalFormatting>
  <conditionalFormatting sqref="E2:G2">
    <cfRule type="cellIs" dxfId="276" priority="3" operator="equal">
      <formula>#N/A</formula>
    </cfRule>
  </conditionalFormatting>
  <conditionalFormatting sqref="H2">
    <cfRule type="cellIs" dxfId="275" priority="2" operator="equal">
      <formula>#N/A</formula>
    </cfRule>
  </conditionalFormatting>
  <conditionalFormatting sqref="I2">
    <cfRule type="cellIs" dxfId="27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0"/>
  <dimension ref="A1:DZ4"/>
  <sheetViews>
    <sheetView workbookViewId="0">
      <selection activeCell="B19" sqref="B19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16" width="9.5703125" style="6" bestFit="1" customWidth="1"/>
    <col min="117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192</v>
      </c>
      <c r="T1" s="92">
        <v>9</v>
      </c>
      <c r="U1" s="92" t="s">
        <v>180</v>
      </c>
      <c r="V1" s="92" t="s">
        <v>180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Kotak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65</v>
      </c>
      <c r="B3" s="56"/>
      <c r="C3" s="55"/>
      <c r="D3" s="55" t="s">
        <v>213</v>
      </c>
      <c r="E3" s="57"/>
      <c r="F3" s="55"/>
      <c r="G3" s="58"/>
      <c r="H3" s="59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Kotak Bank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IF(F3="",VALUE("0"),VALUE(SUBSTITUTE((TRIM(F3)),",","")))</f>
        <v>0</v>
      </c>
      <c r="DE3" s="26">
        <f>IF(G3="",VALUE("0"),VALUE(SUBSTITUTE((TRIM(G3)),",","")))</f>
        <v>0</v>
      </c>
      <c r="DF3" s="26" t="str">
        <f>IF(H3="","",VALUE(SUBSTITUTE((H3),",","")))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>202406171904</v>
      </c>
      <c r="DH3" s="28">
        <f>+DB3</f>
        <v>0</v>
      </c>
      <c r="DI3" s="28" t="str">
        <f>+IF(DE3=0,"Suspance Payment","Suspance Receipt")</f>
        <v>Suspance Payment</v>
      </c>
      <c r="DJ3" s="39" t="str">
        <f>+D3</f>
        <v>\\ADITYA-TECH\All Sharing\A Party Backup\PATIDAR\Report-20240617190457.xlsx</v>
      </c>
      <c r="DK3" s="30" t="e">
        <f>+DK2+1</f>
        <v>#VALUE!</v>
      </c>
      <c r="DL3" s="52"/>
      <c r="DM3" s="31"/>
      <c r="DN3" s="53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51" t="s">
        <v>78</v>
      </c>
      <c r="B4" s="51" t="s">
        <v>25</v>
      </c>
      <c r="C4" s="51" t="s">
        <v>18</v>
      </c>
      <c r="D4" s="51" t="s">
        <v>19</v>
      </c>
      <c r="E4" s="51" t="s">
        <v>122</v>
      </c>
      <c r="F4" s="51" t="s">
        <v>100</v>
      </c>
      <c r="G4" s="51" t="s">
        <v>22</v>
      </c>
      <c r="H4" s="51" t="s">
        <v>11</v>
      </c>
      <c r="I4" s="51" t="s">
        <v>81</v>
      </c>
      <c r="DA4" s="38" t="str">
        <f>+DA3</f>
        <v>Kotak Bank A/c.</v>
      </c>
      <c r="DL4" s="52">
        <f>+DD4+DE4</f>
        <v>0</v>
      </c>
    </row>
  </sheetData>
  <sheetProtection algorithmName="SHA-512" hashValue="n9zu693q+4aPqjQaSkbxrSn7EuA8+nKINHQ9Iac4Z9J0eAmhtgmYcCI7KXWoMGrSD+hYnyoGvMSi5T85al154g==" saltValue="JRoT3dU536hGZhTb+FdED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D3:DE3" name="Range1_1_2"/>
  </protectedRanges>
  <conditionalFormatting sqref="DG2">
    <cfRule type="cellIs" dxfId="273" priority="22" operator="equal">
      <formula>#N/A</formula>
    </cfRule>
  </conditionalFormatting>
  <conditionalFormatting sqref="DH2:DI2">
    <cfRule type="cellIs" dxfId="272" priority="21" operator="equal">
      <formula>#N/A</formula>
    </cfRule>
  </conditionalFormatting>
  <conditionalFormatting sqref="E3">
    <cfRule type="cellIs" dxfId="271" priority="17" operator="equal">
      <formula>#N/A</formula>
    </cfRule>
  </conditionalFormatting>
  <conditionalFormatting sqref="I1:I2">
    <cfRule type="cellIs" dxfId="270" priority="8" operator="equal">
      <formula>#N/A</formula>
    </cfRule>
  </conditionalFormatting>
  <conditionalFormatting sqref="H1">
    <cfRule type="cellIs" dxfId="269" priority="7" operator="equal">
      <formula>#N/A</formula>
    </cfRule>
  </conditionalFormatting>
  <conditionalFormatting sqref="E1">
    <cfRule type="cellIs" dxfId="268" priority="6" operator="equal">
      <formula>#N/A</formula>
    </cfRule>
  </conditionalFormatting>
  <conditionalFormatting sqref="I1">
    <cfRule type="containsText" dxfId="267" priority="4" operator="containsText" text="All Data Import Successfully">
      <formula>NOT(ISERROR(SEARCH("All Data Import Successfully",I1)))</formula>
    </cfRule>
    <cfRule type="containsText" dxfId="266" priority="5" operator="containsText" text="Difference Entry">
      <formula>NOT(ISERROR(SEARCH("Difference Entry",I1)))</formula>
    </cfRule>
  </conditionalFormatting>
  <conditionalFormatting sqref="E2:G2">
    <cfRule type="cellIs" dxfId="265" priority="3" operator="equal">
      <formula>#N/A</formula>
    </cfRule>
  </conditionalFormatting>
  <conditionalFormatting sqref="H2">
    <cfRule type="cellIs" dxfId="264" priority="2" operator="equal">
      <formula>#N/A</formula>
    </cfRule>
  </conditionalFormatting>
  <conditionalFormatting sqref="I2">
    <cfRule type="cellIs" dxfId="26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48">
    <tabColor theme="8" tint="0.79998168889431442"/>
  </sheetPr>
  <dimension ref="A1:DZ4"/>
  <sheetViews>
    <sheetView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192</v>
      </c>
      <c r="T1" s="92">
        <v>8</v>
      </c>
      <c r="U1" s="92" t="s">
        <v>180</v>
      </c>
      <c r="V1" s="92" t="s">
        <v>180</v>
      </c>
      <c r="W1" s="92" t="s">
        <v>172</v>
      </c>
      <c r="X1" s="99" t="s">
        <v>6</v>
      </c>
      <c r="Y1" s="99" t="s">
        <v>6</v>
      </c>
      <c r="Z1" s="92">
        <v>0</v>
      </c>
      <c r="AA1" s="92" t="s">
        <v>254</v>
      </c>
      <c r="AB1" s="92" t="s">
        <v>183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65</v>
      </c>
      <c r="B3" s="56"/>
      <c r="C3" s="55"/>
      <c r="D3" s="55"/>
      <c r="E3" s="57"/>
      <c r="F3" s="55"/>
      <c r="G3" s="58"/>
      <c r="H3" s="59"/>
      <c r="I3" s="55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 t="e">
        <f>+VALUE(LEFT(B3,11))</f>
        <v>#VALUE!</v>
      </c>
      <c r="DC3" s="25" t="e">
        <f>+CONCATENATE(TEXT(DB3,"D"),"",TEXT(DB3,"MM"),"","/",SUBSTITUTE(DF3,",",""),"/",DK3)</f>
        <v>#VALUE!</v>
      </c>
      <c r="DD3" s="26">
        <f>+IF(OR(G3=" ",G3=""),0,VALUE(SUBSTITUTE(SUBSTITUTE((TRIM(G3)),",",""),"-","")))</f>
        <v>0</v>
      </c>
      <c r="DE3" s="26">
        <f>+IF(OR(H3="",H3=" "),0,VALUE(SUBSTITUTE(SUBSTITUTE((TRIM(H3)),",",""),"+","")))</f>
        <v>0</v>
      </c>
      <c r="DF3" s="26" t="e">
        <f>+VALUE(SUBSTITUTE(SUBSTITUTE((TRIM(I3)),",",""),"+",""))</f>
        <v>#VALUE!</v>
      </c>
      <c r="DG3" s="27" t="str">
        <f>+TRIM(E3)</f>
        <v/>
      </c>
      <c r="DH3" s="28" t="e">
        <f>+DB3</f>
        <v>#VALUE!</v>
      </c>
      <c r="DI3" s="28" t="str">
        <f>+IF(DE3=0,"Suspance Payment","Suspance Receipt")</f>
        <v>Suspance Payment</v>
      </c>
      <c r="DJ3" s="39" t="str">
        <f>+TRIM(C3)</f>
        <v/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9" t="s">
        <v>298</v>
      </c>
      <c r="B4" s="200" t="s">
        <v>292</v>
      </c>
      <c r="C4" s="341" t="s">
        <v>293</v>
      </c>
      <c r="D4" s="341"/>
      <c r="E4" s="342" t="s">
        <v>294</v>
      </c>
      <c r="F4" s="342"/>
      <c r="G4" s="201" t="s">
        <v>295</v>
      </c>
      <c r="H4" s="202" t="s">
        <v>296</v>
      </c>
      <c r="I4" s="203" t="s">
        <v>297</v>
      </c>
      <c r="DA4" s="38" t="str">
        <f>+DA3</f>
        <v>Kotak Bank A/c.</v>
      </c>
    </row>
  </sheetData>
  <sheetProtection algorithmName="SHA-512" hashValue="52afHsWse/jQhmsc2Q4+QeMITHqimdHJ3KfdoDRqksNzpJW4+zA6XUmWmuGN5E/9E8QGgozIxG3kWZtp8a8tbA==" saltValue="mfT9DECphOwzjCj+qawIN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mergeCells count="2">
    <mergeCell ref="C4:D4"/>
    <mergeCell ref="E4:F4"/>
  </mergeCells>
  <conditionalFormatting sqref="E3">
    <cfRule type="cellIs" dxfId="262" priority="11" operator="equal">
      <formula>#N/A</formula>
    </cfRule>
  </conditionalFormatting>
  <conditionalFormatting sqref="DG2">
    <cfRule type="cellIs" dxfId="261" priority="10" operator="equal">
      <formula>#N/A</formula>
    </cfRule>
  </conditionalFormatting>
  <conditionalFormatting sqref="DH2:DI2">
    <cfRule type="cellIs" dxfId="260" priority="9" operator="equal">
      <formula>#N/A</formula>
    </cfRule>
  </conditionalFormatting>
  <conditionalFormatting sqref="I1:I2">
    <cfRule type="cellIs" dxfId="259" priority="8" operator="equal">
      <formula>#N/A</formula>
    </cfRule>
  </conditionalFormatting>
  <conditionalFormatting sqref="H1">
    <cfRule type="cellIs" dxfId="258" priority="7" operator="equal">
      <formula>#N/A</formula>
    </cfRule>
  </conditionalFormatting>
  <conditionalFormatting sqref="E1">
    <cfRule type="cellIs" dxfId="257" priority="6" operator="equal">
      <formula>#N/A</formula>
    </cfRule>
  </conditionalFormatting>
  <conditionalFormatting sqref="I1">
    <cfRule type="containsText" dxfId="256" priority="4" operator="containsText" text="All Data Import Successfully">
      <formula>NOT(ISERROR(SEARCH("All Data Import Successfully",I1)))</formula>
    </cfRule>
    <cfRule type="containsText" dxfId="255" priority="5" operator="containsText" text="Difference Entry">
      <formula>NOT(ISERROR(SEARCH("Difference Entry",I1)))</formula>
    </cfRule>
  </conditionalFormatting>
  <conditionalFormatting sqref="E2:G2">
    <cfRule type="cellIs" dxfId="254" priority="3" operator="equal">
      <formula>#N/A</formula>
    </cfRule>
  </conditionalFormatting>
  <conditionalFormatting sqref="H2">
    <cfRule type="cellIs" dxfId="253" priority="2" operator="equal">
      <formula>#N/A</formula>
    </cfRule>
  </conditionalFormatting>
  <conditionalFormatting sqref="I2">
    <cfRule type="cellIs" dxfId="25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52">
    <tabColor theme="8" tint="0.79998168889431442"/>
  </sheetPr>
  <dimension ref="A1:DZ4"/>
  <sheetViews>
    <sheetView showRuler="0" workbookViewId="0">
      <selection activeCell="F30" sqref="F30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192</v>
      </c>
      <c r="T1" s="92">
        <v>8</v>
      </c>
      <c r="U1" s="92" t="s">
        <v>180</v>
      </c>
      <c r="V1" s="92" t="s">
        <v>180</v>
      </c>
      <c r="W1" s="92" t="s">
        <v>172</v>
      </c>
      <c r="X1" s="99" t="s">
        <v>6</v>
      </c>
      <c r="Y1" s="99" t="s">
        <v>6</v>
      </c>
      <c r="Z1" s="92">
        <v>0</v>
      </c>
      <c r="AA1" s="92" t="s">
        <v>255</v>
      </c>
      <c r="AB1" s="92" t="s">
        <v>183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65</v>
      </c>
      <c r="B3" s="56"/>
      <c r="C3" s="55"/>
      <c r="D3" s="55"/>
      <c r="E3" s="57"/>
      <c r="F3" s="55"/>
      <c r="G3" s="58"/>
      <c r="H3" s="59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Kotak Bank A/c.</v>
      </c>
      <c r="DB3" s="24" t="e">
        <f>+VALUE(A3)</f>
        <v>#VALUE!</v>
      </c>
      <c r="DC3" s="25" t="e">
        <f>+CONCATENATE(TEXT(DB3,"D"),"",TEXT(DB3,"MM"),"","/",SUBSTITUTE(DF3,",",""),"/",DK3)</f>
        <v>#VALUE!</v>
      </c>
      <c r="DD3" s="26">
        <f>+IF(OR(F3="",F3=" "),VALUE("0"),VALUE(SUBSTITUTE((TRIM(F3)),",","")))</f>
        <v>0</v>
      </c>
      <c r="DE3" s="26">
        <f>+IF(OR(G3="",G3=" "),VALUE("0"),VALUE(SUBSTITUTE((TRIM(G3)),",","")))</f>
        <v>0</v>
      </c>
      <c r="DF3" s="26">
        <f>+IF(OR(H3="",H3=" "),VALUE("0"),VALUE(SUBSTITUTE(SUBSTITUTE(SUBSTITUTE((TRIM(H3)),",",""),"(Cr)",""),"(Dr)","")))</f>
        <v>0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16" t="s">
        <v>32</v>
      </c>
      <c r="B4" s="217"/>
      <c r="C4" s="217" t="s">
        <v>319</v>
      </c>
      <c r="D4" s="217" t="s">
        <v>320</v>
      </c>
      <c r="E4" s="217"/>
      <c r="F4" s="217" t="s">
        <v>321</v>
      </c>
      <c r="G4" s="217" t="s">
        <v>322</v>
      </c>
      <c r="H4" s="218" t="s">
        <v>247</v>
      </c>
      <c r="DA4" s="38" t="str">
        <f>+DA3</f>
        <v>Kotak Bank A/c.</v>
      </c>
    </row>
  </sheetData>
  <sheetProtection algorithmName="SHA-512" hashValue="YgO7CammNfloY0aR8/cjhPyN/Au/Le6GSYh69MPN5tdTVPQdcYBovtER/YIDgDVciTK+QNe6mhFJVpkQFGc5UA==" saltValue="5J2j3cDBnmiH1Ovtwo27C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251" priority="11" operator="equal">
      <formula>#N/A</formula>
    </cfRule>
  </conditionalFormatting>
  <conditionalFormatting sqref="DG2">
    <cfRule type="cellIs" dxfId="250" priority="10" operator="equal">
      <formula>#N/A</formula>
    </cfRule>
  </conditionalFormatting>
  <conditionalFormatting sqref="DH2:DI2">
    <cfRule type="cellIs" dxfId="249" priority="9" operator="equal">
      <formula>#N/A</formula>
    </cfRule>
  </conditionalFormatting>
  <conditionalFormatting sqref="I1:I2">
    <cfRule type="cellIs" dxfId="248" priority="8" operator="equal">
      <formula>#N/A</formula>
    </cfRule>
  </conditionalFormatting>
  <conditionalFormatting sqref="H1">
    <cfRule type="cellIs" dxfId="247" priority="7" operator="equal">
      <formula>#N/A</formula>
    </cfRule>
  </conditionalFormatting>
  <conditionalFormatting sqref="E1">
    <cfRule type="cellIs" dxfId="246" priority="6" operator="equal">
      <formula>#N/A</formula>
    </cfRule>
  </conditionalFormatting>
  <conditionalFormatting sqref="I1">
    <cfRule type="containsText" dxfId="245" priority="4" operator="containsText" text="All Data Import Successfully">
      <formula>NOT(ISERROR(SEARCH("All Data Import Successfully",I1)))</formula>
    </cfRule>
    <cfRule type="containsText" dxfId="244" priority="5" operator="containsText" text="Difference Entry">
      <formula>NOT(ISERROR(SEARCH("Difference Entry",I1)))</formula>
    </cfRule>
  </conditionalFormatting>
  <conditionalFormatting sqref="E2:G2">
    <cfRule type="cellIs" dxfId="243" priority="3" operator="equal">
      <formula>#N/A</formula>
    </cfRule>
  </conditionalFormatting>
  <conditionalFormatting sqref="H2">
    <cfRule type="cellIs" dxfId="242" priority="2" operator="equal">
      <formula>#N/A</formula>
    </cfRule>
  </conditionalFormatting>
  <conditionalFormatting sqref="I2">
    <cfRule type="cellIs" dxfId="24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E31F2-12A6-4BDD-B168-D827684381BA}">
  <sheetPr codeName="Sheet63">
    <tabColor theme="8" tint="0.79998168889431442"/>
  </sheetPr>
  <dimension ref="A1:DZ4"/>
  <sheetViews>
    <sheetView workbookViewId="0">
      <selection activeCell="D17" sqref="D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212</v>
      </c>
      <c r="T1" s="92">
        <v>7</v>
      </c>
      <c r="U1" s="92" t="s">
        <v>196</v>
      </c>
      <c r="V1" s="92" t="s">
        <v>180</v>
      </c>
      <c r="W1" s="92" t="s">
        <v>171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437</v>
      </c>
      <c r="B3" s="56"/>
      <c r="C3" s="55"/>
      <c r="D3" s="55"/>
      <c r="E3" s="57"/>
      <c r="F3" s="55"/>
      <c r="G3" s="58"/>
      <c r="H3" s="21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New India Co-Op. Bank Ltd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IF(H3="","",VALUE(SUBSTITUTE(SUBSTITUTE((H3),",",""),"Cr.","")))</f>
        <v/>
      </c>
      <c r="DG3" s="302" t="s">
        <v>6</v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303" t="s">
        <v>438</v>
      </c>
      <c r="B4" s="303" t="s">
        <v>18</v>
      </c>
      <c r="C4" s="303" t="s">
        <v>439</v>
      </c>
      <c r="D4" s="304" t="s">
        <v>440</v>
      </c>
      <c r="E4" s="304"/>
      <c r="F4" s="303" t="s">
        <v>100</v>
      </c>
      <c r="G4" s="303" t="s">
        <v>22</v>
      </c>
      <c r="H4" s="303" t="s">
        <v>11</v>
      </c>
      <c r="DA4" s="38" t="str">
        <f>+DA3</f>
        <v>New India Co-Op. Bank Ltd</v>
      </c>
    </row>
  </sheetData>
  <sheetProtection algorithmName="SHA-512" hashValue="svN3Jwd9yH8lNcpH2Gz/jrWiRW8HragHwL3SpzlgkwZ+W1nI74f4apxGF8lg3I1WIC3akIqUdYi5IU05PpRFtg==" saltValue="Fyr7rbHfkqdaY7LXGbjBF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40" priority="11" operator="equal">
      <formula>#N/A</formula>
    </cfRule>
  </conditionalFormatting>
  <conditionalFormatting sqref="DG2">
    <cfRule type="cellIs" dxfId="239" priority="10" operator="equal">
      <formula>#N/A</formula>
    </cfRule>
  </conditionalFormatting>
  <conditionalFormatting sqref="DH2:DI2">
    <cfRule type="cellIs" dxfId="238" priority="9" operator="equal">
      <formula>#N/A</formula>
    </cfRule>
  </conditionalFormatting>
  <conditionalFormatting sqref="I1:I2">
    <cfRule type="cellIs" dxfId="237" priority="8" operator="equal">
      <formula>#N/A</formula>
    </cfRule>
  </conditionalFormatting>
  <conditionalFormatting sqref="H1">
    <cfRule type="cellIs" dxfId="236" priority="7" operator="equal">
      <formula>#N/A</formula>
    </cfRule>
  </conditionalFormatting>
  <conditionalFormatting sqref="E1">
    <cfRule type="cellIs" dxfId="235" priority="6" operator="equal">
      <formula>#N/A</formula>
    </cfRule>
  </conditionalFormatting>
  <conditionalFormatting sqref="I1">
    <cfRule type="containsText" dxfId="234" priority="4" operator="containsText" text="All Data Import Successfully">
      <formula>NOT(ISERROR(SEARCH("All Data Import Successfully",I1)))</formula>
    </cfRule>
    <cfRule type="containsText" dxfId="233" priority="5" operator="containsText" text="Difference Entry">
      <formula>NOT(ISERROR(SEARCH("Difference Entry",I1)))</formula>
    </cfRule>
  </conditionalFormatting>
  <conditionalFormatting sqref="E2:G2">
    <cfRule type="cellIs" dxfId="232" priority="3" operator="equal">
      <formula>#N/A</formula>
    </cfRule>
  </conditionalFormatting>
  <conditionalFormatting sqref="H2">
    <cfRule type="cellIs" dxfId="231" priority="2" operator="equal">
      <formula>#N/A</formula>
    </cfRule>
  </conditionalFormatting>
  <conditionalFormatting sqref="I2">
    <cfRule type="cellIs" dxfId="230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Sheet22"/>
  <dimension ref="A1:DZ4"/>
  <sheetViews>
    <sheetView showRuler="0" workbookViewId="0"/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182</v>
      </c>
      <c r="T1" s="92">
        <v>6</v>
      </c>
      <c r="U1" s="92" t="s">
        <v>183</v>
      </c>
      <c r="V1" s="92" t="s">
        <v>183</v>
      </c>
      <c r="W1" s="92" t="s">
        <v>180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126</v>
      </c>
      <c r="B3" s="56"/>
      <c r="C3" s="55"/>
      <c r="D3" s="55" t="s">
        <v>184</v>
      </c>
      <c r="E3" s="57"/>
      <c r="F3" s="55"/>
      <c r="G3" s="20"/>
      <c r="H3" s="21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PNB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IF(D3="CR",VALUE("0"),VALUE(SUBSTITUTE((C3),",","")))</f>
        <v>#VALUE!</v>
      </c>
      <c r="DE3" s="26" t="e">
        <f>IF(D3="DR",VALUE("0"),VALUE(SUBSTITUTE((C3),",","")))</f>
        <v>#VALUE!</v>
      </c>
      <c r="DF3" s="26" t="str">
        <f>IF(E3="","",VALUE(SUBSTITUTE((E3),",","")))</f>
        <v/>
      </c>
      <c r="DG3" s="27" t="str">
        <f ca="1">(SUBSTITUTE(TRIM(IF(LEFT(F3,3)="CLG",LEFT(IF(SUM(LEN(F3)-LEN(SUBSTITUTE(F3,{"0","1","2","3","4","5","6","7","8","9"},"")))&gt;0,SUMPRODUCT(MID(0&amp;F3,LARGE(INDEX(ISNUMBER(--MID(F3,ROW(INDIRECT("$1:$"&amp;LEN(F3))),1))*ROW(INDIRECT("$1:$"&amp;LEN(F3))),0),ROW(INDIRECT("$1:$"&amp;LEN(F3))))+1,1)*10^ROW(INDIRECT("$1:$"&amp;LEN(F3)))/10),""),6),LEFT(IF(SUM(LEN(F3)-LEN(SUBSTITUTE(F3,{"0","1","2","3","4","5","6","7","8","9"},"")))&gt;0,SUMPRODUCT(MID(0&amp;F3,LARGE(INDEX(ISNUMBER(--MID(F3,ROW(INDIRECT("$1:$"&amp;LEN(F3))),1))*ROW(INDIRECT("$1:$"&amp;LEN(F3))),0),ROW(INDIRECT("$1:$"&amp;LEN(F3))))+1,1)*10^ROW(INDIRECT("$1:$"&amp;LEN(F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39">
        <f>+F3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3" t="s">
        <v>32</v>
      </c>
      <c r="B4" s="104" t="s">
        <v>124</v>
      </c>
      <c r="C4" s="104" t="s">
        <v>80</v>
      </c>
      <c r="D4" s="104" t="s">
        <v>95</v>
      </c>
      <c r="E4" s="104" t="s">
        <v>11</v>
      </c>
      <c r="F4" s="105" t="s">
        <v>125</v>
      </c>
      <c r="G4" s="6" t="s">
        <v>6</v>
      </c>
      <c r="H4" s="6" t="s">
        <v>6</v>
      </c>
      <c r="I4" s="6" t="s">
        <v>6</v>
      </c>
      <c r="J4" s="6" t="s">
        <v>6</v>
      </c>
      <c r="DA4" s="38" t="str">
        <f>+DA3</f>
        <v>PNB A/c.</v>
      </c>
    </row>
  </sheetData>
  <sheetProtection algorithmName="SHA-512" hashValue="ZuTdsQ1MpNc6mm5jLe4iLvncwVA6jDNBZ/ZSQ28Sdj4eM2rE9L0IR/1WtIeEh0UOilripu1rvt+31GCff2URIw==" saltValue="qpU/v9DVSvxdNJ2I2VJeJ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229" priority="18" operator="equal">
      <formula>#N/A</formula>
    </cfRule>
  </conditionalFormatting>
  <conditionalFormatting sqref="DG2">
    <cfRule type="cellIs" dxfId="228" priority="13" operator="equal">
      <formula>#N/A</formula>
    </cfRule>
  </conditionalFormatting>
  <conditionalFormatting sqref="DH2:DI2">
    <cfRule type="cellIs" dxfId="227" priority="12" operator="equal">
      <formula>#N/A</formula>
    </cfRule>
  </conditionalFormatting>
  <conditionalFormatting sqref="I1:I2">
    <cfRule type="cellIs" dxfId="226" priority="8" operator="equal">
      <formula>#N/A</formula>
    </cfRule>
  </conditionalFormatting>
  <conditionalFormatting sqref="H1">
    <cfRule type="cellIs" dxfId="225" priority="7" operator="equal">
      <formula>#N/A</formula>
    </cfRule>
  </conditionalFormatting>
  <conditionalFormatting sqref="E1">
    <cfRule type="cellIs" dxfId="224" priority="6" operator="equal">
      <formula>#N/A</formula>
    </cfRule>
  </conditionalFormatting>
  <conditionalFormatting sqref="I1">
    <cfRule type="containsText" dxfId="223" priority="4" operator="containsText" text="All Data Import Successfully">
      <formula>NOT(ISERROR(SEARCH("All Data Import Successfully",I1)))</formula>
    </cfRule>
    <cfRule type="containsText" dxfId="222" priority="5" operator="containsText" text="Difference Entry">
      <formula>NOT(ISERROR(SEARCH("Difference Entry",I1)))</formula>
    </cfRule>
  </conditionalFormatting>
  <conditionalFormatting sqref="E2:G2">
    <cfRule type="cellIs" dxfId="221" priority="3" operator="equal">
      <formula>#N/A</formula>
    </cfRule>
  </conditionalFormatting>
  <conditionalFormatting sqref="H2">
    <cfRule type="cellIs" dxfId="220" priority="2" operator="equal">
      <formula>#N/A</formula>
    </cfRule>
  </conditionalFormatting>
  <conditionalFormatting sqref="I2">
    <cfRule type="cellIs" dxfId="219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Sheet54"/>
  <dimension ref="A1:DZ4"/>
  <sheetViews>
    <sheetView showRuler="0" workbookViewId="0">
      <selection activeCell="C30" sqref="C30"/>
    </sheetView>
  </sheetViews>
  <sheetFormatPr defaultRowHeight="15"/>
  <cols>
    <col min="1" max="1" width="25.7109375" style="236" customWidth="1"/>
    <col min="2" max="4" width="25.7109375" style="6" customWidth="1"/>
    <col min="5" max="5" width="25.7109375" style="8" customWidth="1"/>
    <col min="6" max="6" width="25.7109375" style="6" customWidth="1"/>
    <col min="7" max="7" width="28.7109375" style="6" customWidth="1"/>
    <col min="8" max="9" width="25.7109375" style="6" customWidth="1"/>
    <col min="10" max="10" width="17.7109375" style="6" customWidth="1"/>
    <col min="11" max="12" width="9.140625" style="6"/>
    <col min="13" max="13" width="23.28515625" style="6" customWidth="1"/>
    <col min="14" max="15" width="9.140625" style="6"/>
    <col min="16" max="16" width="30.28515625" style="6" customWidth="1"/>
    <col min="17" max="104" width="9.140625" style="6"/>
    <col min="105" max="113" width="24.7109375" style="6" customWidth="1"/>
    <col min="114" max="114" width="38.42578125" style="6" customWidth="1"/>
    <col min="115" max="115" width="24.7109375" style="6" customWidth="1"/>
    <col min="116" max="16384" width="9.140625" style="6"/>
  </cols>
  <sheetData>
    <row r="1" spans="1:130" ht="45" customHeight="1">
      <c r="A1" s="232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192</v>
      </c>
      <c r="T1" s="92">
        <v>8</v>
      </c>
      <c r="U1" s="92" t="s">
        <v>180</v>
      </c>
      <c r="V1" s="92" t="s">
        <v>180</v>
      </c>
      <c r="W1" s="92" t="s">
        <v>172</v>
      </c>
      <c r="X1" s="99" t="s">
        <v>6</v>
      </c>
      <c r="Y1" s="99" t="s">
        <v>6</v>
      </c>
      <c r="Z1" s="92">
        <v>0</v>
      </c>
      <c r="AA1" s="92" t="s">
        <v>255</v>
      </c>
      <c r="AB1" s="92" t="s">
        <v>255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23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34" t="s">
        <v>126</v>
      </c>
      <c r="B3" s="56"/>
      <c r="C3" s="55"/>
      <c r="D3" s="55"/>
      <c r="E3" s="204"/>
      <c r="F3" s="55"/>
      <c r="G3" s="58"/>
      <c r="H3" s="59"/>
      <c r="I3" s="55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21" t="str">
        <f>+$A$3</f>
        <v>PNB A/c.</v>
      </c>
      <c r="DB3" s="222">
        <f>VALUE(C3)</f>
        <v>0</v>
      </c>
      <c r="DC3" s="223" t="e">
        <f>+CONCATENATE(TEXT(DB3,"D"),"",TEXT(DB3,"MM"),"","/",SUBSTITUTE(DF3,",",""),"/",DK3)</f>
        <v>#VALUE!</v>
      </c>
      <c r="DD3" s="224">
        <f>IF(I3="",VALUE("0"),VALUE(SUBSTITUTE((I3),",","")))</f>
        <v>0</v>
      </c>
      <c r="DE3" s="224">
        <f>IF(J3="",VALUE("0"),VALUE(SUBSTITUTE((J3),",","")))</f>
        <v>0</v>
      </c>
      <c r="DF3" s="224" t="e">
        <f>+VALUE(SUBSTITUTE(SUBSTITUTE(SUBSTITUTE((M3),",",""),"Cr.",""),"Dr.",""))</f>
        <v>#VALUE!</v>
      </c>
      <c r="DG3" s="225" t="str">
        <f ca="1">IF(H3="",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,H3)</f>
        <v>0</v>
      </c>
      <c r="DH3" s="226">
        <f>+DB3</f>
        <v>0</v>
      </c>
      <c r="DI3" s="226" t="str">
        <f>+IF(DE3=0,"Suspance Payment","Suspance Receipt")</f>
        <v>Suspance Payment</v>
      </c>
      <c r="DJ3" s="227">
        <f>+E3</f>
        <v>0</v>
      </c>
      <c r="DK3" s="228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1" customHeight="1" thickBot="1">
      <c r="A4" s="235" t="s">
        <v>327</v>
      </c>
      <c r="B4" s="229"/>
      <c r="C4" s="229" t="s">
        <v>17</v>
      </c>
      <c r="D4" s="229"/>
      <c r="E4" s="230" t="s">
        <v>19</v>
      </c>
      <c r="F4" s="229"/>
      <c r="G4" s="229" t="s">
        <v>190</v>
      </c>
      <c r="H4" s="229" t="s">
        <v>74</v>
      </c>
      <c r="I4" s="229" t="s">
        <v>328</v>
      </c>
      <c r="J4" s="229" t="s">
        <v>329</v>
      </c>
      <c r="K4" s="229"/>
      <c r="L4" s="229"/>
      <c r="M4" s="229" t="s">
        <v>11</v>
      </c>
      <c r="N4" s="229"/>
      <c r="O4" s="229"/>
      <c r="P4" s="231" t="s">
        <v>330</v>
      </c>
      <c r="Q4" s="5"/>
      <c r="DA4" s="38" t="str">
        <f>+DA3</f>
        <v>PNB A/c.</v>
      </c>
    </row>
  </sheetData>
  <sheetProtection algorithmName="SHA-512" hashValue="cTOmp/kDSYWUWJ1l3sEnAI7U1JSlyotD5Xkvafjx8fqmF5+HTOmdDEEma68aRj4ZmSoeNXfnbfrzuU80MI6xKQ==" saltValue="9YtDbPS/od8FJZnnV/6kg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218" priority="11" operator="equal">
      <formula>#N/A</formula>
    </cfRule>
  </conditionalFormatting>
  <conditionalFormatting sqref="DG2">
    <cfRule type="cellIs" dxfId="217" priority="10" operator="equal">
      <formula>#N/A</formula>
    </cfRule>
  </conditionalFormatting>
  <conditionalFormatting sqref="DH2:DI2">
    <cfRule type="cellIs" dxfId="216" priority="9" operator="equal">
      <formula>#N/A</formula>
    </cfRule>
  </conditionalFormatting>
  <conditionalFormatting sqref="I1:I2">
    <cfRule type="cellIs" dxfId="215" priority="8" operator="equal">
      <formula>#N/A</formula>
    </cfRule>
  </conditionalFormatting>
  <conditionalFormatting sqref="H1">
    <cfRule type="cellIs" dxfId="214" priority="7" operator="equal">
      <formula>#N/A</formula>
    </cfRule>
  </conditionalFormatting>
  <conditionalFormatting sqref="E1">
    <cfRule type="cellIs" dxfId="213" priority="6" operator="equal">
      <formula>#N/A</formula>
    </cfRule>
  </conditionalFormatting>
  <conditionalFormatting sqref="I1">
    <cfRule type="containsText" dxfId="212" priority="4" operator="containsText" text="All Data Import Successfully">
      <formula>NOT(ISERROR(SEARCH("All Data Import Successfully",I1)))</formula>
    </cfRule>
    <cfRule type="containsText" dxfId="211" priority="5" operator="containsText" text="Difference Entry">
      <formula>NOT(ISERROR(SEARCH("Difference Entry",I1)))</formula>
    </cfRule>
  </conditionalFormatting>
  <conditionalFormatting sqref="E2:G2">
    <cfRule type="cellIs" dxfId="210" priority="3" operator="equal">
      <formula>#N/A</formula>
    </cfRule>
  </conditionalFormatting>
  <conditionalFormatting sqref="H2">
    <cfRule type="cellIs" dxfId="209" priority="2" operator="equal">
      <formula>#N/A</formula>
    </cfRule>
  </conditionalFormatting>
  <conditionalFormatting sqref="I2">
    <cfRule type="cellIs" dxfId="20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5C1DC0-4213-4AEE-AB25-3AB4BFBF42D7}">
  <sheetPr codeName="Sheet70"/>
  <dimension ref="A1:DZ4"/>
  <sheetViews>
    <sheetView showRuler="0" workbookViewId="0">
      <selection activeCell="C22" sqref="C22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182</v>
      </c>
      <c r="T1" s="92">
        <v>6</v>
      </c>
      <c r="U1" s="92" t="s">
        <v>183</v>
      </c>
      <c r="V1" s="92" t="s">
        <v>183</v>
      </c>
      <c r="W1" s="92" t="s">
        <v>180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1127</v>
      </c>
      <c r="B3" s="56"/>
      <c r="C3" s="55"/>
      <c r="D3" s="55" t="s">
        <v>184</v>
      </c>
      <c r="E3" s="57"/>
      <c r="F3" s="55"/>
      <c r="G3" s="20"/>
      <c r="H3" s="21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PNB A/c. Loan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IF(TRIM(E3)="Cr.",VALUE("0"),VALUE(SUBSTITUTE((F3),",","")))</f>
        <v>#VALUE!</v>
      </c>
      <c r="DE3" s="26" t="e">
        <f>IF(TRIM(E3)="Dr.",VALUE("0"),VALUE(SUBSTITUTE((F3),",","")))</f>
        <v>#VALUE!</v>
      </c>
      <c r="DF3" s="26" t="str">
        <f>IF(G3="","",VALUE(SUBSTITUTE((G3),",","")))</f>
        <v/>
      </c>
      <c r="DG3" s="27" t="str">
        <f ca="1">(SUBSTITUTE(TRIM(IF(LEFT(F3,3)="CLG",LEFT(IF(SUM(LEN(F3)-LEN(SUBSTITUTE(F3,{"0","1","2","3","4","5","6","7","8","9"},"")))&gt;0,SUMPRODUCT(MID(0&amp;F3,LARGE(INDEX(ISNUMBER(--MID(F3,ROW(INDIRECT("$1:$"&amp;LEN(F3))),1))*ROW(INDIRECT("$1:$"&amp;LEN(F3))),0),ROW(INDIRECT("$1:$"&amp;LEN(F3))))+1,1)*10^ROW(INDIRECT("$1:$"&amp;LEN(F3)))/10),""),6),LEFT(IF(SUM(LEN(F3)-LEN(SUBSTITUTE(F3,{"0","1","2","3","4","5","6","7","8","9"},"")))&gt;0,SUMPRODUCT(MID(0&amp;F3,LARGE(INDEX(ISNUMBER(--MID(F3,ROW(INDIRECT("$1:$"&amp;LEN(F3))),1))*ROW(INDIRECT("$1:$"&amp;LEN(F3))),0),ROW(INDIRECT("$1:$"&amp;LEN(F3))))+1,1)*10^ROW(INDIRECT("$1:$"&amp;LEN(F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39">
        <f>+K3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324" t="s">
        <v>25</v>
      </c>
      <c r="B4" s="325"/>
      <c r="C4" s="324" t="s">
        <v>74</v>
      </c>
      <c r="D4" s="325"/>
      <c r="E4" s="326" t="s">
        <v>1126</v>
      </c>
      <c r="F4" s="326" t="s">
        <v>80</v>
      </c>
      <c r="G4" s="324" t="s">
        <v>11</v>
      </c>
      <c r="H4" s="327"/>
      <c r="I4" s="327"/>
      <c r="J4" s="325"/>
      <c r="K4" s="324" t="s">
        <v>33</v>
      </c>
      <c r="L4" s="327"/>
      <c r="M4" s="327"/>
      <c r="N4" s="327"/>
      <c r="O4" s="325"/>
      <c r="DA4" s="38" t="str">
        <f>+DA3</f>
        <v>PNB A/c. Loan</v>
      </c>
    </row>
  </sheetData>
  <sheetProtection algorithmName="SHA-512" hashValue="5CHPlvhv2iOZjDSv+1xKZRccwC7pwsnMMuD9Vwp4RUsQNcu32z1ml4Xf5LjQvktO1flmPyBAx3NScMrg+3GfXQ==" saltValue="K9x/92r7idZjbGqPfIWrr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C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</protectedRanges>
  <conditionalFormatting sqref="E3">
    <cfRule type="cellIs" dxfId="207" priority="11" operator="equal">
      <formula>#N/A</formula>
    </cfRule>
  </conditionalFormatting>
  <conditionalFormatting sqref="DG2">
    <cfRule type="cellIs" dxfId="206" priority="10" operator="equal">
      <formula>#N/A</formula>
    </cfRule>
  </conditionalFormatting>
  <conditionalFormatting sqref="DH2:DI2">
    <cfRule type="cellIs" dxfId="205" priority="9" operator="equal">
      <formula>#N/A</formula>
    </cfRule>
  </conditionalFormatting>
  <conditionalFormatting sqref="I1:I2">
    <cfRule type="cellIs" dxfId="204" priority="8" operator="equal">
      <formula>#N/A</formula>
    </cfRule>
  </conditionalFormatting>
  <conditionalFormatting sqref="H1">
    <cfRule type="cellIs" dxfId="203" priority="7" operator="equal">
      <formula>#N/A</formula>
    </cfRule>
  </conditionalFormatting>
  <conditionalFormatting sqref="E1">
    <cfRule type="cellIs" dxfId="202" priority="6" operator="equal">
      <formula>#N/A</formula>
    </cfRule>
  </conditionalFormatting>
  <conditionalFormatting sqref="I1">
    <cfRule type="containsText" dxfId="201" priority="4" operator="containsText" text="All Data Import Successfully">
      <formula>NOT(ISERROR(SEARCH("All Data Import Successfully",I1)))</formula>
    </cfRule>
    <cfRule type="containsText" dxfId="200" priority="5" operator="containsText" text="Difference Entry">
      <formula>NOT(ISERROR(SEARCH("Difference Entry",I1)))</formula>
    </cfRule>
  </conditionalFormatting>
  <conditionalFormatting sqref="E2:G2">
    <cfRule type="cellIs" dxfId="199" priority="3" operator="equal">
      <formula>#N/A</formula>
    </cfRule>
  </conditionalFormatting>
  <conditionalFormatting sqref="H2">
    <cfRule type="cellIs" dxfId="198" priority="2" operator="equal">
      <formula>#N/A</formula>
    </cfRule>
  </conditionalFormatting>
  <conditionalFormatting sqref="I2">
    <cfRule type="cellIs" dxfId="197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Sheet26"/>
  <dimension ref="A1:DZ4"/>
  <sheetViews>
    <sheetView showRuler="0"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3" width="24.7109375" style="6" customWidth="1"/>
    <col min="114" max="114" width="69.7109375" style="6" bestFit="1" customWidth="1"/>
    <col min="11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178</v>
      </c>
      <c r="T1" s="92">
        <v>7</v>
      </c>
      <c r="U1" s="92" t="s">
        <v>171</v>
      </c>
      <c r="V1" s="92" t="s">
        <v>172</v>
      </c>
      <c r="W1" s="92" t="s">
        <v>167</v>
      </c>
      <c r="X1" s="99" t="s">
        <v>6</v>
      </c>
      <c r="Y1" s="99" t="s">
        <v>6</v>
      </c>
      <c r="Z1" s="92">
        <v>1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198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142</v>
      </c>
      <c r="B3" s="18"/>
      <c r="C3" s="17"/>
      <c r="D3" s="17" t="s">
        <v>209</v>
      </c>
      <c r="E3" s="19"/>
      <c r="F3" s="17"/>
      <c r="G3" s="20"/>
      <c r="H3" s="21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Prime Co-op.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 "", VALUE(SUBSTITUTE(SUBSTITUTE(SUBSTITUTE(G3, "Cr.", ""), "Dr.", ""), ",", "")))</f>
        <v/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98" t="s">
        <v>32</v>
      </c>
      <c r="B4" s="98" t="s">
        <v>18</v>
      </c>
      <c r="C4" s="98" t="s">
        <v>33</v>
      </c>
      <c r="D4" s="98" t="s">
        <v>99</v>
      </c>
      <c r="E4" s="98" t="s">
        <v>100</v>
      </c>
      <c r="F4" s="98" t="s">
        <v>22</v>
      </c>
      <c r="G4" s="98" t="s">
        <v>101</v>
      </c>
      <c r="DA4" s="38" t="str">
        <f>+DA3</f>
        <v>Prime Co-op. Bank A/c.</v>
      </c>
    </row>
  </sheetData>
  <sheetProtection algorithmName="SHA-512" hashValue="Syq8G6gr8J5b6GvQlPLe7zwdMCzt8pCGgCCz8Xs+pYditVoNQ9f+0tl8DbufLs1Y1nNDIB7cr/FtYHQTBksZQw==" saltValue="c6nABV/7PsiOZRjTarPA+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196" priority="22" operator="equal">
      <formula>#N/A</formula>
    </cfRule>
  </conditionalFormatting>
  <conditionalFormatting sqref="DG2">
    <cfRule type="cellIs" dxfId="195" priority="17" operator="equal">
      <formula>#N/A</formula>
    </cfRule>
  </conditionalFormatting>
  <conditionalFormatting sqref="DH2:DI2">
    <cfRule type="cellIs" dxfId="194" priority="16" operator="equal">
      <formula>#N/A</formula>
    </cfRule>
  </conditionalFormatting>
  <conditionalFormatting sqref="I1">
    <cfRule type="cellIs" dxfId="193" priority="12" operator="equal">
      <formula>#N/A</formula>
    </cfRule>
  </conditionalFormatting>
  <conditionalFormatting sqref="H1">
    <cfRule type="cellIs" dxfId="192" priority="11" operator="equal">
      <formula>#N/A</formula>
    </cfRule>
  </conditionalFormatting>
  <conditionalFormatting sqref="E1">
    <cfRule type="cellIs" dxfId="191" priority="10" operator="equal">
      <formula>#N/A</formula>
    </cfRule>
  </conditionalFormatting>
  <conditionalFormatting sqref="I1">
    <cfRule type="containsText" dxfId="190" priority="8" operator="containsText" text="All Data Import Successfully">
      <formula>NOT(ISERROR(SEARCH("All Data Import Successfully",I1)))</formula>
    </cfRule>
    <cfRule type="containsText" dxfId="189" priority="9" operator="containsText" text="Difference Entry">
      <formula>NOT(ISERROR(SEARCH("Difference Entry",I1)))</formula>
    </cfRule>
  </conditionalFormatting>
  <conditionalFormatting sqref="I2">
    <cfRule type="cellIs" dxfId="188" priority="4" operator="equal">
      <formula>#N/A</formula>
    </cfRule>
  </conditionalFormatting>
  <conditionalFormatting sqref="E2:G2">
    <cfRule type="cellIs" dxfId="187" priority="3" operator="equal">
      <formula>#N/A</formula>
    </cfRule>
  </conditionalFormatting>
  <conditionalFormatting sqref="H2">
    <cfRule type="cellIs" dxfId="186" priority="2" operator="equal">
      <formula>#N/A</formula>
    </cfRule>
  </conditionalFormatting>
  <conditionalFormatting sqref="I2">
    <cfRule type="cellIs" dxfId="18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17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06" width="24.7109375" style="6" customWidth="1"/>
    <col min="107" max="107" width="28.28515625" style="6" customWidth="1"/>
    <col min="108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205</v>
      </c>
      <c r="T1" s="92">
        <v>8</v>
      </c>
      <c r="U1" s="92" t="s">
        <v>172</v>
      </c>
      <c r="V1" s="92" t="s">
        <v>172</v>
      </c>
      <c r="W1" s="92" t="s">
        <v>168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/>
      <c r="DC1" s="37"/>
      <c r="DE1" s="37"/>
      <c r="DG1" s="37"/>
      <c r="DI1" s="37"/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116</v>
      </c>
      <c r="B3" s="56"/>
      <c r="C3" s="55"/>
      <c r="D3" s="55" t="s">
        <v>206</v>
      </c>
      <c r="E3" s="57"/>
      <c r="F3" s="55"/>
      <c r="G3" s="58"/>
      <c r="H3" s="59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RBL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str">
        <f>IF(H3="","",VALUE(SUBSTITUTE((H3),",","")))</f>
        <v/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42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20" t="s">
        <v>25</v>
      </c>
      <c r="B4" s="343" t="s">
        <v>117</v>
      </c>
      <c r="C4" s="343"/>
      <c r="D4" s="121" t="s">
        <v>118</v>
      </c>
      <c r="E4" s="121" t="s">
        <v>18</v>
      </c>
      <c r="F4" s="122" t="s">
        <v>119</v>
      </c>
      <c r="G4" s="122" t="s">
        <v>120</v>
      </c>
      <c r="H4" s="123" t="s">
        <v>121</v>
      </c>
      <c r="DA4" s="38" t="str">
        <f>+DA3</f>
        <v>RBL Bank A/c.</v>
      </c>
    </row>
  </sheetData>
  <sheetProtection algorithmName="SHA-512" hashValue="MZN/De/uOvYC9Zw/csLhpSnivVugSxHcTLbnaIqElevZuMZ080qn8LpIUg1BJUGez9aj0bau0rM3f+Ze34PdNA==" saltValue="pG4gUFWcFFh0+liN2F5xG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E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F3" name="Range1_1_4"/>
  </protectedRanges>
  <mergeCells count="1">
    <mergeCell ref="B4:C4"/>
  </mergeCells>
  <conditionalFormatting sqref="E3">
    <cfRule type="cellIs" dxfId="184" priority="18" operator="equal">
      <formula>#N/A</formula>
    </cfRule>
  </conditionalFormatting>
  <conditionalFormatting sqref="DG2">
    <cfRule type="cellIs" dxfId="183" priority="13" operator="equal">
      <formula>#N/A</formula>
    </cfRule>
  </conditionalFormatting>
  <conditionalFormatting sqref="DH2:DI2">
    <cfRule type="cellIs" dxfId="182" priority="12" operator="equal">
      <formula>#N/A</formula>
    </cfRule>
  </conditionalFormatting>
  <conditionalFormatting sqref="I1:I2">
    <cfRule type="cellIs" dxfId="181" priority="8" operator="equal">
      <formula>#N/A</formula>
    </cfRule>
  </conditionalFormatting>
  <conditionalFormatting sqref="H1">
    <cfRule type="cellIs" dxfId="180" priority="7" operator="equal">
      <formula>#N/A</formula>
    </cfRule>
  </conditionalFormatting>
  <conditionalFormatting sqref="E1">
    <cfRule type="cellIs" dxfId="179" priority="6" operator="equal">
      <formula>#N/A</formula>
    </cfRule>
  </conditionalFormatting>
  <conditionalFormatting sqref="I1">
    <cfRule type="containsText" dxfId="178" priority="4" operator="containsText" text="All Data Import Successfully">
      <formula>NOT(ISERROR(SEARCH("All Data Import Successfully",I1)))</formula>
    </cfRule>
    <cfRule type="containsText" dxfId="177" priority="5" operator="containsText" text="Difference Entry">
      <formula>NOT(ISERROR(SEARCH("Difference Entry",I1)))</formula>
    </cfRule>
  </conditionalFormatting>
  <conditionalFormatting sqref="E2:G2">
    <cfRule type="cellIs" dxfId="176" priority="3" operator="equal">
      <formula>#N/A</formula>
    </cfRule>
  </conditionalFormatting>
  <conditionalFormatting sqref="H2">
    <cfRule type="cellIs" dxfId="175" priority="2" operator="equal">
      <formula>#N/A</formula>
    </cfRule>
  </conditionalFormatting>
  <conditionalFormatting sqref="I2">
    <cfRule type="cellIs" dxfId="17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Sheet19"/>
  <dimension ref="A1:DZ4"/>
  <sheetViews>
    <sheetView workbookViewId="0">
      <selection activeCell="A5" sqref="A5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16" width="9.5703125" style="6" bestFit="1" customWidth="1"/>
    <col min="117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Rajkot Nagarik Sahakari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>
      <c r="A3" s="17" t="s">
        <v>110</v>
      </c>
      <c r="B3" s="18"/>
      <c r="C3" s="17"/>
      <c r="D3" s="17"/>
      <c r="E3" s="19"/>
      <c r="F3" s="17"/>
      <c r="G3" s="20"/>
      <c r="H3" s="21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Rajkot Nagarik Sahakari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IF(C3="",VALUE("0"),VALUE(SUBSTITUTE((C3),",","")))</f>
        <v>0</v>
      </c>
      <c r="DE3" s="26">
        <f>IF(D3="",VALUE("0"),VALUE(SUBSTITUTE((D3),",","")))</f>
        <v>0</v>
      </c>
      <c r="DF3" s="26" t="e">
        <f>IF(E3=" ","",VALUE(SUBSTITUTE((SUBSTITUTE((E3),"Cr.","")),",","")))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>
      <c r="A4" s="6" t="s">
        <v>111</v>
      </c>
      <c r="B4" s="6" t="s">
        <v>112</v>
      </c>
      <c r="C4" s="6" t="s">
        <v>113</v>
      </c>
      <c r="D4" s="6" t="s">
        <v>114</v>
      </c>
      <c r="E4" s="6" t="s">
        <v>115</v>
      </c>
      <c r="DA4" s="38" t="str">
        <f>+DA3</f>
        <v>Rajkot Nagarik Sahakari Bank A/c.</v>
      </c>
    </row>
  </sheetData>
  <sheetProtection algorithmName="SHA-512" hashValue="Z4OxOetQHYxkRkprA/+npXSH9gFGyJkSwKQ+qvqmGe4v1CoRCgRQP99QTwECEMD9fEd0VUQ4L6C2VPvck5GWMA==" saltValue="COb0fxlmJ7p7A4b0+h0vlQ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173" priority="10" operator="equal">
      <formula>#N/A</formula>
    </cfRule>
  </conditionalFormatting>
  <conditionalFormatting sqref="H1">
    <cfRule type="cellIs" dxfId="172" priority="9" operator="equal">
      <formula>#N/A</formula>
    </cfRule>
  </conditionalFormatting>
  <conditionalFormatting sqref="E1">
    <cfRule type="cellIs" dxfId="171" priority="8" operator="equal">
      <formula>#N/A</formula>
    </cfRule>
  </conditionalFormatting>
  <conditionalFormatting sqref="I1">
    <cfRule type="containsText" dxfId="170" priority="6" operator="containsText" text="All Data Import Successfully">
      <formula>NOT(ISERROR(SEARCH("All Data Import Successfully",I1)))</formula>
    </cfRule>
    <cfRule type="containsText" dxfId="169" priority="7" operator="containsText" text="Difference Entry">
      <formula>NOT(ISERROR(SEARCH("Difference Entry",I1)))</formula>
    </cfRule>
  </conditionalFormatting>
  <conditionalFormatting sqref="DG2">
    <cfRule type="cellIs" dxfId="168" priority="5" operator="equal">
      <formula>#N/A</formula>
    </cfRule>
  </conditionalFormatting>
  <conditionalFormatting sqref="DH2:DI2">
    <cfRule type="cellIs" dxfId="167" priority="4" operator="equal">
      <formula>#N/A</formula>
    </cfRule>
  </conditionalFormatting>
  <conditionalFormatting sqref="E2:G2">
    <cfRule type="cellIs" dxfId="166" priority="3" operator="equal">
      <formula>#N/A</formula>
    </cfRule>
  </conditionalFormatting>
  <conditionalFormatting sqref="H2">
    <cfRule type="cellIs" dxfId="165" priority="2" operator="equal">
      <formula>#N/A</formula>
    </cfRule>
  </conditionalFormatting>
  <conditionalFormatting sqref="I2">
    <cfRule type="cellIs" dxfId="164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Sheet33"/>
  <dimension ref="A1:DZ4"/>
  <sheetViews>
    <sheetView showRuler="0" topLeftCell="DB1" workbookViewId="0">
      <selection activeCell="DG4" sqref="DG4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191</v>
      </c>
      <c r="T1" s="92">
        <v>8</v>
      </c>
      <c r="U1" s="92" t="s">
        <v>171</v>
      </c>
      <c r="V1" s="92" t="s">
        <v>171</v>
      </c>
      <c r="W1" s="92" t="s">
        <v>167</v>
      </c>
      <c r="X1" s="99" t="s">
        <v>6</v>
      </c>
      <c r="Y1" s="99">
        <v>5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/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/>
    </row>
    <row r="3" spans="1:130" ht="15.75" thickBot="1">
      <c r="A3" s="55" t="s">
        <v>214</v>
      </c>
      <c r="B3" s="56"/>
      <c r="C3" s="55"/>
      <c r="D3" s="55"/>
      <c r="E3" s="57"/>
      <c r="F3" s="55"/>
      <c r="G3" s="58"/>
      <c r="H3" s="59"/>
      <c r="I3" s="55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Saraswat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131" t="e">
        <f>IF(VALUE(SUBSTITUTE((TRIM(J3)),",",""))&gt;0,VALUE("0"),VALUE(SUBSTITUTE((TRIM(J3)),",","")*-1))</f>
        <v>#VALUE!</v>
      </c>
      <c r="DE3" s="26" t="e">
        <f>IF(VALUE(SUBSTITUTE((TRIM(J3)),",",""))&lt;0,VALUE("0"),VALUE(SUBSTITUTE((TRIM(J3)),",","")))</f>
        <v>#VALUE!</v>
      </c>
      <c r="DF3" s="130" t="e">
        <f>+VALUE(SUBSTITUTE((TRIM(O3)),",",""))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+VALUE(A3)</f>
        <v>#VALUE!</v>
      </c>
      <c r="DI3" s="28" t="e">
        <f>+IF(DE3=0,"Suspance Payment","Suspance Receipt")</f>
        <v>#VALUE!</v>
      </c>
      <c r="DJ3" s="39">
        <f>+B3</f>
        <v>0</v>
      </c>
      <c r="DK3" s="30">
        <f>+DK2+1</f>
        <v>1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s="5" customFormat="1" ht="15.75" thickBot="1">
      <c r="A4" s="132" t="s">
        <v>32</v>
      </c>
      <c r="B4" s="133"/>
      <c r="C4" s="133"/>
      <c r="D4" s="133"/>
      <c r="E4" s="133" t="s">
        <v>124</v>
      </c>
      <c r="F4" s="133"/>
      <c r="G4" s="133"/>
      <c r="H4" s="133"/>
      <c r="I4" s="133"/>
      <c r="J4" s="133" t="s">
        <v>80</v>
      </c>
      <c r="K4" s="133"/>
      <c r="L4" s="133"/>
      <c r="M4" s="133"/>
      <c r="N4" s="133"/>
      <c r="O4" s="134" t="s">
        <v>11</v>
      </c>
      <c r="DA4" s="25" t="str">
        <f>+DA3</f>
        <v>Saraswat Bank</v>
      </c>
      <c r="DB4" s="24" t="e">
        <f>VALUE(A4)</f>
        <v>#VALUE!</v>
      </c>
      <c r="DC4" s="25" t="str">
        <f>+CONCATENATE(TEXT(A4,"D"),"",TEXT(A4,"MM"),"","/",SUBSTITUTE(F4,",",""),"/",DK4)</f>
        <v>DateDate//2</v>
      </c>
      <c r="DD4" s="135" t="e">
        <f>IF(G4="CR",VALUE("0"),VALUE(SUBSTITUTE((F4),",","")))</f>
        <v>#VALUE!</v>
      </c>
      <c r="DE4" s="135" t="e">
        <f>IF(G4="DR",VALUE("0"),VALUE(SUBSTITUTE((F4),",","")))</f>
        <v>#VALUE!</v>
      </c>
      <c r="DF4" s="135" t="e">
        <f>IF(H4=" ","",VALUE(SUBSTITUTE((H4),",","")))</f>
        <v>#VALUE!</v>
      </c>
      <c r="DG4" s="27" t="str">
        <f ca="1">(SUBSTITUTE(TRIM(IF(LEFT(C4,3)="CLG"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6),LEFT(IF(SUM(LEN(C4)-LEN(SUBSTITUTE(C4,{"0","1","2","3","4","5","6","7","8","9"},"")))&gt;0,SUMPRODUCT(MID(0&amp;C4,LARGE(INDEX(ISNUMBER(--MID(C4,ROW(INDIRECT("$1:$"&amp;LEN(C4))),1))*ROW(INDIRECT("$1:$"&amp;LEN(C4))),0),ROW(INDIRECT("$1:$"&amp;LEN(C4))))+1,1)*10^ROW(INDIRECT("$1:$"&amp;LEN(C4)))/10),""),12))),".",""))</f>
        <v/>
      </c>
      <c r="DH4" s="66" t="e">
        <f>+VALUE(A4)</f>
        <v>#VALUE!</v>
      </c>
      <c r="DI4" s="66" t="e">
        <f>+IF(DE4=0,"Suspance Payment","Suspance Receipt")</f>
        <v>#VALUE!</v>
      </c>
      <c r="DJ4" s="25">
        <f>+C4</f>
        <v>0</v>
      </c>
      <c r="DK4" s="136">
        <f>+DK3+1</f>
        <v>2</v>
      </c>
    </row>
  </sheetData>
  <sheetProtection algorithmName="SHA-512" hashValue="Fy6xeeE3Il/R0nzrIyVzryb+8ikVoX/pwlstkas45npFxHRmBzcVbhjrIxSlb39a+Rt11lxcGckAvHyUcDwjPg==" saltValue="0OtEjokXcyExgSE0dYkyE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:DH4 DA3:DC4 DJ3:DJ4" name="Range1_5"/>
    <protectedRange algorithmName="SHA-512" hashValue="FeHjunJeBmEIe1Z+x4LSLD0xeXKoeHqEB4mLNgYC3pUDxBFAiT2e1scH7F48tQXpPGOh+9Z9iw2K5jb0kUxFkQ==" saltValue="Arxg+XESKZddo6Y2q+NDbg==" spinCount="100000" sqref="DE3:DF4" name="Range1_1_2"/>
    <protectedRange algorithmName="SHA-512" hashValue="FeHjunJeBmEIe1Z+x4LSLD0xeXKoeHqEB4mLNgYC3pUDxBFAiT2e1scH7F48tQXpPGOh+9Z9iw2K5jb0kUxFkQ==" saltValue="Arxg+XESKZddo6Y2q+NDbg==" spinCount="100000" sqref="DI3:DI4" name="Range1_2_2"/>
    <protectedRange algorithmName="SHA-512" hashValue="FeHjunJeBmEIe1Z+x4LSLD0xeXKoeHqEB4mLNgYC3pUDxBFAiT2e1scH7F48tQXpPGOh+9Z9iw2K5jb0kUxFkQ==" saltValue="Arxg+XESKZddo6Y2q+NDbg==" spinCount="100000" sqref="DK3:DK4" name="Range1_3_2"/>
    <protectedRange algorithmName="SHA-512" hashValue="FeHjunJeBmEIe1Z+x4LSLD0xeXKoeHqEB4mLNgYC3pUDxBFAiT2e1scH7F48tQXpPGOh+9Z9iw2K5jb0kUxFkQ==" saltValue="Arxg+XESKZddo6Y2q+NDbg==" spinCount="100000" sqref="DD3:DD4" name="Range1_1_4"/>
  </protectedRanges>
  <conditionalFormatting sqref="E3">
    <cfRule type="cellIs" dxfId="163" priority="11" operator="equal">
      <formula>#N/A</formula>
    </cfRule>
  </conditionalFormatting>
  <conditionalFormatting sqref="DG2">
    <cfRule type="cellIs" dxfId="162" priority="10" operator="equal">
      <formula>#N/A</formula>
    </cfRule>
  </conditionalFormatting>
  <conditionalFormatting sqref="DH2:DI2">
    <cfRule type="cellIs" dxfId="161" priority="9" operator="equal">
      <formula>#N/A</formula>
    </cfRule>
  </conditionalFormatting>
  <conditionalFormatting sqref="I1:I2">
    <cfRule type="cellIs" dxfId="160" priority="8" operator="equal">
      <formula>#N/A</formula>
    </cfRule>
  </conditionalFormatting>
  <conditionalFormatting sqref="H1">
    <cfRule type="cellIs" dxfId="159" priority="7" operator="equal">
      <formula>#N/A</formula>
    </cfRule>
  </conditionalFormatting>
  <conditionalFormatting sqref="E1">
    <cfRule type="cellIs" dxfId="158" priority="6" operator="equal">
      <formula>#N/A</formula>
    </cfRule>
  </conditionalFormatting>
  <conditionalFormatting sqref="I1">
    <cfRule type="containsText" dxfId="157" priority="4" operator="containsText" text="All Data Import Successfully">
      <formula>NOT(ISERROR(SEARCH("All Data Import Successfully",I1)))</formula>
    </cfRule>
    <cfRule type="containsText" dxfId="156" priority="5" operator="containsText" text="Difference Entry">
      <formula>NOT(ISERROR(SEARCH("Difference Entry",I1)))</formula>
    </cfRule>
  </conditionalFormatting>
  <conditionalFormatting sqref="E2:G2">
    <cfRule type="cellIs" dxfId="155" priority="3" operator="equal">
      <formula>#N/A</formula>
    </cfRule>
  </conditionalFormatting>
  <conditionalFormatting sqref="H2">
    <cfRule type="cellIs" dxfId="154" priority="2" operator="equal">
      <formula>#N/A</formula>
    </cfRule>
  </conditionalFormatting>
  <conditionalFormatting sqref="I2">
    <cfRule type="cellIs" dxfId="153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1"/>
  <dimension ref="A1:DZ4"/>
  <sheetViews>
    <sheetView workbookViewId="0">
      <selection activeCell="A7" sqref="A7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199</v>
      </c>
      <c r="T1" s="92">
        <v>7</v>
      </c>
      <c r="U1" s="92" t="s">
        <v>180</v>
      </c>
      <c r="V1" s="92" t="s">
        <v>171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63</v>
      </c>
      <c r="B3" s="56"/>
      <c r="C3" s="55"/>
      <c r="D3" s="55" t="s">
        <v>334</v>
      </c>
      <c r="E3" s="57"/>
      <c r="F3" s="55"/>
      <c r="G3" s="58"/>
      <c r="H3" s="21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SBI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IF(E3=" ",VALUE("0"),VALUE(SUBSTITUTE((E3),",","")))</f>
        <v>#VALUE!</v>
      </c>
      <c r="DE3" s="26" t="e">
        <f>IF(F3=" ",VALUE("0"),VALUE(SUBSTITUTE((F3),",","")))</f>
        <v>#VALUE!</v>
      </c>
      <c r="DF3" s="26" t="e">
        <f>IF(G3=" ","",VALUE(SUBSTITUTE((G3),",","")))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28" t="e">
        <f>VALUE(A3)</f>
        <v>#VALUE!</v>
      </c>
      <c r="DI3" s="28" t="e">
        <f>+IF(DE3=0,"Suspance Payment","Suspance Receipt")</f>
        <v>#VALUE!</v>
      </c>
      <c r="DJ3" s="29" t="str">
        <f>+TRIM(C3)</f>
        <v/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00" t="s">
        <v>17</v>
      </c>
      <c r="B4" s="101" t="s">
        <v>18</v>
      </c>
      <c r="C4" s="101" t="s">
        <v>19</v>
      </c>
      <c r="D4" s="101" t="s">
        <v>20</v>
      </c>
      <c r="E4" s="101" t="s">
        <v>21</v>
      </c>
      <c r="F4" s="101" t="s">
        <v>22</v>
      </c>
      <c r="G4" s="102" t="s">
        <v>11</v>
      </c>
      <c r="DA4" s="38" t="str">
        <f>+DA3</f>
        <v>SBI Bank A/c.</v>
      </c>
    </row>
  </sheetData>
  <sheetProtection algorithmName="SHA-512" hashValue="GUKy9Hj26KZ62+7Bp2PdqyF6mJrLiuF7CHe+OEzuSRmDxvEuxUrbtgiw2H/noDp/fMdHW72z3P2aGF+4doM/CA==" saltValue="GJhAmfdcjTx9ksXN0NIY0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152" priority="18" operator="equal">
      <formula>#N/A</formula>
    </cfRule>
  </conditionalFormatting>
  <conditionalFormatting sqref="DG2">
    <cfRule type="cellIs" dxfId="151" priority="13" operator="equal">
      <formula>#N/A</formula>
    </cfRule>
  </conditionalFormatting>
  <conditionalFormatting sqref="DH2:DI2">
    <cfRule type="cellIs" dxfId="150" priority="12" operator="equal">
      <formula>#N/A</formula>
    </cfRule>
  </conditionalFormatting>
  <conditionalFormatting sqref="I1:I2">
    <cfRule type="cellIs" dxfId="149" priority="8" operator="equal">
      <formula>#N/A</formula>
    </cfRule>
  </conditionalFormatting>
  <conditionalFormatting sqref="H1">
    <cfRule type="cellIs" dxfId="148" priority="7" operator="equal">
      <formula>#N/A</formula>
    </cfRule>
  </conditionalFormatting>
  <conditionalFormatting sqref="E1">
    <cfRule type="cellIs" dxfId="147" priority="6" operator="equal">
      <formula>#N/A</formula>
    </cfRule>
  </conditionalFormatting>
  <conditionalFormatting sqref="I1">
    <cfRule type="containsText" dxfId="146" priority="4" operator="containsText" text="All Data Import Successfully">
      <formula>NOT(ISERROR(SEARCH("All Data Import Successfully",I1)))</formula>
    </cfRule>
    <cfRule type="containsText" dxfId="145" priority="5" operator="containsText" text="Difference Entry">
      <formula>NOT(ISERROR(SEARCH("Difference Entry",I1)))</formula>
    </cfRule>
  </conditionalFormatting>
  <conditionalFormatting sqref="E2:G2">
    <cfRule type="cellIs" dxfId="144" priority="3" operator="equal">
      <formula>#N/A</formula>
    </cfRule>
  </conditionalFormatting>
  <conditionalFormatting sqref="H2">
    <cfRule type="cellIs" dxfId="143" priority="2" operator="equal">
      <formula>#N/A</formula>
    </cfRule>
  </conditionalFormatting>
  <conditionalFormatting sqref="I2">
    <cfRule type="cellIs" dxfId="142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41">
    <tabColor theme="8" tint="0.79998168889431442"/>
  </sheetPr>
  <dimension ref="A1:DZ4"/>
  <sheetViews>
    <sheetView showRuler="0" topLeftCell="DB1" workbookViewId="0">
      <selection activeCell="DG4" sqref="DG4"/>
    </sheetView>
  </sheetViews>
  <sheetFormatPr defaultRowHeight="15"/>
  <cols>
    <col min="1" max="9" width="25.7109375" style="6" customWidth="1"/>
    <col min="10" max="10" width="10.7109375" style="6" bestFit="1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199</v>
      </c>
      <c r="T1" s="92">
        <v>7</v>
      </c>
      <c r="U1" s="92" t="s">
        <v>180</v>
      </c>
      <c r="V1" s="92" t="s">
        <v>171</v>
      </c>
      <c r="W1" s="92" t="s">
        <v>172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63</v>
      </c>
      <c r="B3" s="56"/>
      <c r="C3" s="55"/>
      <c r="D3" s="55"/>
      <c r="E3" s="57"/>
      <c r="F3" s="55"/>
      <c r="G3" s="58"/>
      <c r="H3" s="21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>SBI Bank A/c.</v>
      </c>
      <c r="DB3" s="165" t="e">
        <f>IF(ISBLANK(H3),TEXT(DATE(RIGHT(A3,4), MONTH(DATEVALUE(MID(A3,4,3) &amp; " 1")), LEFT(A3,2)), "dd/MM/yyyy"),VALUE(A3))</f>
        <v>#VALUE!</v>
      </c>
      <c r="DC3" s="166" t="e">
        <f>+CONCATENATE(TEXT(DB3,"D"),"",TEXT(DB3,"MM"),"","/",SUBSTITUTE(DF3,",",""),"/",DK3)</f>
        <v>#VALUE!</v>
      </c>
      <c r="DD3" s="131">
        <f>IF(ISBLANK(H3),IF(E3="",VALUE("0"),VALUE(SUBSTITUTE((TRIM(E3)),",",""))),IF(F3="",VALUE("0"),VALUE(SUBSTITUTE((TRIM(F3)),",",""))))</f>
        <v>0</v>
      </c>
      <c r="DE3" s="131">
        <f>IF(ISBLANK(H3),IF(F3="",VALUE("0"),VALUE(SUBSTITUTE((TRIM(F3)),",",""))),IF(G3="",VALUE("0"),VALUE(SUBSTITUTE((TRIM(G3)),",",""))))</f>
        <v>0</v>
      </c>
      <c r="DF3" s="131">
        <f>IF(ISBLANK(H3),IF(G3="",VALUE("0"),VALUE(SUBSTITUTE((TRIM(G3)),",",""))),IF(H3="",VALUE("0"),VALUE(SUBSTITUTE((TRIM(H3)),",",""))))</f>
        <v>0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/>
      </c>
      <c r="DH3" s="168" t="e">
        <f>IF(ISBLANK(H3),TEXT(DATE(RIGHT(A3,4), MONTH(DATEVALUE(MID(A3,4,3) &amp; " 1")), LEFT(A3,2)), "dd/MM/yyyy"),VALUE(A3))</f>
        <v>#VALUE!</v>
      </c>
      <c r="DI3" s="168" t="str">
        <f>+IF(DE3=0,"Suspance Payment","Suspance Receipt")</f>
        <v>Suspance Payment</v>
      </c>
      <c r="DJ3" s="173" t="str">
        <f>+CONCATENATE(C3," ", D3)</f>
        <v xml:space="preserve"> 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71" t="s">
        <v>240</v>
      </c>
      <c r="B4" s="172" t="s">
        <v>241</v>
      </c>
      <c r="C4" s="171" t="s">
        <v>242</v>
      </c>
      <c r="D4" s="171" t="s">
        <v>243</v>
      </c>
      <c r="E4" s="171" t="s">
        <v>244</v>
      </c>
      <c r="F4" s="172" t="s">
        <v>245</v>
      </c>
      <c r="G4" s="172" t="s">
        <v>246</v>
      </c>
      <c r="H4" s="172" t="s">
        <v>247</v>
      </c>
      <c r="DA4" s="38" t="str">
        <f>+DA3</f>
        <v>SBI Bank A/c.</v>
      </c>
    </row>
  </sheetData>
  <sheetProtection algorithmName="SHA-512" hashValue="6ZEe45jgbAb+TAbOXHGYs5jm3Eu4mRpuSMpGrQr4RYO/wNTlZBw1mJcErGjbGB0/Dwy6XxPDW6NPxfIQq8N86g==" saltValue="WBx2hmS2WiifTjrhV8rLn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141" priority="11" operator="equal">
      <formula>#N/A</formula>
    </cfRule>
  </conditionalFormatting>
  <conditionalFormatting sqref="DG2">
    <cfRule type="cellIs" dxfId="140" priority="10" operator="equal">
      <formula>#N/A</formula>
    </cfRule>
  </conditionalFormatting>
  <conditionalFormatting sqref="DH2:DI2">
    <cfRule type="cellIs" dxfId="139" priority="9" operator="equal">
      <formula>#N/A</formula>
    </cfRule>
  </conditionalFormatting>
  <conditionalFormatting sqref="I1:I2">
    <cfRule type="cellIs" dxfId="138" priority="8" operator="equal">
      <formula>#N/A</formula>
    </cfRule>
  </conditionalFormatting>
  <conditionalFormatting sqref="H1">
    <cfRule type="cellIs" dxfId="137" priority="7" operator="equal">
      <formula>#N/A</formula>
    </cfRule>
  </conditionalFormatting>
  <conditionalFormatting sqref="E1">
    <cfRule type="cellIs" dxfId="136" priority="6" operator="equal">
      <formula>#N/A</formula>
    </cfRule>
  </conditionalFormatting>
  <conditionalFormatting sqref="I1">
    <cfRule type="containsText" dxfId="135" priority="4" operator="containsText" text="All Data Import Successfully">
      <formula>NOT(ISERROR(SEARCH("All Data Import Successfully",I1)))</formula>
    </cfRule>
    <cfRule type="containsText" dxfId="134" priority="5" operator="containsText" text="Difference Entry">
      <formula>NOT(ISERROR(SEARCH("Difference Entry",I1)))</formula>
    </cfRule>
  </conditionalFormatting>
  <conditionalFormatting sqref="E2:G2">
    <cfRule type="cellIs" dxfId="133" priority="3" operator="equal">
      <formula>#N/A</formula>
    </cfRule>
  </conditionalFormatting>
  <conditionalFormatting sqref="H2">
    <cfRule type="cellIs" dxfId="132" priority="2" operator="equal">
      <formula>#N/A</formula>
    </cfRule>
  </conditionalFormatting>
  <conditionalFormatting sqref="I2">
    <cfRule type="cellIs" dxfId="131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46C5C-CAA9-474D-B4AB-F571C4D11743}">
  <sheetPr codeName="Sheet64">
    <tabColor theme="8" tint="0.79998168889431442"/>
  </sheetPr>
  <dimension ref="A1:DZ4"/>
  <sheetViews>
    <sheetView workbookViewId="0">
      <selection activeCell="A5" sqref="A5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The Sutex Co-op.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1080</v>
      </c>
      <c r="B3" s="18"/>
      <c r="C3" s="17"/>
      <c r="D3" s="17"/>
      <c r="E3" s="19"/>
      <c r="F3" s="17"/>
      <c r="G3" s="20"/>
      <c r="H3" s="21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Sutex Co-op. Bank A/c.</v>
      </c>
      <c r="DB3" s="24" t="str">
        <f>SUBSTITUTE(B3,"'","")</f>
        <v/>
      </c>
      <c r="DC3" s="25" t="e">
        <f>+CONCATENATE(TEXT(DB3,"D"),"",TEXT(DB3,"MM"),"","/",SUBSTITUTE(DF3,",",""),"/",DK3)</f>
        <v>#VALUE!</v>
      </c>
      <c r="DD3" s="26">
        <f>IF(F3="",VALUE("0"),VALUE(SUBSTITUTE((F3),",","")))</f>
        <v>0</v>
      </c>
      <c r="DE3" s="26">
        <f>IF(G3="",VALUE("0"),VALUE(SUBSTITUTE((G3),",","")))</f>
        <v>0</v>
      </c>
      <c r="DF3" s="26" t="e">
        <f>IF(H3=" ","",VALUE(SUBSTITUTE((SUBSTITUTE((H3),"Cr.","")),",","")))</f>
        <v>#VALUE!</v>
      </c>
      <c r="DG3" s="302" t="s">
        <v>6</v>
      </c>
      <c r="DH3" s="28" t="str">
        <f>SUBSTITUTE(B3,"'","")</f>
        <v/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307" t="s">
        <v>127</v>
      </c>
      <c r="B4" s="307" t="s">
        <v>128</v>
      </c>
      <c r="C4" s="307" t="s">
        <v>129</v>
      </c>
      <c r="D4" s="307"/>
      <c r="E4" s="307" t="s">
        <v>130</v>
      </c>
      <c r="F4" s="307" t="s">
        <v>131</v>
      </c>
      <c r="G4" s="308" t="s">
        <v>132</v>
      </c>
      <c r="H4" s="308" t="s">
        <v>133</v>
      </c>
      <c r="DA4" s="38" t="str">
        <f>+DA3</f>
        <v>The Sutex Co-op. Bank A/c.</v>
      </c>
    </row>
  </sheetData>
  <sheetProtection algorithmName="SHA-512" hashValue="Xs/LuLA0N7bVfM1oadK+2Ca8xYxHciE/ctfefGI3CUSCrd9yZjTP9rLzQcfk7p56BAZ6WvkoA76TLphd0dhCsQ==" saltValue="amUOJlbjRunP8CYkvRqtl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130" priority="10" operator="equal">
      <formula>#N/A</formula>
    </cfRule>
  </conditionalFormatting>
  <conditionalFormatting sqref="H1">
    <cfRule type="cellIs" dxfId="129" priority="9" operator="equal">
      <formula>#N/A</formula>
    </cfRule>
  </conditionalFormatting>
  <conditionalFormatting sqref="E1">
    <cfRule type="cellIs" dxfId="128" priority="8" operator="equal">
      <formula>#N/A</formula>
    </cfRule>
  </conditionalFormatting>
  <conditionalFormatting sqref="I1">
    <cfRule type="containsText" dxfId="127" priority="6" operator="containsText" text="All Data Import Successfully">
      <formula>NOT(ISERROR(SEARCH("All Data Import Successfully",I1)))</formula>
    </cfRule>
    <cfRule type="containsText" dxfId="126" priority="7" operator="containsText" text="Difference Entry">
      <formula>NOT(ISERROR(SEARCH("Difference Entry",I1)))</formula>
    </cfRule>
  </conditionalFormatting>
  <conditionalFormatting sqref="DG2">
    <cfRule type="cellIs" dxfId="125" priority="5" operator="equal">
      <formula>#N/A</formula>
    </cfRule>
  </conditionalFormatting>
  <conditionalFormatting sqref="DH2:DI2">
    <cfRule type="cellIs" dxfId="124" priority="4" operator="equal">
      <formula>#N/A</formula>
    </cfRule>
  </conditionalFormatting>
  <conditionalFormatting sqref="E2:G2">
    <cfRule type="cellIs" dxfId="123" priority="3" operator="equal">
      <formula>#N/A</formula>
    </cfRule>
  </conditionalFormatting>
  <conditionalFormatting sqref="H2">
    <cfRule type="cellIs" dxfId="122" priority="2" operator="equal">
      <formula>#N/A</formula>
    </cfRule>
  </conditionalFormatting>
  <conditionalFormatting sqref="I2">
    <cfRule type="cellIs" dxfId="12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Sheet23"/>
  <dimension ref="A1:DZ4"/>
  <sheetViews>
    <sheetView showRuler="0" workbookViewId="0">
      <selection activeCell="A5" sqref="A5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>THE SURAT DISTRICT CO-OP. BANK LTD.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134</v>
      </c>
      <c r="B3" s="56"/>
      <c r="C3" s="55"/>
      <c r="D3" s="55"/>
      <c r="E3" s="57"/>
      <c r="F3" s="55"/>
      <c r="G3" s="58"/>
      <c r="H3" s="59"/>
      <c r="I3" s="55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SURAT DISTRICT CO-OP. BANK LTD.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IF(I3="",VALUE("0"),VALUE(SUBSTITUTE((I3),",","")))</f>
        <v>0</v>
      </c>
      <c r="DF3" s="26" t="str">
        <f>IF(J3="","",VALUE(SUBSTITUTE((J3),",","")))</f>
        <v/>
      </c>
      <c r="DG3" s="27" t="str">
        <f ca="1">(SUBSTITUTE(TRIM(IF(LEFT(E3,3)="CLG"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6),LEFT(IF(SUM(LEN(E3)-LEN(SUBSTITUTE(E3,{"0","1","2","3","4","5","6","7","8","9"},"")))&gt;0,SUMPRODUCT(MID(0&amp;E3,LARGE(INDEX(ISNUMBER(--MID(E3,ROW(INDIRECT("$1:$"&amp;LEN(E3))),1))*ROW(INDIRECT("$1:$"&amp;LEN(E3))),0),ROW(INDIRECT("$1:$"&amp;LEN(E3))))+1,1)*10^ROW(INDIRECT("$1:$"&amp;LEN(E3)))/10),""),12))),".",""))</f>
        <v/>
      </c>
      <c r="DH3" s="28">
        <f>VALUE(B3)</f>
        <v>0</v>
      </c>
      <c r="DI3" s="28" t="str">
        <f>+IF(DE3=0,"Suspance Payment","Suspance Receipt")</f>
        <v>Suspance Payment</v>
      </c>
      <c r="DJ3" s="39">
        <f>+E3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60" t="s">
        <v>127</v>
      </c>
      <c r="B4" s="61" t="s">
        <v>128</v>
      </c>
      <c r="C4" s="61"/>
      <c r="D4" s="61"/>
      <c r="E4" s="61" t="s">
        <v>129</v>
      </c>
      <c r="F4" s="61" t="s">
        <v>130</v>
      </c>
      <c r="G4" s="61" t="s">
        <v>131</v>
      </c>
      <c r="H4" s="61"/>
      <c r="I4" s="61" t="s">
        <v>132</v>
      </c>
      <c r="J4" s="62" t="s">
        <v>133</v>
      </c>
      <c r="DA4" s="38" t="str">
        <f>+DA3</f>
        <v>THE SURAT DISTRICT CO-OP. BANK LTD.</v>
      </c>
    </row>
  </sheetData>
  <sheetProtection algorithmName="SHA-512" hashValue="61up7MyeJXIAVMZv/xx0WpkMgjOjTsaJtRr5dw7oLfbmPA/HmQyIgKhdfqSfJSxRrfZnEXbS3msK1spGUWe0kQ==" saltValue="C0L0uhme3gxTQTZPOArWe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A5:DC728 DH5:DH728 DJ5:DJ728" name="Range1_6"/>
    <protectedRange algorithmName="SHA-512" hashValue="FeHjunJeBmEIe1Z+x4LSLD0xeXKoeHqEB4mLNgYC3pUDxBFAiT2e1scH7F48tQXpPGOh+9Z9iw2K5jb0kUxFkQ==" saltValue="Arxg+XESKZddo6Y2q+NDbg==" spinCount="100000" sqref="DD3:DF3 DD5:DF728" name="Range1_1_3"/>
    <protectedRange algorithmName="SHA-512" hashValue="FeHjunJeBmEIe1Z+x4LSLD0xeXKoeHqEB4mLNgYC3pUDxBFAiT2e1scH7F48tQXpPGOh+9Z9iw2K5jb0kUxFkQ==" saltValue="Arxg+XESKZddo6Y2q+NDbg==" spinCount="100000" sqref="DI3 DI5:DI728" name="Range1_2_3"/>
    <protectedRange algorithmName="SHA-512" hashValue="FeHjunJeBmEIe1Z+x4LSLD0xeXKoeHqEB4mLNgYC3pUDxBFAiT2e1scH7F48tQXpPGOh+9Z9iw2K5jb0kUxFkQ==" saltValue="Arxg+XESKZddo6Y2q+NDbg==" spinCount="100000" sqref="DK3 DK5:DK728" name="Range1_3_3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120" priority="10" operator="equal">
      <formula>#N/A</formula>
    </cfRule>
  </conditionalFormatting>
  <conditionalFormatting sqref="H1">
    <cfRule type="cellIs" dxfId="119" priority="9" operator="equal">
      <formula>#N/A</formula>
    </cfRule>
  </conditionalFormatting>
  <conditionalFormatting sqref="E1">
    <cfRule type="cellIs" dxfId="118" priority="8" operator="equal">
      <formula>#N/A</formula>
    </cfRule>
  </conditionalFormatting>
  <conditionalFormatting sqref="I1">
    <cfRule type="containsText" dxfId="117" priority="6" operator="containsText" text="All Data Import Successfully">
      <formula>NOT(ISERROR(SEARCH("All Data Import Successfully",I1)))</formula>
    </cfRule>
    <cfRule type="containsText" dxfId="116" priority="7" operator="containsText" text="Difference Entry">
      <formula>NOT(ISERROR(SEARCH("Difference Entry",I1)))</formula>
    </cfRule>
  </conditionalFormatting>
  <conditionalFormatting sqref="DG2">
    <cfRule type="cellIs" dxfId="115" priority="5" operator="equal">
      <formula>#N/A</formula>
    </cfRule>
  </conditionalFormatting>
  <conditionalFormatting sqref="DH2:DI2">
    <cfRule type="cellIs" dxfId="114" priority="4" operator="equal">
      <formula>#N/A</formula>
    </cfRule>
  </conditionalFormatting>
  <conditionalFormatting sqref="E2:G2">
    <cfRule type="cellIs" dxfId="113" priority="3" operator="equal">
      <formula>#N/A</formula>
    </cfRule>
  </conditionalFormatting>
  <conditionalFormatting sqref="H2">
    <cfRule type="cellIs" dxfId="112" priority="2" operator="equal">
      <formula>#N/A</formula>
    </cfRule>
  </conditionalFormatting>
  <conditionalFormatting sqref="I2">
    <cfRule type="cellIs" dxfId="11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D1B86-1B6F-4311-A5E9-2697BC56C6E8}">
  <sheetPr codeName="Sheet59">
    <tabColor theme="8" tint="0.79998168889431442"/>
  </sheetPr>
  <dimension ref="A1:DZ4"/>
  <sheetViews>
    <sheetView showRuler="0" workbookViewId="0">
      <selection activeCell="B37" sqref="B37"/>
    </sheetView>
  </sheetViews>
  <sheetFormatPr defaultRowHeight="15"/>
  <cols>
    <col min="1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134</v>
      </c>
      <c r="B3" s="56"/>
      <c r="C3" s="55"/>
      <c r="D3" s="55"/>
      <c r="E3" s="57"/>
      <c r="F3" s="55"/>
      <c r="G3" s="58"/>
      <c r="H3" s="59"/>
      <c r="I3" s="55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+$DA$2</f>
        <v>Bank Name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IF(H3="",VALUE("0"),VALUE(SUBSTITUTE((H3),",","")))</f>
        <v>0</v>
      </c>
      <c r="DF3" s="26" t="e">
        <f>+VALUE(SUBSTITUTE((SUBSTITUTE((I3),"Cr","")),",",""))</f>
        <v>#VALUE!</v>
      </c>
      <c r="DG3" s="26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VALUE(B3)</f>
        <v>0</v>
      </c>
      <c r="DI3" s="28" t="str">
        <f>+IF(DE3=0,"Suspance Payment","Suspance Receipt")</f>
        <v>Suspance Payment</v>
      </c>
      <c r="DJ3" s="3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255" t="s">
        <v>410</v>
      </c>
      <c r="B4" s="255" t="s">
        <v>241</v>
      </c>
      <c r="C4" s="256" t="s">
        <v>319</v>
      </c>
      <c r="D4" s="257"/>
      <c r="E4" s="256" t="s">
        <v>411</v>
      </c>
      <c r="F4" s="257"/>
      <c r="G4" s="255" t="s">
        <v>245</v>
      </c>
      <c r="H4" s="255" t="s">
        <v>246</v>
      </c>
      <c r="I4" s="256" t="s">
        <v>247</v>
      </c>
      <c r="DA4" s="38" t="str">
        <f>+DA3</f>
        <v>Bank Name</v>
      </c>
    </row>
  </sheetData>
  <sheetProtection algorithmName="SHA-512" hashValue="KtJanygbu4Rgipj9rmmu+eVKf+cuJidV6h46YoUnKxKkEzx6byH2K3ACH3xkoeTu7xwYvb6rzGIAwwu4DhLUPQ==" saltValue="fTFWWbK0WmUzWMLkjkR5Y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 DA5:DC728 DH5:DH728 DJ5:DJ728" name="Range1_6"/>
    <protectedRange algorithmName="SHA-512" hashValue="FeHjunJeBmEIe1Z+x4LSLD0xeXKoeHqEB4mLNgYC3pUDxBFAiT2e1scH7F48tQXpPGOh+9Z9iw2K5jb0kUxFkQ==" saltValue="Arxg+XESKZddo6Y2q+NDbg==" spinCount="100000" sqref="DD5:DF728 DD3:DG3" name="Range1_1_3"/>
    <protectedRange algorithmName="SHA-512" hashValue="FeHjunJeBmEIe1Z+x4LSLD0xeXKoeHqEB4mLNgYC3pUDxBFAiT2e1scH7F48tQXpPGOh+9Z9iw2K5jb0kUxFkQ==" saltValue="Arxg+XESKZddo6Y2q+NDbg==" spinCount="100000" sqref="DI3 DI5:DI728" name="Range1_2_3"/>
    <protectedRange algorithmName="SHA-512" hashValue="FeHjunJeBmEIe1Z+x4LSLD0xeXKoeHqEB4mLNgYC3pUDxBFAiT2e1scH7F48tQXpPGOh+9Z9iw2K5jb0kUxFkQ==" saltValue="Arxg+XESKZddo6Y2q+NDbg==" spinCount="100000" sqref="DK3 DK5:DK728" name="Range1_3_3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 I1:I2">
    <cfRule type="cellIs" dxfId="110" priority="10" operator="equal">
      <formula>#N/A</formula>
    </cfRule>
  </conditionalFormatting>
  <conditionalFormatting sqref="H1">
    <cfRule type="cellIs" dxfId="109" priority="9" operator="equal">
      <formula>#N/A</formula>
    </cfRule>
  </conditionalFormatting>
  <conditionalFormatting sqref="E1">
    <cfRule type="cellIs" dxfId="108" priority="8" operator="equal">
      <formula>#N/A</formula>
    </cfRule>
  </conditionalFormatting>
  <conditionalFormatting sqref="I1">
    <cfRule type="containsText" dxfId="107" priority="6" operator="containsText" text="All Data Import Successfully">
      <formula>NOT(ISERROR(SEARCH("All Data Import Successfully",I1)))</formula>
    </cfRule>
    <cfRule type="containsText" dxfId="106" priority="7" operator="containsText" text="Difference Entry">
      <formula>NOT(ISERROR(SEARCH("Difference Entry",I1)))</formula>
    </cfRule>
  </conditionalFormatting>
  <conditionalFormatting sqref="DG2">
    <cfRule type="cellIs" dxfId="105" priority="5" operator="equal">
      <formula>#N/A</formula>
    </cfRule>
  </conditionalFormatting>
  <conditionalFormatting sqref="DH2:DI2">
    <cfRule type="cellIs" dxfId="104" priority="4" operator="equal">
      <formula>#N/A</formula>
    </cfRule>
  </conditionalFormatting>
  <conditionalFormatting sqref="E2:G2">
    <cfRule type="cellIs" dxfId="103" priority="3" operator="equal">
      <formula>#N/A</formula>
    </cfRule>
  </conditionalFormatting>
  <conditionalFormatting sqref="H2">
    <cfRule type="cellIs" dxfId="102" priority="2" operator="equal">
      <formula>#N/A</formula>
    </cfRule>
  </conditionalFormatting>
  <conditionalFormatting sqref="I2">
    <cfRule type="cellIs" dxfId="101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37D1C-CFC3-42AC-8A44-EA203F8981E6}">
  <sheetPr codeName="Sheet60"/>
  <dimension ref="A1:DZ4"/>
  <sheetViews>
    <sheetView workbookViewId="0">
      <selection activeCell="C13" sqref="C13"/>
    </sheetView>
  </sheetViews>
  <sheetFormatPr defaultRowHeight="15"/>
  <cols>
    <col min="1" max="1" width="25.7109375" style="192" customWidth="1"/>
    <col min="2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188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417</v>
      </c>
      <c r="T1" s="92">
        <v>6</v>
      </c>
      <c r="U1" s="92" t="s">
        <v>196</v>
      </c>
      <c r="V1" s="92" t="s">
        <v>180</v>
      </c>
      <c r="W1" s="92" t="s">
        <v>171</v>
      </c>
      <c r="X1" s="99" t="s">
        <v>6</v>
      </c>
      <c r="Y1" s="99">
        <v>0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89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272" t="s">
        <v>416</v>
      </c>
      <c r="B3" s="56"/>
      <c r="C3" s="55"/>
      <c r="D3" s="55" t="s">
        <v>419</v>
      </c>
      <c r="E3" s="57"/>
      <c r="F3" s="55"/>
      <c r="G3" s="20"/>
      <c r="H3" s="21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South Indian Bank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e">
        <f>IF(F3=" ","",VALUE(SUBSTITUTE((SUBSTITUTE((F3),"Cr","")),",","")))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273" t="s">
        <v>32</v>
      </c>
      <c r="B4" s="115" t="s">
        <v>33</v>
      </c>
      <c r="C4" s="115" t="s">
        <v>99</v>
      </c>
      <c r="D4" s="115" t="s">
        <v>100</v>
      </c>
      <c r="E4" s="115" t="s">
        <v>22</v>
      </c>
      <c r="F4" s="116" t="s">
        <v>101</v>
      </c>
      <c r="DA4" s="38" t="str">
        <f>+DA3</f>
        <v>South Indian Bank</v>
      </c>
    </row>
  </sheetData>
  <sheetProtection algorithmName="SHA-512" hashValue="jis/D4+usM0IhAmLF3nQ7kGunD8ATkjGr5BKAbcPxJweFxA2JRgbpY+aI+JxYke/s6vfhn4j+De3GTgNqtjTIQ==" saltValue="LqBc2gDGp5JQKn3/VYZAA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100" priority="11" operator="equal">
      <formula>#N/A</formula>
    </cfRule>
  </conditionalFormatting>
  <conditionalFormatting sqref="DG2">
    <cfRule type="cellIs" dxfId="99" priority="10" operator="equal">
      <formula>#N/A</formula>
    </cfRule>
  </conditionalFormatting>
  <conditionalFormatting sqref="DH2:DI2">
    <cfRule type="cellIs" dxfId="98" priority="9" operator="equal">
      <formula>#N/A</formula>
    </cfRule>
  </conditionalFormatting>
  <conditionalFormatting sqref="I1:I2">
    <cfRule type="cellIs" dxfId="97" priority="8" operator="equal">
      <formula>#N/A</formula>
    </cfRule>
  </conditionalFormatting>
  <conditionalFormatting sqref="H1">
    <cfRule type="cellIs" dxfId="96" priority="7" operator="equal">
      <formula>#N/A</formula>
    </cfRule>
  </conditionalFormatting>
  <conditionalFormatting sqref="E1">
    <cfRule type="cellIs" dxfId="95" priority="6" operator="equal">
      <formula>#N/A</formula>
    </cfRule>
  </conditionalFormatting>
  <conditionalFormatting sqref="I1">
    <cfRule type="containsText" dxfId="94" priority="4" operator="containsText" text="All Data Import Successfully">
      <formula>NOT(ISERROR(SEARCH("All Data Import Successfully",I1)))</formula>
    </cfRule>
    <cfRule type="containsText" dxfId="93" priority="5" operator="containsText" text="Difference Entry">
      <formula>NOT(ISERROR(SEARCH("Difference Entry",I1)))</formula>
    </cfRule>
  </conditionalFormatting>
  <conditionalFormatting sqref="E2:G2">
    <cfRule type="cellIs" dxfId="92" priority="3" operator="equal">
      <formula>#N/A</formula>
    </cfRule>
  </conditionalFormatting>
  <conditionalFormatting sqref="H2">
    <cfRule type="cellIs" dxfId="91" priority="2" operator="equal">
      <formula>#N/A</formula>
    </cfRule>
  </conditionalFormatting>
  <conditionalFormatting sqref="I2">
    <cfRule type="cellIs" dxfId="9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Sheet29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178</v>
      </c>
      <c r="T1" s="92">
        <v>6</v>
      </c>
      <c r="U1" s="92" t="s">
        <v>180</v>
      </c>
      <c r="V1" s="92" t="s">
        <v>171</v>
      </c>
      <c r="W1" s="92" t="s">
        <v>172</v>
      </c>
      <c r="X1" s="99" t="s">
        <v>6</v>
      </c>
      <c r="Y1" s="99">
        <v>1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149</v>
      </c>
      <c r="B3" s="56"/>
      <c r="C3" s="55"/>
      <c r="D3" s="55" t="s">
        <v>194</v>
      </c>
      <c r="E3" s="57"/>
      <c r="F3" s="55"/>
      <c r="G3" s="20"/>
      <c r="H3" s="21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Surat National Co-op. Bank Ltd.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IF(D3="",VALUE("0"),VALUE(SUBSTITUTE((D3),",","")))</f>
        <v>#VALUE!</v>
      </c>
      <c r="DE3" s="26">
        <f>IF(E3="",VALUE("0"),VALUE(SUBSTITUTE((E3),",","")))</f>
        <v>0</v>
      </c>
      <c r="DF3" s="26" t="e">
        <f>IF(F3=" ","",VALUE(SUBSTITUTE((SUBSTITUTE((F3),"Cr.","")),",","")))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14" t="s">
        <v>32</v>
      </c>
      <c r="B4" s="115" t="s">
        <v>33</v>
      </c>
      <c r="C4" s="115" t="s">
        <v>99</v>
      </c>
      <c r="D4" s="115" t="s">
        <v>100</v>
      </c>
      <c r="E4" s="115" t="s">
        <v>22</v>
      </c>
      <c r="F4" s="116" t="s">
        <v>101</v>
      </c>
      <c r="DA4" s="38" t="str">
        <f>+DA3</f>
        <v>Surat National Co-op. Bank Ltd.</v>
      </c>
    </row>
  </sheetData>
  <sheetProtection algorithmName="SHA-512" hashValue="d+I97S2Dfj3DVbmbTeG2PF9JH/HmNsIqdre7LchRym4Vfoykpo8qhVugSwKW0rZ+k8yxQ/jxFbN07TB7zvZubQ==" saltValue="il2zHGgfvPpC63PNHZl04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">
    <cfRule type="cellIs" dxfId="89" priority="18" operator="equal">
      <formula>#N/A</formula>
    </cfRule>
  </conditionalFormatting>
  <conditionalFormatting sqref="DG2">
    <cfRule type="cellIs" dxfId="88" priority="13" operator="equal">
      <formula>#N/A</formula>
    </cfRule>
  </conditionalFormatting>
  <conditionalFormatting sqref="DH2:DI2">
    <cfRule type="cellIs" dxfId="87" priority="12" operator="equal">
      <formula>#N/A</formula>
    </cfRule>
  </conditionalFormatting>
  <conditionalFormatting sqref="I1:I2">
    <cfRule type="cellIs" dxfId="86" priority="8" operator="equal">
      <formula>#N/A</formula>
    </cfRule>
  </conditionalFormatting>
  <conditionalFormatting sqref="H1">
    <cfRule type="cellIs" dxfId="85" priority="7" operator="equal">
      <formula>#N/A</formula>
    </cfRule>
  </conditionalFormatting>
  <conditionalFormatting sqref="E1">
    <cfRule type="cellIs" dxfId="84" priority="6" operator="equal">
      <formula>#N/A</formula>
    </cfRule>
  </conditionalFormatting>
  <conditionalFormatting sqref="I1">
    <cfRule type="containsText" dxfId="83" priority="4" operator="containsText" text="All Data Import Successfully">
      <formula>NOT(ISERROR(SEARCH("All Data Import Successfully",I1)))</formula>
    </cfRule>
    <cfRule type="containsText" dxfId="82" priority="5" operator="containsText" text="Difference Entry">
      <formula>NOT(ISERROR(SEARCH("Difference Entry",I1)))</formula>
    </cfRule>
  </conditionalFormatting>
  <conditionalFormatting sqref="E2:G2">
    <cfRule type="cellIs" dxfId="81" priority="3" operator="equal">
      <formula>#N/A</formula>
    </cfRule>
  </conditionalFormatting>
  <conditionalFormatting sqref="H2">
    <cfRule type="cellIs" dxfId="80" priority="2" operator="equal">
      <formula>#N/A</formula>
    </cfRule>
  </conditionalFormatting>
  <conditionalFormatting sqref="I2">
    <cfRule type="cellIs" dxfId="79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Sheet28"/>
  <dimension ref="A1:DZ4"/>
  <sheetViews>
    <sheetView workbookViewId="0">
      <selection activeCell="A5" sqref="A5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195</v>
      </c>
      <c r="T1" s="92">
        <v>6</v>
      </c>
      <c r="U1" s="92" t="s">
        <v>196</v>
      </c>
      <c r="V1" s="92" t="s">
        <v>180</v>
      </c>
      <c r="W1" s="92" t="s">
        <v>171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148</v>
      </c>
      <c r="B3" s="18"/>
      <c r="C3" s="17"/>
      <c r="D3" s="17" t="s">
        <v>197</v>
      </c>
      <c r="E3" s="19"/>
      <c r="F3" s="17"/>
      <c r="G3" s="20"/>
      <c r="H3" s="21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 xml:space="preserve">UCO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 t="e">
        <f>IF(D3=" ",VALUE("0"),VALUE(SUBSTITUTE((D3),",","")))</f>
        <v>#VALUE!</v>
      </c>
      <c r="DE3" s="26" t="e">
        <f>IF(E3=" ",VALUE("0"),VALUE(SUBSTITUTE((E3),",","")))</f>
        <v>#VALUE!</v>
      </c>
      <c r="DF3" s="26" t="e">
        <f>IF(F3=" ","",VALUE(SUBSTITUTE((F3),",","")))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 t="e">
        <f>VALUE(A3)</f>
        <v>#VALUE!</v>
      </c>
      <c r="DI3" s="28" t="e">
        <f>+IF(DE3=0,"Suspance Payment","Suspance Receipt")</f>
        <v>#VALUE!</v>
      </c>
      <c r="DJ3" s="2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67" t="s">
        <v>32</v>
      </c>
      <c r="B4" s="67" t="s">
        <v>146</v>
      </c>
      <c r="C4" s="67" t="s">
        <v>147</v>
      </c>
      <c r="D4" s="67" t="s">
        <v>68</v>
      </c>
      <c r="E4" s="67" t="s">
        <v>69</v>
      </c>
      <c r="F4" s="67" t="s">
        <v>11</v>
      </c>
      <c r="DA4" s="38" t="str">
        <f>+DA3</f>
        <v xml:space="preserve">UCO Bank </v>
      </c>
    </row>
  </sheetData>
  <sheetProtection algorithmName="SHA-512" hashValue="M+TDq3+VqR1c5kPtKOlCtrvdsLWGnxs32vElzrbGZ3N5kTnGfoeQype18CKGM/8xsdGXk+7rTWUinXYTBSq62g==" saltValue="AUWRBeAPotKOYBKsok70p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  <protectedRange algorithmName="SHA-512" hashValue="FeHjunJeBmEIe1Z+x4LSLD0xeXKoeHqEB4mLNgYC3pUDxBFAiT2e1scH7F48tQXpPGOh+9Z9iw2K5jb0kUxFkQ==" saltValue="Arxg+XESKZddo6Y2q+NDbg==" spinCount="100000" sqref="DC3" name="Range1_5"/>
  </protectedRanges>
  <conditionalFormatting sqref="E3">
    <cfRule type="cellIs" dxfId="78" priority="18" operator="equal">
      <formula>#N/A</formula>
    </cfRule>
  </conditionalFormatting>
  <conditionalFormatting sqref="DG2">
    <cfRule type="cellIs" dxfId="77" priority="13" operator="equal">
      <formula>#N/A</formula>
    </cfRule>
  </conditionalFormatting>
  <conditionalFormatting sqref="DH2:DI2">
    <cfRule type="cellIs" dxfId="76" priority="12" operator="equal">
      <formula>#N/A</formula>
    </cfRule>
  </conditionalFormatting>
  <conditionalFormatting sqref="I1:I2">
    <cfRule type="cellIs" dxfId="75" priority="8" operator="equal">
      <formula>#N/A</formula>
    </cfRule>
  </conditionalFormatting>
  <conditionalFormatting sqref="H1">
    <cfRule type="cellIs" dxfId="74" priority="7" operator="equal">
      <formula>#N/A</formula>
    </cfRule>
  </conditionalFormatting>
  <conditionalFormatting sqref="E1">
    <cfRule type="cellIs" dxfId="73" priority="6" operator="equal">
      <formula>#N/A</formula>
    </cfRule>
  </conditionalFormatting>
  <conditionalFormatting sqref="I1">
    <cfRule type="containsText" dxfId="72" priority="4" operator="containsText" text="All Data Import Successfully">
      <formula>NOT(ISERROR(SEARCH("All Data Import Successfully",I1)))</formula>
    </cfRule>
    <cfRule type="containsText" dxfId="71" priority="5" operator="containsText" text="Difference Entry">
      <formula>NOT(ISERROR(SEARCH("Difference Entry",I1)))</formula>
    </cfRule>
  </conditionalFormatting>
  <conditionalFormatting sqref="E2:G2">
    <cfRule type="cellIs" dxfId="70" priority="3" operator="equal">
      <formula>#N/A</formula>
    </cfRule>
  </conditionalFormatting>
  <conditionalFormatting sqref="H2">
    <cfRule type="cellIs" dxfId="69" priority="2" operator="equal">
      <formula>#N/A</formula>
    </cfRule>
  </conditionalFormatting>
  <conditionalFormatting sqref="I2">
    <cfRule type="cellIs" dxfId="68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46"/>
  <dimension ref="A1:DZ4"/>
  <sheetViews>
    <sheetView workbookViewId="0">
      <selection activeCell="D26" sqref="D26"/>
    </sheetView>
  </sheetViews>
  <sheetFormatPr defaultRowHeight="15"/>
  <cols>
    <col min="1" max="9" width="25.7109375" style="6" customWidth="1"/>
    <col min="10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287</v>
      </c>
      <c r="T1" s="92">
        <v>10</v>
      </c>
      <c r="U1" s="92" t="s">
        <v>167</v>
      </c>
      <c r="V1" s="92" t="s">
        <v>168</v>
      </c>
      <c r="W1" s="92" t="s">
        <v>169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141</v>
      </c>
      <c r="B3" s="18"/>
      <c r="C3" s="17"/>
      <c r="D3" s="17" t="s">
        <v>288</v>
      </c>
      <c r="E3" s="19"/>
      <c r="F3" s="17"/>
      <c r="G3" s="20"/>
      <c r="H3" s="21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Union Bank of India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IF(G3="",VALUE("0"),VALUE(SUBSTITUTE((G3),",","")))</f>
        <v>0</v>
      </c>
      <c r="DE3" s="26">
        <f>IF(H3="",VALUE("0"),VALUE(SUBSTITUTE((H3),",","")))</f>
        <v>0</v>
      </c>
      <c r="DF3" s="26" t="str">
        <f>IF(I3="","",VALUE(SUBSTITUTE((I3),",","")))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VALUE(A3)</f>
        <v>#VALUE!</v>
      </c>
      <c r="DI3" s="28" t="str">
        <f>+IF(DE3=0,"Suspance Payment","Suspance Receipt")</f>
        <v>Suspance Payment</v>
      </c>
      <c r="DJ3" s="29">
        <f>+C3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197" t="s">
        <v>32</v>
      </c>
      <c r="B4" s="197" t="s">
        <v>289</v>
      </c>
      <c r="C4" s="344" t="s">
        <v>125</v>
      </c>
      <c r="D4" s="345"/>
      <c r="E4" s="197" t="s">
        <v>290</v>
      </c>
      <c r="F4" s="197" t="s">
        <v>291</v>
      </c>
      <c r="G4" s="197" t="s">
        <v>68</v>
      </c>
      <c r="H4" s="197" t="s">
        <v>69</v>
      </c>
      <c r="I4" s="198" t="s">
        <v>11</v>
      </c>
      <c r="DA4" s="38" t="str">
        <f>+DA3</f>
        <v>Union Bank of India A/c.</v>
      </c>
    </row>
  </sheetData>
  <sheetProtection algorithmName="SHA-512" hashValue="QpbY84JzXjytVPqxavfyXwD331nYNuAzx2qmdOjD3ynQ47goqTc/fgRJ1gSFFl/23bjS911TzlBw6f11QuN1/Q==" saltValue="DRuDAhn2mVtKuxANCbUAh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_1"/>
    <protectedRange algorithmName="SHA-512" hashValue="FeHjunJeBmEIe1Z+x4LSLD0xeXKoeHqEB4mLNgYC3pUDxBFAiT2e1scH7F48tQXpPGOh+9Z9iw2K5jb0kUxFkQ==" saltValue="Arxg+XESKZddo6Y2q+NDbg==" spinCount="100000" sqref="DD3:DF3" name="Range1_1_8_1"/>
    <protectedRange algorithmName="SHA-512" hashValue="FeHjunJeBmEIe1Z+x4LSLD0xeXKoeHqEB4mLNgYC3pUDxBFAiT2e1scH7F48tQXpPGOh+9Z9iw2K5jb0kUxFkQ==" saltValue="Arxg+XESKZddo6Y2q+NDbg==" spinCount="100000" sqref="DI3" name="Range1_2_8_1"/>
    <protectedRange algorithmName="SHA-512" hashValue="FeHjunJeBmEIe1Z+x4LSLD0xeXKoeHqEB4mLNgYC3pUDxBFAiT2e1scH7F48tQXpPGOh+9Z9iw2K5jb0kUxFkQ==" saltValue="Arxg+XESKZddo6Y2q+NDbg==" spinCount="100000" sqref="DK3" name="Range1_3_7_1"/>
    <protectedRange algorithmName="SHA-512" hashValue="FeHjunJeBmEIe1Z+x4LSLD0xeXKoeHqEB4mLNgYC3pUDxBFAiT2e1scH7F48tQXpPGOh+9Z9iw2K5jb0kUxFkQ==" saltValue="Arxg+XESKZddo6Y2q+NDbg==" spinCount="100000" sqref="DB3" name="Range1_4_1_1"/>
  </protectedRanges>
  <mergeCells count="1">
    <mergeCell ref="C4:D4"/>
  </mergeCells>
  <conditionalFormatting sqref="DG2">
    <cfRule type="cellIs" dxfId="67" priority="11" operator="equal">
      <formula>#N/A</formula>
    </cfRule>
  </conditionalFormatting>
  <conditionalFormatting sqref="DH2:DI2">
    <cfRule type="cellIs" dxfId="66" priority="10" operator="equal">
      <formula>#N/A</formula>
    </cfRule>
  </conditionalFormatting>
  <conditionalFormatting sqref="I1:I2">
    <cfRule type="cellIs" dxfId="65" priority="9" operator="equal">
      <formula>#N/A</formula>
    </cfRule>
  </conditionalFormatting>
  <conditionalFormatting sqref="H1">
    <cfRule type="cellIs" dxfId="64" priority="8" operator="equal">
      <formula>#N/A</formula>
    </cfRule>
  </conditionalFormatting>
  <conditionalFormatting sqref="E1">
    <cfRule type="cellIs" dxfId="63" priority="7" operator="equal">
      <formula>#N/A</formula>
    </cfRule>
  </conditionalFormatting>
  <conditionalFormatting sqref="I1">
    <cfRule type="containsText" dxfId="62" priority="5" operator="containsText" text="All Data Import Successfully">
      <formula>NOT(ISERROR(SEARCH("All Data Import Successfully",I1)))</formula>
    </cfRule>
    <cfRule type="containsText" dxfId="61" priority="6" operator="containsText" text="Difference Entry">
      <formula>NOT(ISERROR(SEARCH("Difference Entry",I1)))</formula>
    </cfRule>
  </conditionalFormatting>
  <conditionalFormatting sqref="E2:G2">
    <cfRule type="cellIs" dxfId="60" priority="4" operator="equal">
      <formula>#N/A</formula>
    </cfRule>
  </conditionalFormatting>
  <conditionalFormatting sqref="H2">
    <cfRule type="cellIs" dxfId="59" priority="3" operator="equal">
      <formula>#N/A</formula>
    </cfRule>
  </conditionalFormatting>
  <conditionalFormatting sqref="I2">
    <cfRule type="cellIs" dxfId="58" priority="2" operator="equal">
      <formula>0</formula>
    </cfRule>
  </conditionalFormatting>
  <conditionalFormatting sqref="E3">
    <cfRule type="cellIs" dxfId="57" priority="1" operator="equal">
      <formula>#N/A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5">
    <tabColor theme="8" tint="0.79998168889431442"/>
  </sheetPr>
  <dimension ref="A1:DZ4"/>
  <sheetViews>
    <sheetView workbookViewId="0">
      <selection activeCell="D8" sqref="D8"/>
    </sheetView>
  </sheetViews>
  <sheetFormatPr defaultRowHeight="15"/>
  <cols>
    <col min="1" max="1" width="25.7109375" style="6" customWidth="1"/>
    <col min="2" max="2" width="25.7109375" style="192" customWidth="1"/>
    <col min="3" max="9" width="25.7109375" style="6" customWidth="1"/>
    <col min="10" max="10" width="21.4257812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188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192</v>
      </c>
      <c r="T1" s="92">
        <v>8</v>
      </c>
      <c r="U1" s="92" t="s">
        <v>180</v>
      </c>
      <c r="V1" s="92" t="s">
        <v>180</v>
      </c>
      <c r="W1" s="92" t="s">
        <v>172</v>
      </c>
      <c r="X1" s="99" t="s">
        <v>6</v>
      </c>
      <c r="Y1" s="99" t="s">
        <v>6</v>
      </c>
      <c r="Z1" s="92">
        <v>0</v>
      </c>
      <c r="AA1" s="92" t="s">
        <v>254</v>
      </c>
      <c r="AB1" s="92" t="s">
        <v>196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189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55" t="s">
        <v>141</v>
      </c>
      <c r="B3" s="190"/>
      <c r="C3" s="55"/>
      <c r="D3" s="55"/>
      <c r="E3" s="57"/>
      <c r="F3" s="55"/>
      <c r="G3" s="58"/>
      <c r="H3" s="59"/>
      <c r="I3" s="55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>Union Bank of India A/c.</v>
      </c>
      <c r="DB3" s="24">
        <f>VALUE(B3)</f>
        <v>0</v>
      </c>
      <c r="DC3" s="25" t="e">
        <f>+CONCATENATE(TEXT(DB3,"D"),"",TEXT(DB3,"MM"),"","/",SUBSTITUTE(DF3,",",""),"/",DK3)</f>
        <v>#VALUE!</v>
      </c>
      <c r="DD3" s="26">
        <f>IF(H3="",VALUE("0"),VALUE(SUBSTITUTE((TRIM(H3)),",","")))</f>
        <v>0</v>
      </c>
      <c r="DE3" s="26">
        <f>IF(J3="",VALUE("0"),VALUE(SUBSTITUTE((TRIM(J3)),",","")))</f>
        <v>0</v>
      </c>
      <c r="DF3" s="26" t="e">
        <f>IF(L3="","",VALUE(SUBSTITUTE(SUBSTITUTE((L3),",",""),"Cr","")))</f>
        <v>#VALUE!</v>
      </c>
      <c r="DG3" s="2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28">
        <f>+DB3</f>
        <v>0</v>
      </c>
      <c r="DI3" s="28" t="str">
        <f>+IF(DE3=0,"Suspance Payment","Suspance Receipt")</f>
        <v>Suspance Payment</v>
      </c>
      <c r="DJ3" s="29">
        <f>+D3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" customHeight="1">
      <c r="A4" s="186" t="s">
        <v>271</v>
      </c>
      <c r="B4" s="191" t="s">
        <v>272</v>
      </c>
      <c r="C4" s="187"/>
      <c r="D4" s="187" t="s">
        <v>273</v>
      </c>
      <c r="E4" s="187"/>
      <c r="F4" s="187" t="s">
        <v>274</v>
      </c>
      <c r="G4" s="187"/>
      <c r="H4" s="187" t="s">
        <v>275</v>
      </c>
      <c r="I4" s="187"/>
      <c r="J4" s="187" t="s">
        <v>276</v>
      </c>
      <c r="K4" s="187"/>
      <c r="L4" s="186" t="s">
        <v>277</v>
      </c>
      <c r="DA4" s="38" t="str">
        <f>+DA3</f>
        <v>Union Bank of India A/c.</v>
      </c>
    </row>
  </sheetData>
  <sheetProtection algorithmName="SHA-512" hashValue="XkzK0uU1xhrOKGCOyD9BVLap4+is0ja8MCJD9BGhN10OpDTzN2cOOXzBfPc8+/hYzePQm/K0DZqzt4cmr6ircw==" saltValue="NiV0nLkSAbLqFmVidms4a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" name="Range1_11"/>
    <protectedRange algorithmName="SHA-512" hashValue="FeHjunJeBmEIe1Z+x4LSLD0xeXKoeHqEB4mLNgYC3pUDxBFAiT2e1scH7F48tQXpPGOh+9Z9iw2K5jb0kUxFkQ==" saltValue="Arxg+XESKZddo6Y2q+NDbg==" spinCount="100000" sqref="DD3:DF3" name="Range1_1_8"/>
    <protectedRange algorithmName="SHA-512" hashValue="FeHjunJeBmEIe1Z+x4LSLD0xeXKoeHqEB4mLNgYC3pUDxBFAiT2e1scH7F48tQXpPGOh+9Z9iw2K5jb0kUxFkQ==" saltValue="Arxg+XESKZddo6Y2q+NDbg==" spinCount="100000" sqref="DI3" name="Range1_2_8"/>
    <protectedRange algorithmName="SHA-512" hashValue="FeHjunJeBmEIe1Z+x4LSLD0xeXKoeHqEB4mLNgYC3pUDxBFAiT2e1scH7F48tQXpPGOh+9Z9iw2K5jb0kUxFkQ==" saltValue="Arxg+XESKZddo6Y2q+NDbg==" spinCount="100000" sqref="DK3" name="Range1_3_7"/>
    <protectedRange algorithmName="SHA-512" hashValue="FeHjunJeBmEIe1Z+x4LSLD0xeXKoeHqEB4mLNgYC3pUDxBFAiT2e1scH7F48tQXpPGOh+9Z9iw2K5jb0kUxFkQ==" saltValue="Arxg+XESKZddo6Y2q+NDbg==" spinCount="100000" sqref="DB3" name="Range1_4_1"/>
  </protectedRanges>
  <conditionalFormatting sqref="E3">
    <cfRule type="cellIs" dxfId="56" priority="18" operator="equal">
      <formula>#N/A</formula>
    </cfRule>
  </conditionalFormatting>
  <conditionalFormatting sqref="DG2">
    <cfRule type="cellIs" dxfId="55" priority="13" operator="equal">
      <formula>#N/A</formula>
    </cfRule>
  </conditionalFormatting>
  <conditionalFormatting sqref="DH2:DI2">
    <cfRule type="cellIs" dxfId="54" priority="12" operator="equal">
      <formula>#N/A</formula>
    </cfRule>
  </conditionalFormatting>
  <conditionalFormatting sqref="I1:I2">
    <cfRule type="cellIs" dxfId="53" priority="8" operator="equal">
      <formula>#N/A</formula>
    </cfRule>
  </conditionalFormatting>
  <conditionalFormatting sqref="H1">
    <cfRule type="cellIs" dxfId="52" priority="7" operator="equal">
      <formula>#N/A</formula>
    </cfRule>
  </conditionalFormatting>
  <conditionalFormatting sqref="E1">
    <cfRule type="cellIs" dxfId="51" priority="6" operator="equal">
      <formula>#N/A</formula>
    </cfRule>
  </conditionalFormatting>
  <conditionalFormatting sqref="I1">
    <cfRule type="containsText" dxfId="50" priority="4" operator="containsText" text="All Data Import Successfully">
      <formula>NOT(ISERROR(SEARCH("All Data Import Successfully",I1)))</formula>
    </cfRule>
    <cfRule type="containsText" dxfId="49" priority="5" operator="containsText" text="Difference Entry">
      <formula>NOT(ISERROR(SEARCH("Difference Entry",I1)))</formula>
    </cfRule>
  </conditionalFormatting>
  <conditionalFormatting sqref="E2:G2">
    <cfRule type="cellIs" dxfId="48" priority="3" operator="equal">
      <formula>#N/A</formula>
    </cfRule>
  </conditionalFormatting>
  <conditionalFormatting sqref="H2">
    <cfRule type="cellIs" dxfId="47" priority="2" operator="equal">
      <formula>#N/A</formula>
    </cfRule>
  </conditionalFormatting>
  <conditionalFormatting sqref="I2">
    <cfRule type="cellIs" dxfId="46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5">
    <tabColor theme="8" tint="0.79998168889431442"/>
  </sheetPr>
  <dimension ref="A1:DZ22"/>
  <sheetViews>
    <sheetView showRuler="0" workbookViewId="0">
      <selection activeCell="A3" sqref="A3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192</v>
      </c>
      <c r="T1" s="92">
        <v>8</v>
      </c>
      <c r="U1" s="92" t="s">
        <v>180</v>
      </c>
      <c r="V1" s="92" t="s">
        <v>180</v>
      </c>
      <c r="W1" s="92" t="s">
        <v>172</v>
      </c>
      <c r="X1" s="99" t="s">
        <v>6</v>
      </c>
      <c r="Y1" s="99" t="s">
        <v>6</v>
      </c>
      <c r="Z1" s="92">
        <v>0</v>
      </c>
      <c r="AA1" s="92" t="s">
        <v>255</v>
      </c>
      <c r="AB1" s="92" t="s">
        <v>254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279</v>
      </c>
      <c r="B3" s="56"/>
      <c r="C3" s="55"/>
      <c r="D3" s="55"/>
      <c r="E3" s="57"/>
      <c r="F3" s="55"/>
      <c r="G3" s="58"/>
      <c r="H3" s="59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164" t="str">
        <f>+$A$3</f>
        <v xml:space="preserve">Union Bank </v>
      </c>
      <c r="DB3" s="165">
        <f>VALUE(B3)</f>
        <v>0</v>
      </c>
      <c r="DC3" s="166" t="e">
        <f>+CONCATENATE(TEXT(DB3,"D"),"",TEXT(DB3,"MM"),"","/",SUBSTITUTE(DF3,",",""),"/",DK3)</f>
        <v>#VALUE!</v>
      </c>
      <c r="DD3" s="131" t="e">
        <f>IF(RIGHT(E3,4)="(Cr)",VALUE("0"),VALUE(SUBSTITUTE(SUBSTITUTE((TRIM(E3)),",",""),"(Dr)","")))</f>
        <v>#VALUE!</v>
      </c>
      <c r="DE3" s="131" t="e">
        <f>IF(RIGHT(E3,4)="(Dr)",VALUE("0"),VALUE(SUBSTITUTE(SUBSTITUTE((E3),",",""),"(Cr)","")))</f>
        <v>#VALUE!</v>
      </c>
      <c r="DF3" s="130" t="e">
        <f>+IF(RIGHT(F3,4)="(Dr)",VALUE(SUBSTITUTE(SUBSTITUTE(SUBSTITUTE((F3),",",""),"(Cr)",""),"(Dr)",""))*-1,VALUE(SUBSTITUTE(SUBSTITUTE(SUBSTITUTE((F3),",",""),"(Cr)",""),"(Dr)","")))</f>
        <v>#VALUE!</v>
      </c>
      <c r="DG3" s="167" t="str">
        <f ca="1">(SUBSTITUTE(TRIM(IF(LEFT(DJ3,3)="CLG"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6),LEFT(IF(SUM(LEN(DJ3)-LEN(SUBSTITUTE(DJ3,{"0","1","2","3","4","5","6","7","8","9"},"")))&gt;0,SUMPRODUCT(MID(0&amp;DJ3,LARGE(INDEX(ISNUMBER(--MID(DJ3,ROW(INDIRECT("$1:$"&amp;LEN(DJ3))),1))*ROW(INDIRECT("$1:$"&amp;LEN(DJ3))),0),ROW(INDIRECT("$1:$"&amp;LEN(DJ3))))+1,1)*10^ROW(INDIRECT("$1:$"&amp;LEN(DJ3)))/10),""),12))),".",""))</f>
        <v>0</v>
      </c>
      <c r="DH3" s="168">
        <f>+DB3</f>
        <v>0</v>
      </c>
      <c r="DI3" s="168" t="e">
        <f>+IF(DE3=0,"Suspance Payment","Suspance Receipt")</f>
        <v>#VALUE!</v>
      </c>
      <c r="DJ3" s="169">
        <f>+D3</f>
        <v>0</v>
      </c>
      <c r="DK3" s="17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3" t="s">
        <v>278</v>
      </c>
      <c r="B4" s="193" t="s">
        <v>235</v>
      </c>
      <c r="C4" s="161" t="s">
        <v>237</v>
      </c>
      <c r="D4" s="161" t="s">
        <v>236</v>
      </c>
      <c r="E4" s="161" t="s">
        <v>238</v>
      </c>
      <c r="F4" s="194" t="s">
        <v>239</v>
      </c>
      <c r="DA4" s="38" t="str">
        <f>+DA3</f>
        <v xml:space="preserve">Union Bank </v>
      </c>
    </row>
    <row r="22" ht="15" customHeight="1"/>
  </sheetData>
  <sheetProtection algorithmName="SHA-512" hashValue="JJL9wIsaV6wXOw/6pPkHRG3rvgY9nPLaJEXFGOFmoPfJpbFqbeRsOnzP/s79f1mhumct9bm2NEepRV3P0/EZrQ==" saltValue="nULcX+H7JTKXsnJBolid5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7"/>
    <protectedRange algorithmName="SHA-512" hashValue="FeHjunJeBmEIe1Z+x4LSLD0xeXKoeHqEB4mLNgYC3pUDxBFAiT2e1scH7F48tQXpPGOh+9Z9iw2K5jb0kUxFkQ==" saltValue="Arxg+XESKZddo6Y2q+NDbg==" spinCount="100000" sqref="DD3:DF3" name="Range1_1_4"/>
    <protectedRange algorithmName="SHA-512" hashValue="FeHjunJeBmEIe1Z+x4LSLD0xeXKoeHqEB4mLNgYC3pUDxBFAiT2e1scH7F48tQXpPGOh+9Z9iw2K5jb0kUxFkQ==" saltValue="Arxg+XESKZddo6Y2q+NDbg==" spinCount="100000" sqref="DI3" name="Range1_2_4"/>
    <protectedRange algorithmName="SHA-512" hashValue="FeHjunJeBmEIe1Z+x4LSLD0xeXKoeHqEB4mLNgYC3pUDxBFAiT2e1scH7F48tQXpPGOh+9Z9iw2K5jb0kUxFkQ==" saltValue="Arxg+XESKZddo6Y2q+NDbg==" spinCount="100000" sqref="DK3" name="Range1_3_4"/>
    <protectedRange algorithmName="SHA-512" hashValue="FeHjunJeBmEIe1Z+x4LSLD0xeXKoeHqEB4mLNgYC3pUDxBFAiT2e1scH7F48tQXpPGOh+9Z9iw2K5jb0kUxFkQ==" saltValue="Arxg+XESKZddo6Y2q+NDbg==" spinCount="100000" sqref="DC3" name="Range1_4"/>
  </protectedRanges>
  <conditionalFormatting sqref="E3">
    <cfRule type="cellIs" dxfId="45" priority="11" operator="equal">
      <formula>#N/A</formula>
    </cfRule>
  </conditionalFormatting>
  <conditionalFormatting sqref="DG2">
    <cfRule type="cellIs" dxfId="44" priority="10" operator="equal">
      <formula>#N/A</formula>
    </cfRule>
  </conditionalFormatting>
  <conditionalFormatting sqref="DH2:DI2">
    <cfRule type="cellIs" dxfId="43" priority="9" operator="equal">
      <formula>#N/A</formula>
    </cfRule>
  </conditionalFormatting>
  <conditionalFormatting sqref="I1:I2">
    <cfRule type="cellIs" dxfId="42" priority="8" operator="equal">
      <formula>#N/A</formula>
    </cfRule>
  </conditionalFormatting>
  <conditionalFormatting sqref="H1">
    <cfRule type="cellIs" dxfId="41" priority="7" operator="equal">
      <formula>#N/A</formula>
    </cfRule>
  </conditionalFormatting>
  <conditionalFormatting sqref="E1">
    <cfRule type="cellIs" dxfId="40" priority="6" operator="equal">
      <formula>#N/A</formula>
    </cfRule>
  </conditionalFormatting>
  <conditionalFormatting sqref="I1">
    <cfRule type="containsText" dxfId="39" priority="4" operator="containsText" text="All Data Import Successfully">
      <formula>NOT(ISERROR(SEARCH("All Data Import Successfully",I1)))</formula>
    </cfRule>
    <cfRule type="containsText" dxfId="38" priority="5" operator="containsText" text="Difference Entry">
      <formula>NOT(ISERROR(SEARCH("Difference Entry",I1)))</formula>
    </cfRule>
  </conditionalFormatting>
  <conditionalFormatting sqref="E2:G2">
    <cfRule type="cellIs" dxfId="37" priority="3" operator="equal">
      <formula>#N/A</formula>
    </cfRule>
  </conditionalFormatting>
  <conditionalFormatting sqref="H2">
    <cfRule type="cellIs" dxfId="36" priority="2" operator="equal">
      <formula>#N/A</formula>
    </cfRule>
  </conditionalFormatting>
  <conditionalFormatting sqref="I2">
    <cfRule type="cellIs" dxfId="35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Sheet15"/>
  <dimension ref="A1:DZ4"/>
  <sheetViews>
    <sheetView workbookViewId="0">
      <selection activeCell="D23" sqref="D23"/>
    </sheetView>
  </sheetViews>
  <sheetFormatPr defaultRowHeight="15"/>
  <cols>
    <col min="1" max="2" width="25.42578125" style="6" customWidth="1"/>
    <col min="3" max="3" width="35.7109375" style="6" customWidth="1"/>
    <col min="4" max="9" width="25.4257812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53.25" customHeight="1">
      <c r="A1" s="1"/>
      <c r="B1" s="1"/>
      <c r="C1" s="2"/>
      <c r="D1" s="1"/>
      <c r="E1" s="32" t="s">
        <v>0</v>
      </c>
      <c r="F1" s="33" t="s">
        <v>1</v>
      </c>
      <c r="G1" s="34" t="s">
        <v>2</v>
      </c>
      <c r="H1" s="35" t="s">
        <v>3</v>
      </c>
      <c r="I1" s="36" t="s">
        <v>4</v>
      </c>
      <c r="L1" s="4"/>
      <c r="M1" s="1"/>
      <c r="N1" s="5"/>
      <c r="O1" s="5"/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16" t="s">
        <v>5</v>
      </c>
      <c r="B2" s="16" t="s">
        <v>6</v>
      </c>
      <c r="C2" s="16"/>
      <c r="D2" s="22" t="s">
        <v>6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5" t="str">
        <f>+A3</f>
        <v>The Varachha Co-op. Bank A/c.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>
      <c r="A3" s="17" t="s">
        <v>102</v>
      </c>
      <c r="B3" s="18"/>
      <c r="C3" s="17"/>
      <c r="D3" s="17"/>
      <c r="E3" s="19"/>
      <c r="F3" s="17"/>
      <c r="G3" s="20"/>
      <c r="H3" s="21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>The Varachha Co-op. Bank A/c.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IF(D3="",VALUE("0"),VALUE(SUBSTITUTE((D3),",","")))</f>
        <v>0</v>
      </c>
      <c r="DE3" s="26">
        <f>IF(E3="",VALUE("0"),VALUE(SUBSTITUTE((E3),",","")))</f>
        <v>0</v>
      </c>
      <c r="DF3" s="26" t="e">
        <f>IF(F3=" ","",VALUE(SUBSTITUTE((SUBSTITUTE((F3),"Cr.","")),",","")))</f>
        <v>#VALUE!</v>
      </c>
      <c r="DG3" s="27" t="str">
        <f ca="1">(SUBSTITUTE(TRIM(IF(LEFT(B3,3)="CLG"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6),LEFT(IF(SUM(LEN(B3)-LEN(SUBSTITUTE(B3,{"0","1","2","3","4","5","6","7","8","9"},"")))&gt;0,SUMPRODUCT(MID(0&amp;B3,LARGE(INDEX(ISNUMBER(--MID(B3,ROW(INDIRECT("$1:$"&amp;LEN(B3))),1))*ROW(INDIRECT("$1:$"&amp;LEN(B3))),0),ROW(INDIRECT("$1:$"&amp;LEN(B3))))+1,1)*10^ROW(INDIRECT("$1:$"&amp;LEN(B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>
      <c r="A4" s="49" t="s">
        <v>32</v>
      </c>
      <c r="B4" s="49" t="s">
        <v>33</v>
      </c>
      <c r="C4" s="49" t="s">
        <v>99</v>
      </c>
      <c r="D4" s="49" t="s">
        <v>100</v>
      </c>
      <c r="E4" s="49" t="s">
        <v>22</v>
      </c>
      <c r="F4" s="49" t="s">
        <v>101</v>
      </c>
      <c r="DA4" s="38" t="str">
        <f>+DA3</f>
        <v>The Varachha Co-op. Bank A/c.</v>
      </c>
    </row>
  </sheetData>
  <sheetProtection algorithmName="SHA-512" hashValue="w9kmCGReYpSBhnjGpfx3gEyeIU5h3Uo2k0rMuC3z3DMqpb9HtUkF6oJx1ZympOXHHjAC3GRtWjSI0gb9lfNKMg==" saltValue="yi9XJ/tlqH+1oblZRFtMsg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</protectedRanges>
  <conditionalFormatting sqref="E3 I1:I2">
    <cfRule type="cellIs" dxfId="34" priority="10" operator="equal">
      <formula>#N/A</formula>
    </cfRule>
  </conditionalFormatting>
  <conditionalFormatting sqref="H1">
    <cfRule type="cellIs" dxfId="33" priority="9" operator="equal">
      <formula>#N/A</formula>
    </cfRule>
  </conditionalFormatting>
  <conditionalFormatting sqref="E1">
    <cfRule type="cellIs" dxfId="32" priority="8" operator="equal">
      <formula>#N/A</formula>
    </cfRule>
  </conditionalFormatting>
  <conditionalFormatting sqref="I1">
    <cfRule type="containsText" dxfId="31" priority="6" operator="containsText" text="All Data Import Successfully">
      <formula>NOT(ISERROR(SEARCH("All Data Import Successfully",I1)))</formula>
    </cfRule>
    <cfRule type="containsText" dxfId="30" priority="7" operator="containsText" text="Difference Entry">
      <formula>NOT(ISERROR(SEARCH("Difference Entry",I1)))</formula>
    </cfRule>
  </conditionalFormatting>
  <conditionalFormatting sqref="DG2">
    <cfRule type="cellIs" dxfId="29" priority="5" operator="equal">
      <formula>#N/A</formula>
    </cfRule>
  </conditionalFormatting>
  <conditionalFormatting sqref="DH2:DI2">
    <cfRule type="cellIs" dxfId="28" priority="4" operator="equal">
      <formula>#N/A</formula>
    </cfRule>
  </conditionalFormatting>
  <conditionalFormatting sqref="E2:G2">
    <cfRule type="cellIs" dxfId="27" priority="3" operator="equal">
      <formula>#N/A</formula>
    </cfRule>
  </conditionalFormatting>
  <conditionalFormatting sqref="H2">
    <cfRule type="cellIs" dxfId="26" priority="2" operator="equal">
      <formula>#N/A</formula>
    </cfRule>
  </conditionalFormatting>
  <conditionalFormatting sqref="I2">
    <cfRule type="cellIs" dxfId="25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47">
    <tabColor theme="8" tint="0.79998168889431442"/>
  </sheetPr>
  <dimension ref="A1:DZ4"/>
  <sheetViews>
    <sheetView showRuler="0" workbookViewId="0">
      <selection activeCell="E17" sqref="E17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212</v>
      </c>
      <c r="T1" s="92">
        <v>7</v>
      </c>
      <c r="U1" s="92" t="s">
        <v>196</v>
      </c>
      <c r="V1" s="92" t="s">
        <v>180</v>
      </c>
      <c r="W1" s="92" t="s">
        <v>171</v>
      </c>
      <c r="X1" s="99" t="s">
        <v>6</v>
      </c>
      <c r="Y1" s="99" t="s">
        <v>6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">
        <v>5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286</v>
      </c>
      <c r="B3" s="56"/>
      <c r="C3" s="55"/>
      <c r="D3" s="55"/>
      <c r="E3" s="57"/>
      <c r="F3" s="55"/>
      <c r="G3" s="58"/>
      <c r="H3" s="21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+$A$3</f>
        <v xml:space="preserve">The Varachha Co.Op.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IF(D3="",VALUE("0"),VALUE(SUBSTITUTE((D3),",","")))</f>
        <v>0</v>
      </c>
      <c r="DE3" s="26">
        <f>IF(E3="",VALUE("0"),VALUE(SUBSTITUTE((E3),",","")))</f>
        <v>0</v>
      </c>
      <c r="DF3" s="26" t="str">
        <f>IF(F3="","",VALUE(SUBSTITUTE(SUBSTITUTE((F3),",",""),"CR","")))</f>
        <v/>
      </c>
      <c r="DG3" s="27" t="str">
        <f ca="1">(SUBSTITUTE(TRIM(IF(LEFT(C3,3)="CLG"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6),LEFT(IF(SUM(LEN(C3)-LEN(SUBSTITUTE(C3,{"0","1","2","3","4","5","6","7","8","9"},"")))&gt;0,SUMPRODUCT(MID(0&amp;C3,LARGE(INDEX(ISNUMBER(--MID(C3,ROW(INDIRECT("$1:$"&amp;LEN(C3))),1))*ROW(INDIRECT("$1:$"&amp;LEN(C3))),0),ROW(INDIRECT("$1:$"&amp;LEN(C3))))+1,1)*10^ROW(INDIRECT("$1:$"&amp;LEN(C3)))/10),""),12))),".",""))</f>
        <v/>
      </c>
      <c r="DH3" s="28" t="e">
        <f>+VALUE(A3)</f>
        <v>#VALUE!</v>
      </c>
      <c r="DI3" s="28" t="str">
        <f>+IF(DE3=0,"Suspance Payment","Suspance Receipt")</f>
        <v>Suspance Payment</v>
      </c>
      <c r="DJ3" s="39">
        <f>+B3</f>
        <v>0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15.75" thickBot="1">
      <c r="A4" s="195" t="s">
        <v>280</v>
      </c>
      <c r="B4" s="196" t="s">
        <v>281</v>
      </c>
      <c r="C4" s="196" t="s">
        <v>282</v>
      </c>
      <c r="D4" s="196" t="s">
        <v>283</v>
      </c>
      <c r="E4" s="196" t="s">
        <v>284</v>
      </c>
      <c r="F4" s="196" t="s">
        <v>285</v>
      </c>
      <c r="DA4" s="38" t="str">
        <f>+DA3</f>
        <v xml:space="preserve">The Varachha Co.Op. Bank </v>
      </c>
    </row>
  </sheetData>
  <sheetProtection algorithmName="SHA-512" hashValue="jhz6SQM4ow4Yz911JeCUIvYW5hFPyyCYhuNKfbJ10m5q190yOCD6ez9qqQEInj0Ws28/kRtBJNqm0AkQK3FCwA==" saltValue="kNoZiIJvm5wlwEUVNu+XfA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H3 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24" priority="11" operator="equal">
      <formula>#N/A</formula>
    </cfRule>
  </conditionalFormatting>
  <conditionalFormatting sqref="DG2">
    <cfRule type="cellIs" dxfId="23" priority="10" operator="equal">
      <formula>#N/A</formula>
    </cfRule>
  </conditionalFormatting>
  <conditionalFormatting sqref="DH2:DI2">
    <cfRule type="cellIs" dxfId="22" priority="9" operator="equal">
      <formula>#N/A</formula>
    </cfRule>
  </conditionalFormatting>
  <conditionalFormatting sqref="I1:I2">
    <cfRule type="cellIs" dxfId="21" priority="8" operator="equal">
      <formula>#N/A</formula>
    </cfRule>
  </conditionalFormatting>
  <conditionalFormatting sqref="H1">
    <cfRule type="cellIs" dxfId="20" priority="7" operator="equal">
      <formula>#N/A</formula>
    </cfRule>
  </conditionalFormatting>
  <conditionalFormatting sqref="E1">
    <cfRule type="cellIs" dxfId="19" priority="6" operator="equal">
      <formula>#N/A</formula>
    </cfRule>
  </conditionalFormatting>
  <conditionalFormatting sqref="I1">
    <cfRule type="containsText" dxfId="18" priority="4" operator="containsText" text="All Data Import Successfully">
      <formula>NOT(ISERROR(SEARCH("All Data Import Successfully",I1)))</formula>
    </cfRule>
    <cfRule type="containsText" dxfId="17" priority="5" operator="containsText" text="Difference Entry">
      <formula>NOT(ISERROR(SEARCH("Difference Entry",I1)))</formula>
    </cfRule>
  </conditionalFormatting>
  <conditionalFormatting sqref="E2:G2">
    <cfRule type="cellIs" dxfId="16" priority="3" operator="equal">
      <formula>#N/A</formula>
    </cfRule>
  </conditionalFormatting>
  <conditionalFormatting sqref="H2">
    <cfRule type="cellIs" dxfId="15" priority="2" operator="equal">
      <formula>#N/A</formula>
    </cfRule>
  </conditionalFormatting>
  <conditionalFormatting sqref="I2">
    <cfRule type="cellIs" dxfId="14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9"/>
  <dimension ref="A1:DZ4"/>
  <sheetViews>
    <sheetView showRuler="0" workbookViewId="0">
      <selection activeCell="A5" sqref="A5"/>
    </sheetView>
  </sheetViews>
  <sheetFormatPr defaultRowHeight="15"/>
  <cols>
    <col min="1" max="9" width="25.7109375" style="6" customWidth="1"/>
    <col min="10" max="10" width="17.7109375" style="6" customWidth="1"/>
    <col min="11" max="104" width="9.140625" style="6"/>
    <col min="105" max="115" width="24.7109375" style="6" customWidth="1"/>
    <col min="116" max="116" width="10.5703125" style="6" bestFit="1" customWidth="1"/>
    <col min="117" max="16384" width="9.140625" style="6"/>
  </cols>
  <sheetData>
    <row r="1" spans="1:130" ht="45" customHeight="1">
      <c r="A1" s="97"/>
      <c r="B1" s="97"/>
      <c r="C1" s="97"/>
      <c r="D1" s="97"/>
      <c r="E1" s="86" t="s">
        <v>0</v>
      </c>
      <c r="F1" s="87" t="s">
        <v>1</v>
      </c>
      <c r="G1" s="88" t="s">
        <v>2</v>
      </c>
      <c r="H1" s="89" t="s">
        <v>3</v>
      </c>
      <c r="I1" s="90" t="s">
        <v>4</v>
      </c>
      <c r="J1" s="91" t="s">
        <v>6</v>
      </c>
      <c r="K1" s="91" t="s">
        <v>6</v>
      </c>
      <c r="L1" s="91" t="s">
        <v>6</v>
      </c>
      <c r="M1" s="91" t="s">
        <v>6</v>
      </c>
      <c r="N1" s="91" t="s">
        <v>6</v>
      </c>
      <c r="O1" s="91" t="s">
        <v>6</v>
      </c>
      <c r="P1" s="91" t="s">
        <v>6</v>
      </c>
      <c r="Q1" s="91" t="s">
        <v>6</v>
      </c>
      <c r="R1" s="91" t="s">
        <v>6</v>
      </c>
      <c r="S1" s="92" t="s">
        <v>202</v>
      </c>
      <c r="T1" s="92">
        <v>7</v>
      </c>
      <c r="U1" s="92" t="s">
        <v>180</v>
      </c>
      <c r="V1" s="92" t="s">
        <v>171</v>
      </c>
      <c r="W1" s="92" t="s">
        <v>172</v>
      </c>
      <c r="X1" s="99" t="s">
        <v>6</v>
      </c>
      <c r="Y1" s="99">
        <v>17</v>
      </c>
      <c r="Z1" s="92">
        <v>0</v>
      </c>
      <c r="AH1" s="7"/>
      <c r="AL1" s="7"/>
      <c r="BZ1" s="8"/>
      <c r="DA1" s="37">
        <v>1</v>
      </c>
      <c r="DB1" s="6">
        <v>2</v>
      </c>
      <c r="DC1" s="37">
        <v>3</v>
      </c>
      <c r="DE1" s="37"/>
      <c r="DF1" s="6">
        <v>6</v>
      </c>
      <c r="DG1" s="37">
        <v>7</v>
      </c>
      <c r="DH1" s="6">
        <v>8</v>
      </c>
      <c r="DI1" s="37">
        <v>9</v>
      </c>
      <c r="DJ1" s="6">
        <v>10</v>
      </c>
    </row>
    <row r="2" spans="1:130" ht="15.75">
      <c r="A2" s="93" t="s">
        <v>5</v>
      </c>
      <c r="B2" s="93" t="s">
        <v>6</v>
      </c>
      <c r="C2" s="93"/>
      <c r="D2" s="93" t="s">
        <v>170</v>
      </c>
      <c r="E2" s="10">
        <f>+COUNTA(A:A)-3</f>
        <v>0</v>
      </c>
      <c r="F2" s="11">
        <f>+COUNTIF($DE:$DE,"&gt;"&amp;0)</f>
        <v>0</v>
      </c>
      <c r="G2" s="11">
        <f>+COUNTIF($DD:$DD,"&gt;"&amp;0)</f>
        <v>0</v>
      </c>
      <c r="H2" s="12">
        <f>+F2+G2</f>
        <v>0</v>
      </c>
      <c r="I2" s="12">
        <f>+E2-H2</f>
        <v>0</v>
      </c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CZ2" s="5"/>
      <c r="DA2" s="13" t="str">
        <f>+A3</f>
        <v xml:space="preserve">Yesh Bank </v>
      </c>
      <c r="DB2" s="13" t="s">
        <v>7</v>
      </c>
      <c r="DC2" s="13" t="s">
        <v>8</v>
      </c>
      <c r="DD2" s="14" t="s">
        <v>9</v>
      </c>
      <c r="DE2" s="14" t="s">
        <v>10</v>
      </c>
      <c r="DF2" s="14" t="s">
        <v>11</v>
      </c>
      <c r="DG2" s="13" t="s">
        <v>12</v>
      </c>
      <c r="DH2" s="13" t="s">
        <v>13</v>
      </c>
      <c r="DI2" s="13" t="s">
        <v>14</v>
      </c>
      <c r="DJ2" s="15" t="s">
        <v>15</v>
      </c>
      <c r="DK2" s="9" t="s">
        <v>16</v>
      </c>
    </row>
    <row r="3" spans="1:130" ht="15.75" thickBot="1">
      <c r="A3" s="55" t="s">
        <v>71</v>
      </c>
      <c r="B3" s="56"/>
      <c r="C3" s="55"/>
      <c r="D3" s="55" t="s">
        <v>203</v>
      </c>
      <c r="E3" s="57"/>
      <c r="F3" s="55"/>
      <c r="G3" s="58"/>
      <c r="H3" s="21"/>
      <c r="I3" s="17"/>
      <c r="L3" s="6" t="s">
        <v>432</v>
      </c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DA3" s="23" t="str">
        <f>+DA2</f>
        <v xml:space="preserve">Yesh Bank </v>
      </c>
      <c r="DB3" s="24" t="e">
        <f>VALUE(A3)</f>
        <v>#VALUE!</v>
      </c>
      <c r="DC3" s="25" t="e">
        <f>+CONCATENATE(TEXT(DB3,"D"),"",TEXT(DB3,"MM"),"","/",SUBSTITUTE(DF3,",",""),"/",DK3)</f>
        <v>#VALUE!</v>
      </c>
      <c r="DD3" s="26">
        <f>IF(E3="",VALUE("0"),VALUE(SUBSTITUTE((E3),",","")))</f>
        <v>0</v>
      </c>
      <c r="DE3" s="26">
        <f>IF(F3="",VALUE("0"),VALUE(SUBSTITUTE((F3),",","")))</f>
        <v>0</v>
      </c>
      <c r="DF3" s="26" t="str">
        <f>IF(G3="","",VALUE(SUBSTITUTE((G3),",","")))</f>
        <v/>
      </c>
      <c r="DG3" s="27" t="str">
        <f ca="1">(SUBSTITUTE(TRIM(IF(LEFT(D3,3)="CLG"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6),LEFT(IF(SUM(LEN(D3)-LEN(SUBSTITUTE(D3,{"0","1","2","3","4","5","6","7","8","9"},"")))&gt;0,SUMPRODUCT(MID(0&amp;D3,LARGE(INDEX(ISNUMBER(--MID(D3,ROW(INDIRECT("$1:$"&amp;LEN(D3))),1))*ROW(INDIRECT("$1:$"&amp;LEN(D3))),0),ROW(INDIRECT("$1:$"&amp;LEN(D3))))+1,1)*10^ROW(INDIRECT("$1:$"&amp;LEN(D3)))/10),""),12))),".",""))</f>
        <v/>
      </c>
      <c r="DH3" s="42">
        <f>+VALUE(B3)</f>
        <v>0</v>
      </c>
      <c r="DI3" s="28" t="str">
        <f>+IF(DE3=0,"Suspance Payment","Suspance Receipt")</f>
        <v>Suspance Payment</v>
      </c>
      <c r="DJ3" s="39" t="str">
        <f>+D3</f>
        <v>C:\Users\ADITYA\Desktop\Ecomm\Bank Statement\yes bank cr.xls</v>
      </c>
      <c r="DK3" s="30" t="e">
        <f>+DK2+1</f>
        <v>#VALUE!</v>
      </c>
      <c r="DL3" s="31"/>
      <c r="DM3" s="31"/>
      <c r="DN3" s="31"/>
      <c r="DO3" s="31"/>
      <c r="DP3" s="31"/>
      <c r="DQ3" s="31"/>
      <c r="DR3" s="31"/>
      <c r="DS3" s="31"/>
      <c r="DT3" s="31"/>
      <c r="DU3" s="31"/>
      <c r="DV3" s="3"/>
      <c r="DW3" s="3"/>
      <c r="DX3" s="3"/>
      <c r="DY3" s="3"/>
      <c r="DZ3" s="3"/>
    </row>
    <row r="4" spans="1:130" ht="27" thickBot="1">
      <c r="A4" s="117" t="s">
        <v>25</v>
      </c>
      <c r="B4" s="118" t="s">
        <v>18</v>
      </c>
      <c r="C4" s="118" t="s">
        <v>67</v>
      </c>
      <c r="D4" s="118" t="s">
        <v>19</v>
      </c>
      <c r="E4" s="118" t="s">
        <v>68</v>
      </c>
      <c r="F4" s="118" t="s">
        <v>69</v>
      </c>
      <c r="G4" s="119" t="s">
        <v>70</v>
      </c>
      <c r="DA4" s="38" t="str">
        <f>+DA3</f>
        <v xml:space="preserve">Yesh Bank </v>
      </c>
    </row>
  </sheetData>
  <sheetProtection algorithmName="SHA-512" hashValue="VwFM3Lal9Kd+sRoTkNFh39W0Cmi4GP9qUQUzBFGhFcyaSlcMJq9q3nOiiScWr0wxcDIJWUUBTCLamGMHc3hASA==" saltValue="PJceeGhGoyAXyL1lNc3G7w==" spinCount="100000" sheet="1" objects="1" scenarios="1"/>
  <protectedRanges>
    <protectedRange algorithmName="SHA-512" hashValue="FeHjunJeBmEIe1Z+x4LSLD0xeXKoeHqEB4mLNgYC3pUDxBFAiT2e1scH7F48tQXpPGOh+9Z9iw2K5jb0kUxFkQ==" saltValue="Arxg+XESKZddo6Y2q+NDbg==" spinCount="100000" sqref="DJ3 DA3:DB3" name="Range1_5"/>
    <protectedRange algorithmName="SHA-512" hashValue="FeHjunJeBmEIe1Z+x4LSLD0xeXKoeHqEB4mLNgYC3pUDxBFAiT2e1scH7F48tQXpPGOh+9Z9iw2K5jb0kUxFkQ==" saltValue="Arxg+XESKZddo6Y2q+NDbg==" spinCount="100000" sqref="DD3:DF3" name="Range1_1_2"/>
    <protectedRange algorithmName="SHA-512" hashValue="FeHjunJeBmEIe1Z+x4LSLD0xeXKoeHqEB4mLNgYC3pUDxBFAiT2e1scH7F48tQXpPGOh+9Z9iw2K5jb0kUxFkQ==" saltValue="Arxg+XESKZddo6Y2q+NDbg==" spinCount="100000" sqref="DI3" name="Range1_2_2"/>
    <protectedRange algorithmName="SHA-512" hashValue="FeHjunJeBmEIe1Z+x4LSLD0xeXKoeHqEB4mLNgYC3pUDxBFAiT2e1scH7F48tQXpPGOh+9Z9iw2K5jb0kUxFkQ==" saltValue="Arxg+XESKZddo6Y2q+NDbg==" spinCount="100000" sqref="DK3" name="Range1_3_2"/>
    <protectedRange algorithmName="SHA-512" hashValue="FeHjunJeBmEIe1Z+x4LSLD0xeXKoeHqEB4mLNgYC3pUDxBFAiT2e1scH7F48tQXpPGOh+9Z9iw2K5jb0kUxFkQ==" saltValue="Arxg+XESKZddo6Y2q+NDbg==" spinCount="100000" sqref="DC3" name="Range1_7"/>
  </protectedRanges>
  <conditionalFormatting sqref="E3">
    <cfRule type="cellIs" dxfId="13" priority="18" operator="equal">
      <formula>#N/A</formula>
    </cfRule>
  </conditionalFormatting>
  <conditionalFormatting sqref="DG2">
    <cfRule type="cellIs" dxfId="12" priority="13" operator="equal">
      <formula>#N/A</formula>
    </cfRule>
  </conditionalFormatting>
  <conditionalFormatting sqref="DH2:DI2">
    <cfRule type="cellIs" dxfId="11" priority="12" operator="equal">
      <formula>#N/A</formula>
    </cfRule>
  </conditionalFormatting>
  <conditionalFormatting sqref="I1:I2">
    <cfRule type="cellIs" dxfId="10" priority="8" operator="equal">
      <formula>#N/A</formula>
    </cfRule>
  </conditionalFormatting>
  <conditionalFormatting sqref="H1">
    <cfRule type="cellIs" dxfId="9" priority="7" operator="equal">
      <formula>#N/A</formula>
    </cfRule>
  </conditionalFormatting>
  <conditionalFormatting sqref="E1">
    <cfRule type="cellIs" dxfId="8" priority="6" operator="equal">
      <formula>#N/A</formula>
    </cfRule>
  </conditionalFormatting>
  <conditionalFormatting sqref="I1">
    <cfRule type="containsText" dxfId="7" priority="4" operator="containsText" text="All Data Import Successfully">
      <formula>NOT(ISERROR(SEARCH("All Data Import Successfully",I1)))</formula>
    </cfRule>
    <cfRule type="containsText" dxfId="6" priority="5" operator="containsText" text="Difference Entry">
      <formula>NOT(ISERROR(SEARCH("Difference Entry",I1)))</formula>
    </cfRule>
  </conditionalFormatting>
  <conditionalFormatting sqref="E2:G2">
    <cfRule type="cellIs" dxfId="5" priority="3" operator="equal">
      <formula>#N/A</formula>
    </cfRule>
  </conditionalFormatting>
  <conditionalFormatting sqref="H2">
    <cfRule type="cellIs" dxfId="4" priority="2" operator="equal">
      <formula>#N/A</formula>
    </cfRule>
  </conditionalFormatting>
  <conditionalFormatting sqref="I2">
    <cfRule type="cellIs" dxfId="3" priority="1" operator="equal">
      <formula>0</formula>
    </cfRule>
  </conditionalFormatting>
  <pageMargins left="0.7" right="0.7" top="0.75" bottom="0.75" header="0.3" footer="0.3"/>
  <pageSetup orientation="portrait" verticalDpi="0" r:id="rId1"/>
  <drawing r:id="rId2"/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Sheet12">
    <tabColor theme="9" tint="0.59999389629810485"/>
  </sheetPr>
  <dimension ref="A1:EE77"/>
  <sheetViews>
    <sheetView showRuler="0" topLeftCell="A43" workbookViewId="0">
      <selection activeCell="H58" sqref="H58"/>
    </sheetView>
  </sheetViews>
  <sheetFormatPr defaultRowHeight="15"/>
  <cols>
    <col min="5" max="5" width="6.85546875" customWidth="1"/>
    <col min="6" max="6" width="19" customWidth="1"/>
    <col min="7" max="7" width="6.85546875" customWidth="1"/>
    <col min="9" max="9" width="22.7109375" style="127" bestFit="1" customWidth="1"/>
    <col min="10" max="10" width="9.140625" style="127"/>
    <col min="11" max="11" width="19.85546875" style="296" bestFit="1" customWidth="1"/>
    <col min="12" max="12" width="21.140625" customWidth="1"/>
    <col min="13" max="13" width="19.28515625" customWidth="1"/>
    <col min="14" max="14" width="27.42578125" customWidth="1"/>
    <col min="15" max="15" width="27" customWidth="1"/>
  </cols>
  <sheetData>
    <row r="1" spans="1:135" ht="22.5">
      <c r="N1" s="346" t="s">
        <v>409</v>
      </c>
      <c r="O1" s="347"/>
    </row>
    <row r="2" spans="1:135">
      <c r="M2" s="175"/>
      <c r="N2" s="243"/>
      <c r="O2" s="244"/>
      <c r="BA2" t="s">
        <v>173</v>
      </c>
    </row>
    <row r="3" spans="1:135" ht="15.75" thickBot="1">
      <c r="L3" t="s">
        <v>432</v>
      </c>
      <c r="N3" s="243"/>
      <c r="O3" s="244"/>
      <c r="BA3" t="s">
        <v>174</v>
      </c>
    </row>
    <row r="4" spans="1:135">
      <c r="E4" s="249"/>
      <c r="F4" s="250"/>
      <c r="G4" s="251"/>
      <c r="N4" s="243"/>
      <c r="O4" s="245"/>
      <c r="BA4" t="s">
        <v>175</v>
      </c>
    </row>
    <row r="5" spans="1:135">
      <c r="A5" s="6"/>
      <c r="B5" s="6"/>
      <c r="C5" s="6"/>
      <c r="D5" s="6"/>
      <c r="E5" s="252"/>
      <c r="F5" s="253"/>
      <c r="G5" s="254"/>
      <c r="H5" s="6"/>
      <c r="I5" s="5"/>
      <c r="J5" s="5"/>
      <c r="K5" s="8"/>
      <c r="L5" s="6"/>
      <c r="M5" s="6"/>
      <c r="N5" s="243"/>
      <c r="O5" s="244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 t="s">
        <v>176</v>
      </c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</row>
    <row r="6" spans="1:135">
      <c r="A6" s="6"/>
      <c r="B6" s="6"/>
      <c r="C6" s="6"/>
      <c r="D6" s="6"/>
      <c r="E6" s="252"/>
      <c r="F6" s="253"/>
      <c r="G6" s="254"/>
      <c r="H6" s="6"/>
      <c r="I6" s="5"/>
      <c r="J6" s="5"/>
      <c r="K6" s="8"/>
      <c r="L6" s="6"/>
      <c r="M6" s="6"/>
      <c r="N6" s="246" t="s">
        <v>398</v>
      </c>
      <c r="O6" s="247">
        <v>29505</v>
      </c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  <c r="AS6" s="6"/>
      <c r="AT6" s="6"/>
      <c r="AU6" s="6"/>
      <c r="AV6" s="6"/>
      <c r="AW6" s="6"/>
      <c r="AX6" s="6"/>
      <c r="AY6" s="6"/>
      <c r="AZ6" s="6"/>
      <c r="BA6" s="6"/>
      <c r="BB6" s="6"/>
      <c r="BC6" s="6"/>
      <c r="BD6" s="6"/>
      <c r="BE6" s="6"/>
      <c r="BF6" s="6"/>
      <c r="BG6" s="6"/>
      <c r="BH6" s="6"/>
      <c r="BI6" s="6"/>
      <c r="BJ6" s="6"/>
      <c r="BK6" s="6"/>
      <c r="BL6" s="6"/>
      <c r="BM6" s="6"/>
      <c r="BN6" s="6"/>
      <c r="BO6" s="6"/>
      <c r="BP6" s="6"/>
      <c r="BQ6" s="6"/>
      <c r="BR6" s="6"/>
      <c r="BS6" s="6"/>
      <c r="BT6" s="6"/>
      <c r="BU6" s="6"/>
      <c r="BV6" s="6"/>
      <c r="BW6" s="6"/>
      <c r="BX6" s="6"/>
      <c r="BY6" s="6"/>
      <c r="BZ6" s="6"/>
      <c r="CA6" s="6"/>
      <c r="CB6" s="6"/>
      <c r="CC6" s="6"/>
      <c r="CD6" s="6"/>
      <c r="CE6" s="6"/>
      <c r="CF6" s="6"/>
      <c r="CG6" s="6"/>
      <c r="CH6" s="6"/>
      <c r="CI6" s="6"/>
      <c r="CJ6" s="6"/>
      <c r="CK6" s="6"/>
      <c r="CL6" s="6"/>
      <c r="CM6" s="6"/>
      <c r="CN6" s="6"/>
      <c r="CO6" s="6"/>
      <c r="CP6" s="6"/>
      <c r="CQ6" s="6"/>
      <c r="CR6" s="6"/>
      <c r="CS6" s="6"/>
      <c r="CT6" s="6"/>
      <c r="CU6" s="6"/>
      <c r="CV6" s="6"/>
      <c r="CW6" s="6"/>
      <c r="CX6" s="6"/>
      <c r="CY6" s="6"/>
      <c r="CZ6" s="6"/>
      <c r="DA6" s="6"/>
      <c r="DB6" s="6"/>
      <c r="DC6" s="6"/>
      <c r="DD6" s="6"/>
      <c r="DE6" s="6"/>
      <c r="DF6" s="6"/>
      <c r="DG6" s="6"/>
      <c r="DH6" s="6"/>
      <c r="DI6" s="6"/>
      <c r="DJ6" s="6"/>
      <c r="DK6" s="6"/>
      <c r="DL6" s="6"/>
      <c r="DM6" s="6"/>
      <c r="DN6" s="6"/>
      <c r="DO6" s="6"/>
      <c r="DP6" s="6"/>
      <c r="DQ6" s="6"/>
      <c r="DR6" s="6"/>
      <c r="DS6" s="6"/>
      <c r="DT6" s="6"/>
      <c r="DU6" s="6"/>
      <c r="DV6" s="6"/>
      <c r="DW6" s="6"/>
      <c r="DX6" s="6"/>
      <c r="DY6" s="6"/>
      <c r="DZ6" s="6"/>
      <c r="EA6" s="6"/>
      <c r="EB6" s="6"/>
      <c r="EC6" s="6"/>
      <c r="ED6" s="6"/>
      <c r="EE6" s="6"/>
    </row>
    <row r="7" spans="1:135">
      <c r="A7" s="6"/>
      <c r="B7" s="6"/>
      <c r="C7" s="6"/>
      <c r="D7" s="6"/>
      <c r="E7" s="252"/>
      <c r="F7" s="253"/>
      <c r="G7" s="254"/>
      <c r="H7" s="6"/>
      <c r="I7" s="5"/>
      <c r="J7" s="5"/>
      <c r="K7" s="8"/>
      <c r="L7" s="6" t="s">
        <v>396</v>
      </c>
      <c r="M7" s="6" t="b">
        <v>1</v>
      </c>
      <c r="N7" s="246" t="s">
        <v>399</v>
      </c>
      <c r="O7" s="247" t="s">
        <v>1121</v>
      </c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  <c r="BD7" s="6"/>
      <c r="BE7" s="6"/>
      <c r="BF7" s="6"/>
      <c r="BG7" s="6"/>
      <c r="BH7" s="6"/>
      <c r="BI7" s="6"/>
      <c r="BJ7" s="6"/>
      <c r="BK7" s="6"/>
      <c r="BL7" s="6"/>
      <c r="BM7" s="6"/>
      <c r="BN7" s="6"/>
      <c r="BO7" s="6"/>
      <c r="BP7" s="6"/>
      <c r="BQ7" s="6"/>
      <c r="BR7" s="6"/>
      <c r="BS7" s="6"/>
      <c r="BT7" s="6"/>
      <c r="BU7" s="6"/>
      <c r="BV7" s="6"/>
      <c r="BW7" s="6"/>
      <c r="BX7" s="6"/>
      <c r="BY7" s="6"/>
      <c r="BZ7" s="6"/>
      <c r="CA7" s="6"/>
      <c r="CB7" s="6"/>
      <c r="CC7" s="6"/>
      <c r="CD7" s="6"/>
      <c r="CE7" s="6"/>
      <c r="CF7" s="6"/>
      <c r="CG7" s="6"/>
      <c r="CH7" s="6"/>
      <c r="CI7" s="6"/>
      <c r="CJ7" s="6"/>
      <c r="CK7" s="6"/>
      <c r="CL7" s="6"/>
      <c r="CM7" s="6"/>
      <c r="CN7" s="6"/>
      <c r="CO7" s="6"/>
      <c r="CP7" s="6"/>
      <c r="CQ7" s="6"/>
      <c r="CR7" s="6"/>
      <c r="CS7" s="6"/>
      <c r="CT7" s="6"/>
      <c r="CU7" s="6"/>
      <c r="CV7" s="6"/>
      <c r="CW7" s="6"/>
      <c r="CX7" s="6"/>
      <c r="CY7" s="6"/>
      <c r="CZ7" s="6"/>
      <c r="DA7" s="6"/>
      <c r="DB7" s="6"/>
      <c r="DC7" s="6"/>
      <c r="DD7" s="6"/>
      <c r="DE7" s="6"/>
      <c r="DF7" s="6"/>
      <c r="DG7" s="6"/>
      <c r="DH7" s="6"/>
      <c r="DI7" s="6"/>
      <c r="DJ7" s="6"/>
      <c r="DK7" s="6"/>
      <c r="DL7" s="6"/>
      <c r="DM7" s="6"/>
      <c r="DN7" s="6"/>
      <c r="DO7" s="6"/>
      <c r="DP7" s="6"/>
      <c r="DQ7" s="6"/>
      <c r="DR7" s="6"/>
      <c r="DS7" s="6"/>
      <c r="DT7" s="6"/>
      <c r="DU7" s="6"/>
      <c r="DV7" s="6"/>
      <c r="DW7" s="6"/>
      <c r="DX7" s="6"/>
      <c r="DY7" s="6"/>
      <c r="DZ7" s="6"/>
      <c r="EA7" s="6"/>
      <c r="EB7" s="6"/>
      <c r="EC7" s="6"/>
      <c r="ED7" s="6"/>
      <c r="EE7" s="6"/>
    </row>
    <row r="8" spans="1:135">
      <c r="A8" s="6"/>
      <c r="B8" s="6"/>
      <c r="C8" s="6"/>
      <c r="D8" s="6"/>
      <c r="E8" s="252"/>
      <c r="F8" s="253"/>
      <c r="G8" s="254"/>
      <c r="H8" s="6"/>
      <c r="I8" s="5"/>
      <c r="J8" s="5"/>
      <c r="K8" s="8"/>
      <c r="L8" s="6" t="s">
        <v>397</v>
      </c>
      <c r="M8" s="6" t="b">
        <v>1</v>
      </c>
      <c r="N8" s="246" t="s">
        <v>400</v>
      </c>
      <c r="O8" s="247">
        <v>9173555942</v>
      </c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6"/>
      <c r="BW8" s="6"/>
      <c r="BX8" s="6"/>
      <c r="BY8" s="6"/>
      <c r="BZ8" s="6"/>
      <c r="CA8" s="6"/>
      <c r="CB8" s="6"/>
      <c r="CC8" s="6"/>
      <c r="CD8" s="6"/>
      <c r="CE8" s="6"/>
      <c r="CF8" s="6"/>
      <c r="CG8" s="6"/>
      <c r="CH8" s="6"/>
      <c r="CI8" s="6"/>
      <c r="CJ8" s="6"/>
      <c r="CK8" s="6"/>
      <c r="CL8" s="6"/>
      <c r="CM8" s="6"/>
      <c r="CN8" s="6"/>
      <c r="CO8" s="6"/>
      <c r="CP8" s="6"/>
      <c r="CQ8" s="6"/>
      <c r="CR8" s="6"/>
      <c r="CS8" s="6"/>
      <c r="CT8" s="6"/>
      <c r="CU8" s="6"/>
      <c r="CV8" s="6"/>
      <c r="CW8" s="6"/>
      <c r="CX8" s="6"/>
      <c r="CY8" s="6"/>
      <c r="CZ8" s="6"/>
      <c r="DA8" s="6"/>
      <c r="DB8" s="6"/>
      <c r="DC8" s="6"/>
      <c r="DD8" s="6"/>
      <c r="DE8" s="6"/>
      <c r="DF8" s="6"/>
      <c r="DG8" s="6"/>
      <c r="DH8" s="6"/>
      <c r="DI8" s="6"/>
      <c r="DJ8" s="6"/>
      <c r="DK8" s="6"/>
      <c r="DL8" s="6"/>
      <c r="DM8" s="6"/>
      <c r="DN8" s="6"/>
      <c r="DO8" s="6"/>
      <c r="DP8" s="6"/>
      <c r="DQ8" s="6"/>
      <c r="DR8" s="6"/>
      <c r="DS8" s="6"/>
      <c r="DT8" s="6"/>
      <c r="DU8" s="6"/>
      <c r="DV8" s="6"/>
      <c r="DW8" s="6"/>
      <c r="DX8" s="6"/>
      <c r="DY8" s="6"/>
      <c r="DZ8" s="6"/>
      <c r="EA8" s="6"/>
      <c r="EB8" s="6"/>
      <c r="EC8" s="6"/>
      <c r="ED8" s="6"/>
      <c r="EE8" s="6"/>
    </row>
    <row r="9" spans="1:135">
      <c r="A9" s="6"/>
      <c r="B9" s="6"/>
      <c r="C9" s="6"/>
      <c r="D9" s="6"/>
      <c r="E9" s="252"/>
      <c r="F9" s="253"/>
      <c r="G9" s="254"/>
      <c r="H9" s="6"/>
      <c r="I9" s="5"/>
      <c r="J9" s="5"/>
      <c r="K9" s="8"/>
      <c r="L9" s="6" t="s">
        <v>392</v>
      </c>
      <c r="M9" s="6" t="b">
        <v>0</v>
      </c>
      <c r="N9" s="246" t="s">
        <v>401</v>
      </c>
      <c r="O9" s="248" t="s">
        <v>1122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6"/>
      <c r="BK9" s="6"/>
      <c r="BL9" s="6"/>
      <c r="BM9" s="6"/>
      <c r="BN9" s="6"/>
      <c r="BO9" s="6"/>
      <c r="BP9" s="6"/>
      <c r="BQ9" s="6"/>
      <c r="BR9" s="6"/>
      <c r="BS9" s="6"/>
      <c r="BT9" s="6"/>
      <c r="BU9" s="6"/>
      <c r="BV9" s="6"/>
      <c r="BW9" s="6"/>
      <c r="BX9" s="6"/>
      <c r="BY9" s="6"/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6"/>
      <c r="DS9" s="6"/>
      <c r="DT9" s="6"/>
      <c r="DU9" s="6"/>
      <c r="DV9" s="6"/>
      <c r="DW9" s="6"/>
      <c r="DX9" s="6"/>
      <c r="DY9" s="6"/>
      <c r="DZ9" s="6"/>
      <c r="EA9" s="6"/>
      <c r="EB9" s="6"/>
      <c r="EC9" s="6"/>
      <c r="ED9" s="6"/>
      <c r="EE9" s="6"/>
    </row>
    <row r="10" spans="1:135">
      <c r="A10" s="6"/>
      <c r="B10" s="6"/>
      <c r="C10" s="6"/>
      <c r="D10" s="6"/>
      <c r="E10" s="252"/>
      <c r="F10" s="253"/>
      <c r="G10" s="254"/>
      <c r="H10" s="6"/>
      <c r="I10" s="5"/>
      <c r="J10" s="5"/>
      <c r="K10" s="8"/>
      <c r="L10" s="6" t="s">
        <v>354</v>
      </c>
      <c r="M10" s="6" t="b">
        <v>0</v>
      </c>
      <c r="N10" s="246" t="s">
        <v>402</v>
      </c>
      <c r="O10" s="247" t="s">
        <v>1123</v>
      </c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6"/>
      <c r="AS10" s="6"/>
      <c r="AT10" s="6"/>
      <c r="AU10" s="6"/>
      <c r="AV10" s="6"/>
      <c r="AW10" s="6"/>
      <c r="AX10" s="6"/>
      <c r="AY10" s="6"/>
      <c r="AZ10" s="6"/>
      <c r="BA10" s="6"/>
      <c r="BB10" s="6"/>
      <c r="BC10" s="6"/>
      <c r="BD10" s="6"/>
      <c r="BE10" s="6"/>
      <c r="BF10" s="6"/>
      <c r="BG10" s="6"/>
      <c r="BH10" s="6"/>
      <c r="BI10" s="6"/>
      <c r="BJ10" s="6"/>
      <c r="BK10" s="6"/>
      <c r="BL10" s="6"/>
      <c r="BM10" s="6"/>
      <c r="BN10" s="6"/>
      <c r="BO10" s="6"/>
      <c r="BP10" s="6"/>
      <c r="BQ10" s="6"/>
      <c r="BR10" s="6"/>
      <c r="BS10" s="6"/>
      <c r="BT10" s="6"/>
      <c r="BU10" s="6"/>
      <c r="BV10" s="6"/>
      <c r="BW10" s="6"/>
      <c r="BX10" s="6"/>
      <c r="BY10" s="6"/>
      <c r="BZ10" s="6"/>
      <c r="CA10" s="6"/>
      <c r="CB10" s="6"/>
      <c r="CC10" s="6"/>
      <c r="CD10" s="6"/>
      <c r="CE10" s="6"/>
      <c r="CF10" s="6"/>
      <c r="CG10" s="6"/>
      <c r="CH10" s="6"/>
      <c r="CI10" s="6"/>
      <c r="CJ10" s="6"/>
      <c r="CK10" s="6"/>
      <c r="CL10" s="6"/>
      <c r="CM10" s="6"/>
      <c r="CN10" s="6"/>
      <c r="CO10" s="6"/>
      <c r="CP10" s="6"/>
      <c r="CQ10" s="6"/>
      <c r="CR10" s="6"/>
      <c r="CS10" s="6"/>
      <c r="CT10" s="6"/>
      <c r="CU10" s="6"/>
      <c r="CV10" s="6"/>
      <c r="CW10" s="6"/>
      <c r="CX10" s="6"/>
      <c r="CY10" s="6"/>
      <c r="CZ10" s="6"/>
      <c r="DA10" s="6"/>
      <c r="DB10" s="6"/>
      <c r="DC10" s="6"/>
      <c r="DD10" s="6"/>
      <c r="DE10" s="6"/>
      <c r="DF10" s="6"/>
      <c r="DG10" s="6"/>
      <c r="DH10" s="6"/>
      <c r="DI10" s="6"/>
      <c r="DJ10" s="6"/>
      <c r="DK10" s="6"/>
      <c r="DL10" s="6"/>
      <c r="DM10" s="6"/>
      <c r="DN10" s="6"/>
      <c r="DO10" s="6"/>
      <c r="DP10" s="6"/>
      <c r="DQ10" s="6"/>
      <c r="DR10" s="6"/>
      <c r="DS10" s="6"/>
      <c r="DT10" s="6"/>
      <c r="DU10" s="6"/>
      <c r="DV10" s="6"/>
      <c r="DW10" s="6"/>
      <c r="DX10" s="6"/>
      <c r="DY10" s="6"/>
      <c r="DZ10" s="6"/>
      <c r="EA10" s="6"/>
      <c r="EB10" s="6"/>
      <c r="EC10" s="6"/>
      <c r="ED10" s="6"/>
      <c r="EE10" s="6"/>
    </row>
    <row r="11" spans="1:135">
      <c r="A11" s="6"/>
      <c r="B11" s="6"/>
      <c r="C11" s="6"/>
      <c r="D11" s="6"/>
      <c r="E11" s="252"/>
      <c r="F11" s="253"/>
      <c r="G11" s="254"/>
      <c r="H11" s="6"/>
      <c r="I11" s="5"/>
      <c r="J11" s="5"/>
      <c r="K11" s="8"/>
      <c r="L11" s="6" t="s">
        <v>1097</v>
      </c>
      <c r="M11" s="6" t="b">
        <v>0</v>
      </c>
      <c r="N11" s="246" t="s">
        <v>403</v>
      </c>
      <c r="O11" s="248">
        <v>45573</v>
      </c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6"/>
      <c r="AS11" s="6"/>
      <c r="AT11" s="6"/>
      <c r="AU11" s="6"/>
      <c r="AV11" s="6"/>
      <c r="AW11" s="6"/>
      <c r="AX11" s="6"/>
      <c r="AY11" s="6"/>
      <c r="AZ11" s="6"/>
      <c r="BA11" s="6"/>
      <c r="BB11" s="6"/>
      <c r="BC11" s="6"/>
      <c r="BD11" s="6"/>
      <c r="BE11" s="6"/>
      <c r="BF11" s="6"/>
      <c r="BG11" s="6"/>
      <c r="BH11" s="6"/>
      <c r="BI11" s="6"/>
      <c r="BJ11" s="6"/>
      <c r="BK11" s="6"/>
      <c r="BL11" s="6"/>
      <c r="BM11" s="6"/>
      <c r="BN11" s="6"/>
      <c r="BO11" s="6"/>
      <c r="BP11" s="6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U11" s="6"/>
      <c r="CV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K11" s="6"/>
      <c r="DL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</row>
    <row r="12" spans="1:135">
      <c r="A12" s="6"/>
      <c r="B12" s="6"/>
      <c r="C12" s="6"/>
      <c r="D12" s="6"/>
      <c r="E12" s="252"/>
      <c r="F12" s="253"/>
      <c r="G12" s="254"/>
      <c r="H12" s="6"/>
      <c r="I12" s="5"/>
      <c r="J12" s="5"/>
      <c r="K12" s="8"/>
      <c r="L12" s="6" t="s">
        <v>370</v>
      </c>
      <c r="M12" s="6" t="b">
        <v>1</v>
      </c>
      <c r="N12" s="246" t="s">
        <v>404</v>
      </c>
      <c r="O12" s="248">
        <v>46174</v>
      </c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6"/>
      <c r="AS12" s="6"/>
      <c r="AT12" s="6"/>
      <c r="AU12" s="6"/>
      <c r="AV12" s="6"/>
      <c r="AW12" s="6"/>
      <c r="AX12" s="6"/>
      <c r="AY12" s="6"/>
      <c r="AZ12" s="6"/>
      <c r="BA12" s="6"/>
      <c r="BB12" s="6"/>
      <c r="BC12" s="6"/>
      <c r="BD12" s="6"/>
      <c r="BE12" s="6"/>
      <c r="BF12" s="6"/>
      <c r="BG12" s="6"/>
      <c r="BH12" s="6"/>
      <c r="BI12" s="6"/>
      <c r="BJ12" s="6"/>
      <c r="BK12" s="6"/>
      <c r="BL12" s="6"/>
      <c r="BM12" s="6"/>
      <c r="BN12" s="6"/>
      <c r="BO12" s="6"/>
      <c r="BP12" s="6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U12" s="6"/>
      <c r="CV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K12" s="6"/>
      <c r="DL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</row>
    <row r="13" spans="1:135">
      <c r="A13" s="6"/>
      <c r="B13" s="6"/>
      <c r="C13" s="6"/>
      <c r="D13" s="6"/>
      <c r="E13" s="252"/>
      <c r="F13" s="253"/>
      <c r="G13" s="254"/>
      <c r="H13" s="6"/>
      <c r="I13" s="5"/>
      <c r="J13" s="5"/>
      <c r="K13" s="8"/>
      <c r="L13" s="6" t="s">
        <v>347</v>
      </c>
      <c r="M13" s="6" t="b">
        <v>0</v>
      </c>
      <c r="N13" s="246" t="s">
        <v>406</v>
      </c>
      <c r="O13" s="248" t="s">
        <v>408</v>
      </c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6"/>
      <c r="AS13" s="6"/>
      <c r="AT13" s="6"/>
      <c r="AU13" s="6"/>
      <c r="AV13" s="6"/>
      <c r="AW13" s="6"/>
      <c r="AX13" s="6"/>
      <c r="AY13" s="6"/>
      <c r="AZ13" s="6"/>
      <c r="BA13" s="6"/>
      <c r="BB13" s="6"/>
      <c r="BC13" s="6"/>
      <c r="BD13" s="6"/>
      <c r="BE13" s="6"/>
      <c r="BF13" s="6"/>
      <c r="BG13" s="6"/>
      <c r="BH13" s="6"/>
      <c r="BI13" s="6"/>
      <c r="BJ13" s="6"/>
      <c r="BK13" s="6"/>
      <c r="BL13" s="6"/>
      <c r="BM13" s="6"/>
      <c r="BN13" s="6"/>
      <c r="BO13" s="6"/>
      <c r="BP13" s="6"/>
      <c r="BQ13" s="6"/>
      <c r="BR13" s="6"/>
      <c r="BS13" s="6"/>
      <c r="BT13" s="6"/>
      <c r="BU13" s="6"/>
      <c r="BV13" s="6"/>
      <c r="BW13" s="6"/>
      <c r="BX13" s="6"/>
      <c r="BY13" s="6"/>
      <c r="BZ13" s="6"/>
      <c r="CA13" s="6"/>
      <c r="CB13" s="6"/>
      <c r="CC13" s="6"/>
      <c r="CD13" s="6"/>
      <c r="CE13" s="6"/>
      <c r="CF13" s="6"/>
      <c r="CG13" s="6"/>
      <c r="CH13" s="6"/>
      <c r="CI13" s="6"/>
      <c r="CJ13" s="6"/>
      <c r="CK13" s="6"/>
      <c r="CL13" s="6"/>
      <c r="CM13" s="6"/>
      <c r="CN13" s="6"/>
      <c r="CO13" s="6"/>
      <c r="CP13" s="6"/>
      <c r="CQ13" s="6"/>
      <c r="CR13" s="6"/>
      <c r="CS13" s="6"/>
      <c r="CT13" s="6"/>
      <c r="CU13" s="6"/>
      <c r="CV13" s="6"/>
      <c r="CW13" s="6"/>
      <c r="CX13" s="6"/>
      <c r="CY13" s="6"/>
      <c r="CZ13" s="6"/>
      <c r="DA13" s="6"/>
      <c r="DB13" s="6"/>
      <c r="DC13" s="6"/>
      <c r="DD13" s="6"/>
      <c r="DE13" s="6"/>
      <c r="DF13" s="6"/>
      <c r="DG13" s="6"/>
      <c r="DH13" s="6"/>
      <c r="DI13" s="6"/>
      <c r="DJ13" s="6"/>
      <c r="DK13" s="6"/>
      <c r="DL13" s="6"/>
      <c r="DM13" s="6"/>
      <c r="DN13" s="6"/>
      <c r="DO13" s="6"/>
      <c r="DP13" s="6"/>
      <c r="DQ13" s="6"/>
      <c r="DR13" s="6"/>
      <c r="DS13" s="6"/>
      <c r="DT13" s="6"/>
      <c r="DU13" s="6"/>
      <c r="DV13" s="6"/>
      <c r="DW13" s="6"/>
      <c r="DX13" s="6"/>
      <c r="DY13" s="6"/>
      <c r="DZ13" s="6"/>
      <c r="EA13" s="6"/>
      <c r="EB13" s="6"/>
      <c r="EC13" s="6"/>
      <c r="ED13" s="6"/>
      <c r="EE13" s="6"/>
    </row>
    <row r="14" spans="1:135">
      <c r="A14" s="6"/>
      <c r="B14" s="6"/>
      <c r="C14" s="6"/>
      <c r="D14" s="6"/>
      <c r="E14" s="252"/>
      <c r="F14" s="253"/>
      <c r="G14" s="254"/>
      <c r="H14" s="6"/>
      <c r="I14" s="5"/>
      <c r="J14" s="5"/>
      <c r="K14" s="8"/>
      <c r="L14" s="6" t="s">
        <v>368</v>
      </c>
      <c r="M14" s="6" t="b">
        <v>1</v>
      </c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6"/>
      <c r="AS14" s="6"/>
      <c r="AT14" s="6"/>
      <c r="AU14" s="6"/>
      <c r="AV14" s="6"/>
      <c r="AW14" s="6"/>
      <c r="AX14" s="6"/>
      <c r="AY14" s="6"/>
      <c r="AZ14" s="6"/>
      <c r="BA14" s="6"/>
      <c r="BB14" s="6"/>
      <c r="BC14" s="6"/>
      <c r="BD14" s="6"/>
      <c r="BE14" s="6"/>
      <c r="BF14" s="6"/>
      <c r="BG14" s="6"/>
      <c r="BH14" s="6"/>
      <c r="BI14" s="6"/>
      <c r="BJ14" s="6"/>
      <c r="BK14" s="6"/>
      <c r="BL14" s="6"/>
      <c r="BM14" s="6"/>
      <c r="BN14" s="6"/>
      <c r="BO14" s="6"/>
      <c r="BP14" s="6"/>
      <c r="BQ14" s="6"/>
      <c r="BR14" s="6"/>
      <c r="BS14" s="6"/>
      <c r="BT14" s="6"/>
      <c r="BU14" s="6"/>
      <c r="BV14" s="6"/>
      <c r="BW14" s="6"/>
      <c r="BX14" s="6"/>
      <c r="BY14" s="6"/>
      <c r="BZ14" s="6"/>
      <c r="CA14" s="6"/>
      <c r="CB14" s="6"/>
      <c r="CC14" s="6"/>
      <c r="CD14" s="6"/>
      <c r="CE14" s="6"/>
      <c r="CF14" s="6"/>
      <c r="CG14" s="6"/>
      <c r="CH14" s="6"/>
      <c r="CI14" s="6"/>
      <c r="CJ14" s="6"/>
      <c r="CK14" s="6"/>
      <c r="CL14" s="6"/>
      <c r="CM14" s="6"/>
      <c r="CN14" s="6"/>
      <c r="CO14" s="6"/>
      <c r="CP14" s="6"/>
      <c r="CQ14" s="6"/>
      <c r="CR14" s="6"/>
      <c r="CS14" s="6"/>
      <c r="CT14" s="6"/>
      <c r="CU14" s="6"/>
      <c r="CV14" s="6"/>
      <c r="CW14" s="6"/>
      <c r="CX14" s="6"/>
      <c r="CY14" s="6"/>
      <c r="CZ14" s="6"/>
      <c r="DA14" s="6"/>
      <c r="DB14" s="6"/>
      <c r="DC14" s="6"/>
      <c r="DD14" s="6"/>
      <c r="DE14" s="6"/>
      <c r="DF14" s="6"/>
      <c r="DG14" s="6"/>
      <c r="DH14" s="6"/>
      <c r="DI14" s="6"/>
      <c r="DJ14" s="6"/>
      <c r="DK14" s="6"/>
      <c r="DL14" s="6"/>
      <c r="DM14" s="6"/>
      <c r="DN14" s="6"/>
      <c r="DO14" s="6"/>
      <c r="DP14" s="6"/>
      <c r="DQ14" s="6"/>
      <c r="DR14" s="6"/>
      <c r="DS14" s="6"/>
      <c r="DT14" s="6"/>
      <c r="DU14" s="6"/>
      <c r="DV14" s="6"/>
      <c r="DW14" s="6"/>
      <c r="DX14" s="6"/>
      <c r="DY14" s="6"/>
      <c r="DZ14" s="6"/>
      <c r="EA14" s="6"/>
      <c r="EB14" s="6"/>
      <c r="EC14" s="6"/>
      <c r="ED14" s="6"/>
      <c r="EE14" s="6"/>
    </row>
    <row r="15" spans="1:135">
      <c r="A15" s="6"/>
      <c r="B15" s="6"/>
      <c r="C15" s="6"/>
      <c r="D15" s="6"/>
      <c r="E15" s="252"/>
      <c r="F15" s="253"/>
      <c r="G15" s="254"/>
      <c r="H15" s="6"/>
      <c r="I15" s="5"/>
      <c r="J15" s="5"/>
      <c r="K15" s="8"/>
      <c r="L15" s="6" t="s">
        <v>369</v>
      </c>
      <c r="M15" s="6" t="b">
        <v>0</v>
      </c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6"/>
      <c r="AS15" s="6"/>
      <c r="AT15" s="6"/>
      <c r="AU15" s="6"/>
      <c r="AV15" s="6"/>
      <c r="AW15" s="6"/>
      <c r="AX15" s="6"/>
      <c r="AY15" s="6"/>
      <c r="AZ15" s="6"/>
      <c r="BA15" s="6"/>
      <c r="BB15" s="6"/>
      <c r="BC15" s="6"/>
      <c r="BD15" s="6"/>
      <c r="BE15" s="6"/>
      <c r="BF15" s="6"/>
      <c r="BG15" s="6"/>
      <c r="BH15" s="6"/>
      <c r="BI15" s="6"/>
      <c r="BJ15" s="6"/>
      <c r="BK15" s="6"/>
      <c r="BL15" s="6"/>
      <c r="BM15" s="6"/>
      <c r="BN15" s="6"/>
      <c r="BO15" s="6"/>
      <c r="BP15" s="6"/>
      <c r="BQ15" s="6"/>
      <c r="BR15" s="6"/>
      <c r="BS15" s="6"/>
      <c r="BT15" s="6"/>
      <c r="BU15" s="6"/>
      <c r="BV15" s="6"/>
      <c r="BW15" s="6"/>
      <c r="BX15" s="6"/>
      <c r="BY15" s="6"/>
      <c r="BZ15" s="6"/>
      <c r="CA15" s="6"/>
      <c r="CB15" s="6"/>
      <c r="CC15" s="6"/>
      <c r="CD15" s="6"/>
      <c r="CE15" s="6"/>
      <c r="CF15" s="6"/>
      <c r="CG15" s="6"/>
      <c r="CH15" s="6"/>
      <c r="CI15" s="6"/>
      <c r="CJ15" s="6"/>
      <c r="CK15" s="6"/>
      <c r="CL15" s="6"/>
      <c r="CM15" s="6"/>
      <c r="CN15" s="6"/>
      <c r="CO15" s="6"/>
      <c r="CP15" s="6"/>
      <c r="CQ15" s="6"/>
      <c r="CR15" s="6"/>
      <c r="CS15" s="6"/>
      <c r="CT15" s="6"/>
      <c r="CU15" s="6"/>
      <c r="CV15" s="6"/>
      <c r="CW15" s="6"/>
      <c r="CX15" s="6"/>
      <c r="CY15" s="6"/>
      <c r="CZ15" s="6"/>
      <c r="DA15" s="6"/>
      <c r="DB15" s="6"/>
      <c r="DC15" s="6"/>
      <c r="DD15" s="6"/>
      <c r="DE15" s="6"/>
      <c r="DF15" s="6"/>
      <c r="DG15" s="6"/>
      <c r="DH15" s="6"/>
      <c r="DI15" s="6"/>
      <c r="DJ15" s="6"/>
      <c r="DK15" s="6"/>
      <c r="DL15" s="6"/>
      <c r="DM15" s="6"/>
      <c r="DN15" s="6"/>
      <c r="DO15" s="6"/>
      <c r="DP15" s="6"/>
      <c r="DQ15" s="6"/>
      <c r="DR15" s="6"/>
      <c r="DS15" s="6"/>
      <c r="DT15" s="6"/>
      <c r="DU15" s="6"/>
      <c r="DV15" s="6"/>
      <c r="DW15" s="6"/>
      <c r="DX15" s="6"/>
      <c r="DY15" s="6"/>
      <c r="DZ15" s="6"/>
      <c r="EA15" s="6"/>
      <c r="EB15" s="6"/>
      <c r="EC15" s="6"/>
      <c r="ED15" s="6"/>
      <c r="EE15" s="6"/>
    </row>
    <row r="16" spans="1:135">
      <c r="A16" s="6"/>
      <c r="B16" s="6"/>
      <c r="C16" s="6"/>
      <c r="D16" s="6"/>
      <c r="E16" s="252"/>
      <c r="F16" s="253"/>
      <c r="G16" s="254"/>
      <c r="H16" s="6"/>
      <c r="I16" s="5"/>
      <c r="J16" s="5"/>
      <c r="K16" s="8"/>
      <c r="L16" s="6" t="s">
        <v>346</v>
      </c>
      <c r="M16" s="6" t="b">
        <v>0</v>
      </c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  <c r="BD16" s="6"/>
      <c r="BE16" s="6"/>
      <c r="BF16" s="6"/>
      <c r="BG16" s="6"/>
      <c r="BH16" s="6"/>
      <c r="BI16" s="6"/>
      <c r="BJ16" s="6"/>
      <c r="BK16" s="6"/>
      <c r="BL16" s="6"/>
      <c r="BM16" s="6"/>
      <c r="BN16" s="6"/>
      <c r="BO16" s="6"/>
      <c r="BP16" s="6"/>
      <c r="BQ16" s="6"/>
      <c r="BR16" s="6"/>
      <c r="BS16" s="6"/>
      <c r="BT16" s="6"/>
      <c r="BU16" s="6"/>
      <c r="BV16" s="6"/>
      <c r="BW16" s="6"/>
      <c r="BX16" s="6"/>
      <c r="BY16" s="6"/>
      <c r="BZ16" s="6"/>
      <c r="CA16" s="6"/>
      <c r="CB16" s="6"/>
      <c r="CC16" s="6"/>
      <c r="CD16" s="6"/>
      <c r="CE16" s="6"/>
      <c r="CF16" s="6"/>
      <c r="CG16" s="6"/>
      <c r="CH16" s="6"/>
      <c r="CI16" s="6"/>
      <c r="CJ16" s="6"/>
      <c r="CK16" s="6"/>
      <c r="CL16" s="6"/>
      <c r="CM16" s="6"/>
      <c r="CN16" s="6"/>
      <c r="CO16" s="6"/>
      <c r="CP16" s="6"/>
      <c r="CQ16" s="6"/>
      <c r="CR16" s="6"/>
      <c r="CS16" s="6"/>
      <c r="CT16" s="6"/>
      <c r="CU16" s="6"/>
      <c r="CV16" s="6"/>
      <c r="CW16" s="6"/>
      <c r="CX16" s="6"/>
      <c r="CY16" s="6"/>
      <c r="CZ16" s="6"/>
      <c r="DA16" s="6"/>
      <c r="DB16" s="6"/>
      <c r="DC16" s="6"/>
      <c r="DD16" s="6"/>
      <c r="DE16" s="6"/>
      <c r="DF16" s="6"/>
      <c r="DG16" s="6"/>
      <c r="DH16" s="6"/>
      <c r="DI16" s="6"/>
      <c r="DJ16" s="6"/>
      <c r="DK16" s="6"/>
      <c r="DL16" s="6"/>
      <c r="DM16" s="6"/>
      <c r="DN16" s="6"/>
      <c r="DO16" s="6"/>
      <c r="DP16" s="6"/>
      <c r="DQ16" s="6"/>
      <c r="DR16" s="6"/>
      <c r="DS16" s="6"/>
      <c r="DT16" s="6"/>
      <c r="DU16" s="6"/>
      <c r="DV16" s="6"/>
      <c r="DW16" s="6"/>
      <c r="DX16" s="6"/>
      <c r="DY16" s="6"/>
      <c r="DZ16" s="6"/>
      <c r="EA16" s="6"/>
      <c r="EB16" s="6"/>
      <c r="EC16" s="6"/>
      <c r="ED16" s="6"/>
      <c r="EE16" s="6"/>
    </row>
    <row r="17" spans="1:135">
      <c r="A17" s="6"/>
      <c r="B17" s="6"/>
      <c r="C17" s="6"/>
      <c r="D17" s="6"/>
      <c r="E17" s="252"/>
      <c r="F17" s="253"/>
      <c r="G17" s="254"/>
      <c r="H17" s="6"/>
      <c r="I17" s="5"/>
      <c r="J17" s="5"/>
      <c r="K17" s="8"/>
      <c r="L17" s="6" t="s">
        <v>374</v>
      </c>
      <c r="M17" s="6" t="b">
        <v>0</v>
      </c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  <c r="BD17" s="6"/>
      <c r="BE17" s="6"/>
      <c r="BF17" s="6"/>
      <c r="BG17" s="6"/>
      <c r="BH17" s="6"/>
      <c r="BI17" s="6"/>
      <c r="BJ17" s="6"/>
      <c r="BK17" s="6"/>
      <c r="BL17" s="6"/>
      <c r="BM17" s="6"/>
      <c r="BN17" s="6"/>
      <c r="BO17" s="6"/>
      <c r="BP17" s="6"/>
      <c r="BQ17" s="6"/>
      <c r="BR17" s="6"/>
      <c r="BS17" s="6"/>
      <c r="BT17" s="6"/>
      <c r="BU17" s="6"/>
      <c r="BV17" s="6"/>
      <c r="BW17" s="6"/>
      <c r="BX17" s="6"/>
      <c r="BY17" s="6"/>
      <c r="BZ17" s="6"/>
      <c r="CA17" s="6"/>
      <c r="CB17" s="6"/>
      <c r="CC17" s="6"/>
      <c r="CD17" s="6"/>
      <c r="CE17" s="6"/>
      <c r="CF17" s="6"/>
      <c r="CG17" s="6"/>
      <c r="CH17" s="6"/>
      <c r="CI17" s="6"/>
      <c r="CJ17" s="6"/>
      <c r="CK17" s="6"/>
      <c r="CL17" s="6"/>
      <c r="CM17" s="6"/>
      <c r="CN17" s="6"/>
      <c r="CO17" s="6"/>
      <c r="CP17" s="6"/>
      <c r="CQ17" s="6"/>
      <c r="CR17" s="6"/>
      <c r="CS17" s="6"/>
      <c r="CT17" s="6"/>
      <c r="CU17" s="6"/>
      <c r="CV17" s="6"/>
      <c r="CW17" s="6"/>
      <c r="CX17" s="6"/>
      <c r="CY17" s="6"/>
      <c r="CZ17" s="6"/>
      <c r="DA17" s="6"/>
      <c r="DB17" s="6"/>
      <c r="DC17" s="6"/>
      <c r="DD17" s="6"/>
      <c r="DE17" s="6"/>
      <c r="DF17" s="6"/>
      <c r="DG17" s="6"/>
      <c r="DH17" s="6"/>
      <c r="DI17" s="6"/>
      <c r="DJ17" s="6"/>
      <c r="DK17" s="6"/>
      <c r="DL17" s="6"/>
      <c r="DM17" s="6"/>
      <c r="DN17" s="6"/>
      <c r="DO17" s="6"/>
      <c r="DP17" s="6"/>
      <c r="DQ17" s="6"/>
      <c r="DR17" s="6"/>
      <c r="DS17" s="6"/>
      <c r="DT17" s="6"/>
      <c r="DU17" s="6"/>
      <c r="DV17" s="6"/>
      <c r="DW17" s="6"/>
      <c r="DX17" s="6"/>
      <c r="DY17" s="6"/>
      <c r="DZ17" s="6"/>
      <c r="EA17" s="6"/>
      <c r="EB17" s="6"/>
      <c r="EC17" s="6"/>
      <c r="ED17" s="6"/>
      <c r="EE17" s="6"/>
    </row>
    <row r="18" spans="1:135">
      <c r="A18" s="6"/>
      <c r="B18" s="6"/>
      <c r="C18" s="6"/>
      <c r="D18" s="6"/>
      <c r="E18" s="252"/>
      <c r="F18" s="253"/>
      <c r="G18" s="254"/>
      <c r="H18" s="6"/>
      <c r="I18" s="5"/>
      <c r="J18" s="5"/>
      <c r="K18" s="8"/>
      <c r="L18" s="6" t="s">
        <v>383</v>
      </c>
      <c r="M18" s="6" t="b">
        <v>0</v>
      </c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  <c r="BD18" s="6"/>
      <c r="BE18" s="6"/>
      <c r="BF18" s="6"/>
      <c r="BG18" s="6"/>
      <c r="BH18" s="6"/>
      <c r="BI18" s="6"/>
      <c r="BJ18" s="6"/>
      <c r="BK18" s="6"/>
      <c r="BL18" s="6"/>
      <c r="BM18" s="6"/>
      <c r="BN18" s="6"/>
      <c r="BO18" s="6"/>
      <c r="BP18" s="6"/>
      <c r="BQ18" s="6"/>
      <c r="BR18" s="6"/>
      <c r="BS18" s="6"/>
      <c r="BT18" s="6"/>
      <c r="BU18" s="6"/>
      <c r="BV18" s="6"/>
      <c r="BW18" s="6"/>
      <c r="BX18" s="6"/>
      <c r="BY18" s="6"/>
      <c r="BZ18" s="6"/>
      <c r="CA18" s="6"/>
      <c r="CB18" s="6"/>
      <c r="CC18" s="6"/>
      <c r="CD18" s="6"/>
      <c r="CE18" s="6"/>
      <c r="CF18" s="6"/>
      <c r="CG18" s="6"/>
      <c r="CH18" s="6"/>
      <c r="CI18" s="6"/>
      <c r="CJ18" s="6"/>
      <c r="CK18" s="6"/>
      <c r="CL18" s="6"/>
      <c r="CM18" s="6"/>
      <c r="CN18" s="6"/>
      <c r="CO18" s="6"/>
      <c r="CP18" s="6"/>
      <c r="CQ18" s="6"/>
      <c r="CR18" s="6"/>
      <c r="CS18" s="6"/>
      <c r="CT18" s="6"/>
      <c r="CU18" s="6"/>
      <c r="CV18" s="6"/>
      <c r="CW18" s="6"/>
      <c r="CX18" s="6"/>
      <c r="CY18" s="6"/>
      <c r="CZ18" s="6"/>
      <c r="DA18" s="6"/>
      <c r="DB18" s="6"/>
      <c r="DC18" s="6"/>
      <c r="DD18" s="6"/>
      <c r="DE18" s="6"/>
      <c r="DF18" s="6"/>
      <c r="DG18" s="6"/>
      <c r="DH18" s="6"/>
      <c r="DI18" s="6"/>
      <c r="DJ18" s="6"/>
      <c r="DK18" s="6"/>
      <c r="DL18" s="6"/>
      <c r="DM18" s="6"/>
      <c r="DN18" s="6"/>
      <c r="DO18" s="6"/>
      <c r="DP18" s="6"/>
      <c r="DQ18" s="6"/>
      <c r="DR18" s="6"/>
      <c r="DS18" s="6"/>
      <c r="DT18" s="6"/>
      <c r="DU18" s="6"/>
      <c r="DV18" s="6"/>
      <c r="DW18" s="6"/>
      <c r="DX18" s="6"/>
      <c r="DY18" s="6"/>
      <c r="DZ18" s="6"/>
      <c r="EA18" s="6"/>
      <c r="EB18" s="6"/>
      <c r="EC18" s="6"/>
      <c r="ED18" s="6"/>
      <c r="EE18" s="6"/>
    </row>
    <row r="19" spans="1:135">
      <c r="A19" s="6"/>
      <c r="B19" s="6"/>
      <c r="C19" s="6"/>
      <c r="D19" s="6"/>
      <c r="E19" s="252"/>
      <c r="F19" s="253"/>
      <c r="G19" s="254"/>
      <c r="H19" s="6"/>
      <c r="I19" s="5"/>
      <c r="J19" s="5"/>
      <c r="K19" s="8"/>
      <c r="L19" s="6" t="s">
        <v>441</v>
      </c>
      <c r="M19" s="6" t="b">
        <v>0</v>
      </c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  <c r="BD19" s="6"/>
      <c r="BE19" s="6"/>
      <c r="BF19" s="6"/>
      <c r="BG19" s="6"/>
      <c r="BH19" s="6"/>
      <c r="BI19" s="6"/>
      <c r="BJ19" s="6"/>
      <c r="BK19" s="6"/>
      <c r="BL19" s="6"/>
      <c r="BM19" s="6"/>
      <c r="BN19" s="6"/>
      <c r="BO19" s="6"/>
      <c r="BP19" s="6"/>
      <c r="BQ19" s="6"/>
      <c r="BR19" s="6"/>
      <c r="BS19" s="6"/>
      <c r="BT19" s="6"/>
      <c r="BU19" s="6"/>
      <c r="BV19" s="6"/>
      <c r="BW19" s="6"/>
      <c r="BX19" s="6"/>
      <c r="BY19" s="6"/>
      <c r="BZ19" s="6"/>
      <c r="CA19" s="6"/>
      <c r="CB19" s="6"/>
      <c r="CC19" s="6"/>
      <c r="CD19" s="6"/>
      <c r="CE19" s="6"/>
      <c r="CF19" s="6"/>
      <c r="CG19" s="6"/>
      <c r="CH19" s="6"/>
      <c r="CI19" s="6"/>
      <c r="CJ19" s="6"/>
      <c r="CK19" s="6"/>
      <c r="CL19" s="6"/>
      <c r="CM19" s="6"/>
      <c r="CN19" s="6"/>
      <c r="CO19" s="6"/>
      <c r="CP19" s="6"/>
      <c r="CQ19" s="6"/>
      <c r="CR19" s="6"/>
      <c r="CS19" s="6"/>
      <c r="CT19" s="6"/>
      <c r="CU19" s="6"/>
      <c r="CV19" s="6"/>
      <c r="CW19" s="6"/>
      <c r="CX19" s="6"/>
      <c r="CY19" s="6"/>
      <c r="CZ19" s="6"/>
      <c r="DA19" s="6"/>
      <c r="DB19" s="6"/>
      <c r="DC19" s="6"/>
      <c r="DD19" s="6"/>
      <c r="DE19" s="6"/>
      <c r="DF19" s="6"/>
      <c r="DG19" s="6"/>
      <c r="DH19" s="6"/>
      <c r="DI19" s="6"/>
      <c r="DJ19" s="6"/>
      <c r="DK19" s="6"/>
      <c r="DL19" s="6"/>
      <c r="DM19" s="6"/>
      <c r="DN19" s="6"/>
      <c r="DO19" s="6"/>
      <c r="DP19" s="6"/>
      <c r="DQ19" s="6"/>
      <c r="DR19" s="6"/>
      <c r="DS19" s="6"/>
      <c r="DT19" s="6"/>
      <c r="DU19" s="6"/>
      <c r="DV19" s="6"/>
      <c r="DW19" s="6"/>
      <c r="DX19" s="6"/>
      <c r="DY19" s="6"/>
      <c r="DZ19" s="6"/>
      <c r="EA19" s="6"/>
      <c r="EB19" s="6"/>
      <c r="EC19" s="6"/>
      <c r="ED19" s="6"/>
      <c r="EE19" s="6"/>
    </row>
    <row r="20" spans="1:135">
      <c r="A20" s="6"/>
      <c r="B20" s="6"/>
      <c r="C20" s="6"/>
      <c r="D20" s="6"/>
      <c r="E20" s="252"/>
      <c r="F20" s="253"/>
      <c r="G20" s="254"/>
      <c r="H20" s="6"/>
      <c r="I20" s="5"/>
      <c r="J20" s="5"/>
      <c r="K20" s="8"/>
      <c r="L20" s="6" t="s">
        <v>1105</v>
      </c>
      <c r="M20" s="6" t="b">
        <v>0</v>
      </c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  <c r="BD20" s="6"/>
      <c r="BE20" s="6"/>
      <c r="BF20" s="6"/>
      <c r="BG20" s="6"/>
      <c r="BH20" s="6"/>
      <c r="BI20" s="6"/>
      <c r="BJ20" s="6"/>
      <c r="BK20" s="6"/>
      <c r="BL20" s="6"/>
      <c r="BM20" s="6"/>
      <c r="BN20" s="6"/>
      <c r="BO20" s="6"/>
      <c r="BP20" s="6"/>
      <c r="BQ20" s="6"/>
      <c r="BR20" s="6"/>
      <c r="BS20" s="6"/>
      <c r="BT20" s="6"/>
      <c r="BU20" s="6"/>
      <c r="BV20" s="6"/>
      <c r="BW20" s="6"/>
      <c r="BX20" s="6"/>
      <c r="BY20" s="6"/>
      <c r="BZ20" s="6"/>
      <c r="CA20" s="6"/>
      <c r="CB20" s="6"/>
      <c r="CC20" s="6"/>
      <c r="CD20" s="6"/>
      <c r="CE20" s="6"/>
      <c r="CF20" s="6"/>
      <c r="CG20" s="6"/>
      <c r="CH20" s="6"/>
      <c r="CI20" s="6"/>
      <c r="CJ20" s="6"/>
      <c r="CK20" s="6"/>
      <c r="CL20" s="6"/>
      <c r="CM20" s="6"/>
      <c r="CN20" s="6"/>
      <c r="CO20" s="6"/>
      <c r="CP20" s="6"/>
      <c r="CQ20" s="6"/>
      <c r="CR20" s="6"/>
      <c r="CS20" s="6"/>
      <c r="CT20" s="6"/>
      <c r="CU20" s="6"/>
      <c r="CV20" s="6"/>
      <c r="CW20" s="6"/>
      <c r="CX20" s="6"/>
      <c r="CY20" s="6"/>
      <c r="CZ20" s="6"/>
      <c r="DA20" s="6"/>
      <c r="DB20" s="6"/>
      <c r="DC20" s="6"/>
      <c r="DD20" s="6"/>
      <c r="DE20" s="6"/>
      <c r="DF20" s="6"/>
      <c r="DG20" s="6"/>
      <c r="DH20" s="6"/>
      <c r="DI20" s="6"/>
      <c r="DJ20" s="6"/>
      <c r="DK20" s="6"/>
      <c r="DL20" s="6"/>
      <c r="DM20" s="6"/>
      <c r="DN20" s="6"/>
      <c r="DO20" s="6"/>
      <c r="DP20" s="6"/>
      <c r="DQ20" s="6"/>
      <c r="DR20" s="6"/>
      <c r="DS20" s="6"/>
      <c r="DT20" s="6"/>
      <c r="DU20" s="6"/>
      <c r="DV20" s="6"/>
      <c r="DW20" s="6"/>
      <c r="DX20" s="6"/>
      <c r="DY20" s="6"/>
      <c r="DZ20" s="6"/>
      <c r="EA20" s="6"/>
      <c r="EB20" s="6"/>
      <c r="EC20" s="6"/>
      <c r="ED20" s="6"/>
      <c r="EE20" s="6"/>
    </row>
    <row r="21" spans="1:135">
      <c r="A21" s="6"/>
      <c r="B21" s="6"/>
      <c r="C21" s="6"/>
      <c r="D21" s="6"/>
      <c r="E21" s="252"/>
      <c r="F21" s="253"/>
      <c r="G21" s="254"/>
      <c r="H21" s="6"/>
      <c r="I21" s="5"/>
      <c r="J21" s="5"/>
      <c r="K21" s="8"/>
      <c r="L21" s="6" t="s">
        <v>384</v>
      </c>
      <c r="M21" s="6" t="b">
        <v>0</v>
      </c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  <c r="BD21" s="6"/>
      <c r="BE21" s="6"/>
      <c r="BF21" s="6"/>
      <c r="BG21" s="6"/>
      <c r="BH21" s="6"/>
      <c r="BI21" s="6"/>
      <c r="BJ21" s="6"/>
      <c r="BK21" s="6"/>
      <c r="BL21" s="6"/>
      <c r="BM21" s="6"/>
      <c r="BN21" s="6"/>
      <c r="BO21" s="6"/>
      <c r="BP21" s="6"/>
      <c r="BQ21" s="6"/>
      <c r="BR21" s="6"/>
      <c r="BS21" s="6"/>
      <c r="BT21" s="6"/>
      <c r="BU21" s="6"/>
      <c r="BV21" s="6"/>
      <c r="BW21" s="6"/>
      <c r="BX21" s="6"/>
      <c r="BY21" s="6"/>
      <c r="BZ21" s="6"/>
      <c r="CA21" s="6"/>
      <c r="CB21" s="6"/>
      <c r="CC21" s="6"/>
      <c r="CD21" s="6"/>
      <c r="CE21" s="6"/>
      <c r="CF21" s="6"/>
      <c r="CG21" s="6"/>
      <c r="CH21" s="6"/>
      <c r="CI21" s="6"/>
      <c r="CJ21" s="6"/>
      <c r="CK21" s="6"/>
      <c r="CL21" s="6"/>
      <c r="CM21" s="6"/>
      <c r="CN21" s="6"/>
      <c r="CO21" s="6"/>
      <c r="CP21" s="6"/>
      <c r="CQ21" s="6"/>
      <c r="CR21" s="6"/>
      <c r="CS21" s="6"/>
      <c r="CT21" s="6"/>
      <c r="CU21" s="6"/>
      <c r="CV21" s="6"/>
      <c r="CW21" s="6"/>
      <c r="CX21" s="6"/>
      <c r="CY21" s="6"/>
      <c r="CZ21" s="6"/>
      <c r="DA21" s="6"/>
      <c r="DB21" s="6"/>
      <c r="DC21" s="6"/>
      <c r="DD21" s="6"/>
      <c r="DE21" s="6"/>
      <c r="DF21" s="6"/>
      <c r="DG21" s="6"/>
      <c r="DH21" s="6"/>
      <c r="DI21" s="6"/>
      <c r="DJ21" s="6"/>
      <c r="DK21" s="6"/>
      <c r="DL21" s="6"/>
      <c r="DM21" s="6"/>
      <c r="DN21" s="6"/>
      <c r="DO21" s="6"/>
      <c r="DP21" s="6"/>
      <c r="DQ21" s="6"/>
      <c r="DR21" s="6"/>
      <c r="DS21" s="6"/>
      <c r="DT21" s="6"/>
      <c r="DU21" s="6"/>
      <c r="DV21" s="6"/>
      <c r="DW21" s="6"/>
      <c r="DX21" s="6"/>
      <c r="DY21" s="6"/>
      <c r="DZ21" s="6"/>
      <c r="EA21" s="6"/>
      <c r="EB21" s="6"/>
      <c r="EC21" s="6"/>
      <c r="ED21" s="6"/>
      <c r="EE21" s="6"/>
    </row>
    <row r="22" spans="1:135">
      <c r="A22" s="6"/>
      <c r="B22" s="6"/>
      <c r="C22" s="6"/>
      <c r="D22" s="6"/>
      <c r="E22" s="252"/>
      <c r="F22" s="253"/>
      <c r="G22" s="254"/>
      <c r="H22" s="6"/>
      <c r="I22" s="5"/>
      <c r="J22" s="5"/>
      <c r="K22" s="8"/>
      <c r="L22" s="6" t="s">
        <v>380</v>
      </c>
      <c r="M22" s="6" t="b">
        <v>0</v>
      </c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6"/>
      <c r="BL22" s="6"/>
      <c r="BM22" s="6"/>
      <c r="BN22" s="6"/>
      <c r="BO22" s="6"/>
      <c r="BP22" s="6"/>
      <c r="BQ22" s="6"/>
      <c r="BR22" s="6"/>
      <c r="BS22" s="6"/>
      <c r="BT22" s="6"/>
      <c r="BU22" s="6"/>
      <c r="BV22" s="6"/>
      <c r="BW22" s="6"/>
      <c r="BX22" s="6"/>
      <c r="BY22" s="6"/>
      <c r="BZ22" s="6"/>
      <c r="CA22" s="6"/>
      <c r="CB22" s="6"/>
      <c r="CC22" s="6"/>
      <c r="CD22" s="6"/>
      <c r="CE22" s="6"/>
      <c r="CF22" s="6"/>
      <c r="CG22" s="6"/>
      <c r="CH22" s="6"/>
      <c r="CI22" s="6"/>
      <c r="CJ22" s="6"/>
      <c r="CK22" s="6"/>
      <c r="CL22" s="6"/>
      <c r="CM22" s="6"/>
      <c r="CN22" s="6"/>
      <c r="CO22" s="6"/>
      <c r="CP22" s="6"/>
      <c r="CQ22" s="6"/>
      <c r="CR22" s="6"/>
      <c r="CS22" s="6"/>
      <c r="CT22" s="6"/>
      <c r="CU22" s="6"/>
      <c r="CV22" s="6"/>
      <c r="CW22" s="6"/>
      <c r="CX22" s="6"/>
      <c r="CY22" s="6"/>
      <c r="CZ22" s="6"/>
      <c r="DA22" s="6"/>
      <c r="DB22" s="6"/>
      <c r="DC22" s="6"/>
      <c r="DD22" s="6"/>
      <c r="DE22" s="6"/>
      <c r="DF22" s="6"/>
      <c r="DG22" s="6"/>
      <c r="DH22" s="6"/>
      <c r="DI22" s="6"/>
      <c r="DJ22" s="6"/>
      <c r="DK22" s="6"/>
      <c r="DL22" s="6"/>
      <c r="DM22" s="6"/>
      <c r="DN22" s="6"/>
      <c r="DO22" s="6"/>
      <c r="DP22" s="6"/>
      <c r="DQ22" s="6"/>
      <c r="DR22" s="6"/>
      <c r="DS22" s="6"/>
      <c r="DT22" s="6"/>
      <c r="DU22" s="6"/>
      <c r="DV22" s="6"/>
      <c r="DW22" s="6"/>
      <c r="DX22" s="6"/>
      <c r="DY22" s="6"/>
      <c r="DZ22" s="6"/>
      <c r="EA22" s="6"/>
      <c r="EB22" s="6"/>
      <c r="EC22" s="6"/>
      <c r="ED22" s="6"/>
      <c r="EE22" s="6"/>
    </row>
    <row r="23" spans="1:135">
      <c r="A23" s="6"/>
      <c r="B23" s="6"/>
      <c r="C23" s="6"/>
      <c r="D23" s="6"/>
      <c r="E23" s="252"/>
      <c r="F23" s="253"/>
      <c r="G23" s="254"/>
      <c r="H23" s="6"/>
      <c r="I23" s="5"/>
      <c r="J23" s="5"/>
      <c r="K23" s="8"/>
      <c r="L23" s="6" t="s">
        <v>1081</v>
      </c>
      <c r="M23" s="6" t="b">
        <v>0</v>
      </c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  <c r="BD23" s="6"/>
      <c r="BE23" s="6"/>
      <c r="BF23" s="6"/>
      <c r="BG23" s="6"/>
      <c r="BH23" s="6"/>
      <c r="BI23" s="6"/>
      <c r="BJ23" s="6"/>
      <c r="BK23" s="6"/>
      <c r="BL23" s="6"/>
      <c r="BM23" s="6"/>
      <c r="BN23" s="6"/>
      <c r="BO23" s="6"/>
      <c r="BP23" s="6"/>
      <c r="BQ23" s="6"/>
      <c r="BR23" s="6"/>
      <c r="BS23" s="6"/>
      <c r="BT23" s="6"/>
      <c r="BU23" s="6"/>
      <c r="BV23" s="6"/>
      <c r="BW23" s="6"/>
      <c r="BX23" s="6"/>
      <c r="BY23" s="6"/>
      <c r="BZ23" s="6"/>
      <c r="CA23" s="6"/>
      <c r="CB23" s="6"/>
      <c r="CC23" s="6"/>
      <c r="CD23" s="6"/>
      <c r="CE23" s="6"/>
      <c r="CF23" s="6"/>
      <c r="CG23" s="6"/>
      <c r="CH23" s="6"/>
      <c r="CI23" s="6"/>
      <c r="CJ23" s="6"/>
      <c r="CK23" s="6"/>
      <c r="CL23" s="6"/>
      <c r="CM23" s="6"/>
      <c r="CN23" s="6"/>
      <c r="CO23" s="6"/>
      <c r="CP23" s="6"/>
      <c r="CQ23" s="6"/>
      <c r="CR23" s="6"/>
      <c r="CS23" s="6"/>
      <c r="CT23" s="6"/>
      <c r="CU23" s="6"/>
      <c r="CV23" s="6"/>
      <c r="CW23" s="6"/>
      <c r="CX23" s="6"/>
      <c r="CY23" s="6"/>
      <c r="CZ23" s="6"/>
      <c r="DA23" s="6"/>
      <c r="DB23" s="6"/>
      <c r="DC23" s="6"/>
      <c r="DD23" s="6"/>
      <c r="DE23" s="6"/>
      <c r="DF23" s="6"/>
      <c r="DG23" s="6"/>
      <c r="DH23" s="6"/>
      <c r="DI23" s="6"/>
      <c r="DJ23" s="6"/>
      <c r="DK23" s="6"/>
      <c r="DL23" s="6"/>
      <c r="DM23" s="6"/>
      <c r="DN23" s="6"/>
      <c r="DO23" s="6"/>
      <c r="DP23" s="6"/>
      <c r="DQ23" s="6"/>
      <c r="DR23" s="6"/>
      <c r="DS23" s="6"/>
      <c r="DT23" s="6"/>
      <c r="DU23" s="6"/>
      <c r="DV23" s="6"/>
      <c r="DW23" s="6"/>
      <c r="DX23" s="6"/>
      <c r="DY23" s="6"/>
      <c r="DZ23" s="6"/>
      <c r="EA23" s="6"/>
      <c r="EB23" s="6"/>
      <c r="EC23" s="6"/>
      <c r="ED23" s="6"/>
      <c r="EE23" s="6"/>
    </row>
    <row r="24" spans="1:135">
      <c r="A24" s="6"/>
      <c r="B24" s="6"/>
      <c r="C24" s="6"/>
      <c r="D24" s="6"/>
      <c r="E24" s="252"/>
      <c r="F24" s="253"/>
      <c r="G24" s="254"/>
      <c r="H24" s="6"/>
      <c r="I24" s="5"/>
      <c r="J24" s="5"/>
      <c r="K24" s="8"/>
      <c r="L24" s="6" t="s">
        <v>430</v>
      </c>
      <c r="M24" s="6" t="b">
        <v>0</v>
      </c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  <c r="BD24" s="6"/>
      <c r="BE24" s="6"/>
      <c r="BF24" s="6"/>
      <c r="BG24" s="6"/>
      <c r="BH24" s="6"/>
      <c r="BI24" s="6"/>
      <c r="BJ24" s="6"/>
      <c r="BK24" s="6"/>
      <c r="BL24" s="6"/>
      <c r="BM24" s="6"/>
      <c r="BN24" s="6"/>
      <c r="BO24" s="6"/>
      <c r="BP24" s="6"/>
      <c r="BQ24" s="6"/>
      <c r="BR24" s="6"/>
      <c r="BS24" s="6"/>
      <c r="BT24" s="6"/>
      <c r="BU24" s="6"/>
      <c r="BV24" s="6"/>
      <c r="BW24" s="6"/>
      <c r="BX24" s="6"/>
      <c r="BY24" s="6"/>
      <c r="BZ24" s="6"/>
      <c r="CA24" s="6"/>
      <c r="CB24" s="6"/>
      <c r="CC24" s="6"/>
      <c r="CD24" s="6"/>
      <c r="CE24" s="6"/>
      <c r="CF24" s="6"/>
      <c r="CG24" s="6"/>
      <c r="CH24" s="6"/>
      <c r="CI24" s="6"/>
      <c r="CJ24" s="6"/>
      <c r="CK24" s="6"/>
      <c r="CL24" s="6"/>
      <c r="CM24" s="6"/>
      <c r="CN24" s="6"/>
      <c r="CO24" s="6"/>
      <c r="CP24" s="6"/>
      <c r="CQ24" s="6"/>
      <c r="CR24" s="6"/>
      <c r="CS24" s="6"/>
      <c r="CT24" s="6"/>
      <c r="CU24" s="6"/>
      <c r="CV24" s="6"/>
      <c r="CW24" s="6"/>
      <c r="CX24" s="6"/>
      <c r="CY24" s="6"/>
      <c r="CZ24" s="6"/>
      <c r="DA24" s="6"/>
      <c r="DB24" s="6"/>
      <c r="DC24" s="6"/>
      <c r="DD24" s="6"/>
      <c r="DE24" s="6"/>
      <c r="DF24" s="6"/>
      <c r="DG24" s="6"/>
      <c r="DH24" s="6"/>
      <c r="DI24" s="6"/>
      <c r="DJ24" s="6"/>
      <c r="DK24" s="6"/>
      <c r="DL24" s="6"/>
      <c r="DM24" s="6"/>
      <c r="DN24" s="6"/>
      <c r="DO24" s="6"/>
      <c r="DP24" s="6"/>
      <c r="DQ24" s="6"/>
      <c r="DR24" s="6"/>
      <c r="DS24" s="6"/>
      <c r="DT24" s="6"/>
      <c r="DU24" s="6"/>
      <c r="DV24" s="6"/>
      <c r="DW24" s="6"/>
      <c r="DX24" s="6"/>
      <c r="DY24" s="6"/>
      <c r="DZ24" s="6"/>
      <c r="EA24" s="6"/>
      <c r="EB24" s="6"/>
      <c r="EC24" s="6"/>
      <c r="ED24" s="6"/>
      <c r="EE24" s="6"/>
    </row>
    <row r="25" spans="1:135">
      <c r="A25" s="6"/>
      <c r="B25" s="6"/>
      <c r="C25" s="6"/>
      <c r="D25" s="6"/>
      <c r="E25" s="252"/>
      <c r="F25" s="253"/>
      <c r="G25" s="254"/>
      <c r="H25" s="6"/>
      <c r="I25" s="5"/>
      <c r="J25" s="5"/>
      <c r="K25" s="8"/>
      <c r="L25" s="6" t="s">
        <v>382</v>
      </c>
      <c r="M25" s="6" t="b">
        <v>0</v>
      </c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6"/>
      <c r="BL25" s="6"/>
      <c r="BM25" s="6"/>
      <c r="BN25" s="6"/>
      <c r="BO25" s="6"/>
      <c r="BP25" s="6"/>
      <c r="BQ25" s="6"/>
      <c r="BR25" s="6"/>
      <c r="BS25" s="6"/>
      <c r="BT25" s="6"/>
      <c r="BU25" s="6"/>
      <c r="BV25" s="6"/>
      <c r="BW25" s="6"/>
      <c r="BX25" s="6"/>
      <c r="BY25" s="6"/>
      <c r="BZ25" s="6"/>
      <c r="CA25" s="6"/>
      <c r="CB25" s="6"/>
      <c r="CC25" s="6"/>
      <c r="CD25" s="6"/>
      <c r="CE25" s="6"/>
      <c r="CF25" s="6"/>
      <c r="CG25" s="6"/>
      <c r="CH25" s="6"/>
      <c r="CI25" s="6"/>
      <c r="CJ25" s="6"/>
      <c r="CK25" s="6"/>
      <c r="CL25" s="6"/>
      <c r="CM25" s="6"/>
      <c r="CN25" s="6"/>
      <c r="CO25" s="6"/>
      <c r="CP25" s="6"/>
      <c r="CQ25" s="6"/>
      <c r="CR25" s="6"/>
      <c r="CS25" s="6"/>
      <c r="CT25" s="6"/>
      <c r="CU25" s="6"/>
      <c r="CV25" s="6"/>
      <c r="CW25" s="6"/>
      <c r="CX25" s="6"/>
      <c r="CY25" s="6"/>
      <c r="CZ25" s="6"/>
      <c r="DA25" s="6"/>
      <c r="DB25" s="6"/>
      <c r="DC25" s="6"/>
      <c r="DD25" s="6"/>
      <c r="DE25" s="6"/>
      <c r="DF25" s="6"/>
      <c r="DG25" s="6"/>
      <c r="DH25" s="6"/>
      <c r="DI25" s="6"/>
      <c r="DJ25" s="6"/>
      <c r="DK25" s="6"/>
      <c r="DL25" s="6"/>
      <c r="DM25" s="6"/>
      <c r="DN25" s="6"/>
      <c r="DO25" s="6"/>
      <c r="DP25" s="6"/>
      <c r="DQ25" s="6"/>
      <c r="DR25" s="6"/>
      <c r="DS25" s="6"/>
      <c r="DT25" s="6"/>
      <c r="DU25" s="6"/>
      <c r="DV25" s="6"/>
      <c r="DW25" s="6"/>
      <c r="DX25" s="6"/>
      <c r="DY25" s="6"/>
      <c r="DZ25" s="6"/>
      <c r="EA25" s="6"/>
      <c r="EB25" s="6"/>
      <c r="EC25" s="6"/>
      <c r="ED25" s="6"/>
      <c r="EE25" s="6"/>
    </row>
    <row r="26" spans="1:135">
      <c r="A26" s="6"/>
      <c r="B26" s="6"/>
      <c r="C26" s="6"/>
      <c r="D26" s="6"/>
      <c r="E26" s="252"/>
      <c r="F26" s="253"/>
      <c r="G26" s="254"/>
      <c r="H26" s="6"/>
      <c r="I26" s="5"/>
      <c r="J26" s="5"/>
      <c r="K26" s="8"/>
      <c r="L26" s="6" t="s">
        <v>362</v>
      </c>
      <c r="M26" s="6" t="b">
        <v>0</v>
      </c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  <c r="BD26" s="6"/>
      <c r="BE26" s="6"/>
      <c r="BF26" s="6"/>
      <c r="BG26" s="6"/>
      <c r="BH26" s="6"/>
      <c r="BI26" s="6"/>
      <c r="BJ26" s="6"/>
      <c r="BK26" s="6"/>
      <c r="BL26" s="6"/>
      <c r="BM26" s="6"/>
      <c r="BN26" s="6"/>
      <c r="BO26" s="6"/>
      <c r="BP26" s="6"/>
      <c r="BQ26" s="6"/>
      <c r="BR26" s="6"/>
      <c r="BS26" s="6"/>
      <c r="BT26" s="6"/>
      <c r="BU26" s="6"/>
      <c r="BV26" s="6"/>
      <c r="BW26" s="6"/>
      <c r="BX26" s="6"/>
      <c r="BY26" s="6"/>
      <c r="BZ26" s="6"/>
      <c r="CA26" s="6"/>
      <c r="CB26" s="6"/>
      <c r="CC26" s="6"/>
      <c r="CD26" s="6"/>
      <c r="CE26" s="6"/>
      <c r="CF26" s="6"/>
      <c r="CG26" s="6"/>
      <c r="CH26" s="6"/>
      <c r="CI26" s="6"/>
      <c r="CJ26" s="6"/>
      <c r="CK26" s="6"/>
      <c r="CL26" s="6"/>
      <c r="CM26" s="6"/>
      <c r="CN26" s="6"/>
      <c r="CO26" s="6"/>
      <c r="CP26" s="6"/>
      <c r="CQ26" s="6"/>
      <c r="CR26" s="6"/>
      <c r="CS26" s="6"/>
      <c r="CT26" s="6"/>
      <c r="CU26" s="6"/>
      <c r="CV26" s="6"/>
      <c r="CW26" s="6"/>
      <c r="CX26" s="6"/>
      <c r="CY26" s="6"/>
      <c r="CZ26" s="6"/>
      <c r="DA26" s="6"/>
      <c r="DB26" s="6"/>
      <c r="DC26" s="6"/>
      <c r="DD26" s="6"/>
      <c r="DE26" s="6"/>
      <c r="DF26" s="6"/>
      <c r="DG26" s="6"/>
      <c r="DH26" s="6"/>
      <c r="DI26" s="6"/>
      <c r="DJ26" s="6"/>
      <c r="DK26" s="6"/>
      <c r="DL26" s="6"/>
      <c r="DM26" s="6"/>
      <c r="DN26" s="6"/>
      <c r="DO26" s="6"/>
      <c r="DP26" s="6"/>
      <c r="DQ26" s="6"/>
      <c r="DR26" s="6"/>
      <c r="DS26" s="6"/>
      <c r="DT26" s="6"/>
      <c r="DU26" s="6"/>
      <c r="DV26" s="6"/>
      <c r="DW26" s="6"/>
      <c r="DX26" s="6"/>
      <c r="DY26" s="6"/>
      <c r="DZ26" s="6"/>
      <c r="EA26" s="6"/>
      <c r="EB26" s="6"/>
      <c r="EC26" s="6"/>
      <c r="ED26" s="6"/>
      <c r="EE26" s="6"/>
    </row>
    <row r="27" spans="1:135">
      <c r="A27" s="6"/>
      <c r="B27" s="6"/>
      <c r="C27" s="6"/>
      <c r="D27" s="6"/>
      <c r="E27" s="252"/>
      <c r="F27" s="253"/>
      <c r="G27" s="254"/>
      <c r="H27" s="6"/>
      <c r="I27" s="5"/>
      <c r="J27" s="5"/>
      <c r="K27" s="8"/>
      <c r="L27" s="6" t="s">
        <v>351</v>
      </c>
      <c r="M27" s="6" t="b">
        <v>0</v>
      </c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  <c r="BD27" s="6"/>
      <c r="BE27" s="6"/>
      <c r="BF27" s="6"/>
      <c r="BG27" s="6"/>
      <c r="BH27" s="6"/>
      <c r="BI27" s="6"/>
      <c r="BJ27" s="6"/>
      <c r="BK27" s="6"/>
      <c r="BL27" s="6"/>
      <c r="BM27" s="6"/>
      <c r="BN27" s="6"/>
      <c r="BO27" s="6"/>
      <c r="BP27" s="6"/>
      <c r="BQ27" s="6"/>
      <c r="BR27" s="6"/>
      <c r="BS27" s="6"/>
      <c r="BT27" s="6"/>
      <c r="BU27" s="6"/>
      <c r="BV27" s="6"/>
      <c r="BW27" s="6"/>
      <c r="BX27" s="6"/>
      <c r="BY27" s="6"/>
      <c r="BZ27" s="6"/>
      <c r="CA27" s="6"/>
      <c r="CB27" s="6"/>
      <c r="CC27" s="6"/>
      <c r="CD27" s="6"/>
      <c r="CE27" s="6"/>
      <c r="CF27" s="6"/>
      <c r="CG27" s="6"/>
      <c r="CH27" s="6"/>
      <c r="CI27" s="6"/>
      <c r="CJ27" s="6"/>
      <c r="CK27" s="6"/>
      <c r="CL27" s="6"/>
      <c r="CM27" s="6"/>
      <c r="CN27" s="6"/>
      <c r="CO27" s="6"/>
      <c r="CP27" s="6"/>
      <c r="CQ27" s="6"/>
      <c r="CR27" s="6"/>
      <c r="CS27" s="6"/>
      <c r="CT27" s="6"/>
      <c r="CU27" s="6"/>
      <c r="CV27" s="6"/>
      <c r="CW27" s="6"/>
      <c r="CX27" s="6"/>
      <c r="CY27" s="6"/>
      <c r="CZ27" s="6"/>
      <c r="DA27" s="6"/>
      <c r="DB27" s="6"/>
      <c r="DC27" s="6"/>
      <c r="DD27" s="6"/>
      <c r="DE27" s="6"/>
      <c r="DF27" s="6"/>
      <c r="DG27" s="6"/>
      <c r="DH27" s="6"/>
      <c r="DI27" s="6"/>
      <c r="DJ27" s="6"/>
      <c r="DK27" s="6"/>
      <c r="DL27" s="6"/>
      <c r="DM27" s="6"/>
      <c r="DN27" s="6"/>
      <c r="DO27" s="6"/>
      <c r="DP27" s="6"/>
      <c r="DQ27" s="6"/>
      <c r="DR27" s="6"/>
      <c r="DS27" s="6"/>
      <c r="DT27" s="6"/>
      <c r="DU27" s="6"/>
      <c r="DV27" s="6"/>
      <c r="DW27" s="6"/>
      <c r="DX27" s="6"/>
      <c r="DY27" s="6"/>
      <c r="DZ27" s="6"/>
      <c r="EA27" s="6"/>
      <c r="EB27" s="6"/>
      <c r="EC27" s="6"/>
      <c r="ED27" s="6"/>
      <c r="EE27" s="6"/>
    </row>
    <row r="28" spans="1:135">
      <c r="A28" s="6"/>
      <c r="B28" s="6"/>
      <c r="C28" s="6"/>
      <c r="D28" s="6"/>
      <c r="E28" s="252"/>
      <c r="F28" s="253"/>
      <c r="G28" s="254"/>
      <c r="H28" s="6"/>
      <c r="I28" s="5"/>
      <c r="J28" s="5"/>
      <c r="K28" s="8"/>
      <c r="L28" s="6" t="s">
        <v>394</v>
      </c>
      <c r="M28" s="6" t="b">
        <v>0</v>
      </c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6"/>
      <c r="BL28" s="6"/>
      <c r="BM28" s="6"/>
      <c r="BN28" s="6"/>
      <c r="BO28" s="6"/>
      <c r="BP28" s="6"/>
      <c r="BQ28" s="6"/>
      <c r="BR28" s="6"/>
      <c r="BS28" s="6"/>
      <c r="BT28" s="6"/>
      <c r="BU28" s="6"/>
      <c r="BV28" s="6"/>
      <c r="BW28" s="6"/>
      <c r="BX28" s="6"/>
      <c r="BY28" s="6"/>
      <c r="BZ28" s="6"/>
      <c r="CA28" s="6"/>
      <c r="CB28" s="6"/>
      <c r="CC28" s="6"/>
      <c r="CD28" s="6"/>
      <c r="CE28" s="6"/>
      <c r="CF28" s="6"/>
      <c r="CG28" s="6"/>
      <c r="CH28" s="6"/>
      <c r="CI28" s="6"/>
      <c r="CJ28" s="6"/>
      <c r="CK28" s="6"/>
      <c r="CL28" s="6"/>
      <c r="CM28" s="6"/>
      <c r="CN28" s="6"/>
      <c r="CO28" s="6"/>
      <c r="CP28" s="6"/>
      <c r="CQ28" s="6"/>
      <c r="CR28" s="6"/>
      <c r="CS28" s="6"/>
      <c r="CT28" s="6"/>
      <c r="CU28" s="6"/>
      <c r="CV28" s="6"/>
      <c r="CW28" s="6"/>
      <c r="CX28" s="6"/>
      <c r="CY28" s="6"/>
      <c r="CZ28" s="6"/>
      <c r="DA28" s="6"/>
      <c r="DB28" s="6"/>
      <c r="DC28" s="6"/>
      <c r="DD28" s="6"/>
      <c r="DE28" s="6"/>
      <c r="DF28" s="6"/>
      <c r="DG28" s="6"/>
      <c r="DH28" s="6"/>
      <c r="DI28" s="6"/>
      <c r="DJ28" s="6"/>
      <c r="DK28" s="6"/>
      <c r="DL28" s="6"/>
      <c r="DM28" s="6"/>
      <c r="DN28" s="6"/>
      <c r="DO28" s="6"/>
      <c r="DP28" s="6"/>
      <c r="DQ28" s="6"/>
      <c r="DR28" s="6"/>
      <c r="DS28" s="6"/>
      <c r="DT28" s="6"/>
      <c r="DU28" s="6"/>
      <c r="DV28" s="6"/>
      <c r="DW28" s="6"/>
      <c r="DX28" s="6"/>
      <c r="DY28" s="6"/>
      <c r="DZ28" s="6"/>
      <c r="EA28" s="6"/>
      <c r="EB28" s="6"/>
      <c r="EC28" s="6"/>
      <c r="ED28" s="6"/>
      <c r="EE28" s="6"/>
    </row>
    <row r="29" spans="1:135">
      <c r="A29" s="6"/>
      <c r="B29" s="6"/>
      <c r="C29" s="6"/>
      <c r="D29" s="6"/>
      <c r="E29" s="252"/>
      <c r="F29" s="253"/>
      <c r="G29" s="254"/>
      <c r="H29" s="6"/>
      <c r="I29" s="5"/>
      <c r="J29" s="5"/>
      <c r="K29" s="8"/>
      <c r="L29" s="6" t="s">
        <v>407</v>
      </c>
      <c r="M29" s="6" t="b">
        <v>0</v>
      </c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  <c r="BD29" s="6"/>
      <c r="BE29" s="6"/>
      <c r="BF29" s="6"/>
      <c r="BG29" s="6"/>
      <c r="BH29" s="6"/>
      <c r="BI29" s="6"/>
      <c r="BJ29" s="6"/>
      <c r="BK29" s="6"/>
      <c r="BL29" s="6"/>
      <c r="BM29" s="6"/>
      <c r="BN29" s="6"/>
      <c r="BO29" s="6"/>
      <c r="BP29" s="6"/>
      <c r="BQ29" s="6"/>
      <c r="BR29" s="6"/>
      <c r="BS29" s="6"/>
      <c r="BT29" s="6"/>
      <c r="BU29" s="6"/>
      <c r="BV29" s="6"/>
      <c r="BW29" s="6"/>
      <c r="BX29" s="6"/>
      <c r="BY29" s="6"/>
      <c r="BZ29" s="6"/>
      <c r="CA29" s="6"/>
      <c r="CB29" s="6"/>
      <c r="CC29" s="6"/>
      <c r="CD29" s="6"/>
      <c r="CE29" s="6"/>
      <c r="CF29" s="6"/>
      <c r="CG29" s="6"/>
      <c r="CH29" s="6"/>
      <c r="CI29" s="6"/>
      <c r="CJ29" s="6"/>
      <c r="CK29" s="6"/>
      <c r="CL29" s="6"/>
      <c r="CM29" s="6"/>
      <c r="CN29" s="6"/>
      <c r="CO29" s="6"/>
      <c r="CP29" s="6"/>
      <c r="CQ29" s="6"/>
      <c r="CR29" s="6"/>
      <c r="CS29" s="6"/>
      <c r="CT29" s="6"/>
      <c r="CU29" s="6"/>
      <c r="CV29" s="6"/>
      <c r="CW29" s="6"/>
      <c r="CX29" s="6"/>
      <c r="CY29" s="6"/>
      <c r="CZ29" s="6"/>
      <c r="DA29" s="6"/>
      <c r="DB29" s="6"/>
      <c r="DC29" s="6"/>
      <c r="DD29" s="6"/>
      <c r="DE29" s="6"/>
      <c r="DF29" s="6"/>
      <c r="DG29" s="6"/>
      <c r="DH29" s="6"/>
      <c r="DI29" s="6"/>
      <c r="DJ29" s="6"/>
      <c r="DK29" s="6"/>
      <c r="DL29" s="6"/>
      <c r="DM29" s="6"/>
      <c r="DN29" s="6"/>
      <c r="DO29" s="6"/>
      <c r="DP29" s="6"/>
      <c r="DQ29" s="6"/>
      <c r="DR29" s="6"/>
      <c r="DS29" s="6"/>
      <c r="DT29" s="6"/>
      <c r="DU29" s="6"/>
      <c r="DV29" s="6"/>
      <c r="DW29" s="6"/>
      <c r="DX29" s="6"/>
      <c r="DY29" s="6"/>
      <c r="DZ29" s="6"/>
      <c r="EA29" s="6"/>
      <c r="EB29" s="6"/>
      <c r="EC29" s="6"/>
      <c r="ED29" s="6"/>
      <c r="EE29" s="6"/>
    </row>
    <row r="30" spans="1:135">
      <c r="A30" s="6"/>
      <c r="B30" s="6"/>
      <c r="C30" s="6"/>
      <c r="D30" s="6"/>
      <c r="E30" s="252"/>
      <c r="F30" s="253"/>
      <c r="G30" s="254"/>
      <c r="H30" s="6"/>
      <c r="I30" s="5"/>
      <c r="J30" s="5"/>
      <c r="K30" s="8"/>
      <c r="L30" s="6" t="s">
        <v>388</v>
      </c>
      <c r="M30" s="6" t="b">
        <v>0</v>
      </c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  <c r="BD30" s="6"/>
      <c r="BE30" s="6"/>
      <c r="BF30" s="6"/>
      <c r="BG30" s="6"/>
      <c r="BH30" s="6"/>
      <c r="BI30" s="6"/>
      <c r="BJ30" s="6"/>
      <c r="BK30" s="6"/>
      <c r="BL30" s="6"/>
      <c r="BM30" s="6"/>
      <c r="BN30" s="6"/>
      <c r="BO30" s="6"/>
      <c r="BP30" s="6"/>
      <c r="BQ30" s="6"/>
      <c r="BR30" s="6"/>
      <c r="BS30" s="6"/>
      <c r="BT30" s="6"/>
      <c r="BU30" s="6"/>
      <c r="BV30" s="6"/>
      <c r="BW30" s="6"/>
      <c r="BX30" s="6"/>
      <c r="BY30" s="6"/>
      <c r="BZ30" s="6"/>
      <c r="CA30" s="6"/>
      <c r="CB30" s="6"/>
      <c r="CC30" s="6"/>
      <c r="CD30" s="6"/>
      <c r="CE30" s="6"/>
      <c r="CF30" s="6"/>
      <c r="CG30" s="6"/>
      <c r="CH30" s="6"/>
      <c r="CI30" s="6"/>
      <c r="CJ30" s="6"/>
      <c r="CK30" s="6"/>
      <c r="CL30" s="6"/>
      <c r="CM30" s="6"/>
      <c r="CN30" s="6"/>
      <c r="CO30" s="6"/>
      <c r="CP30" s="6"/>
      <c r="CQ30" s="6"/>
      <c r="CR30" s="6"/>
      <c r="CS30" s="6"/>
      <c r="CT30" s="6"/>
      <c r="CU30" s="6"/>
      <c r="CV30" s="6"/>
      <c r="CW30" s="6"/>
      <c r="CX30" s="6"/>
      <c r="CY30" s="6"/>
      <c r="CZ30" s="6"/>
      <c r="DA30" s="6"/>
      <c r="DB30" s="6"/>
      <c r="DC30" s="6"/>
      <c r="DD30" s="6"/>
      <c r="DE30" s="6"/>
      <c r="DF30" s="6"/>
      <c r="DG30" s="6"/>
      <c r="DH30" s="6"/>
      <c r="DI30" s="6"/>
      <c r="DJ30" s="6"/>
      <c r="DK30" s="6"/>
      <c r="DL30" s="6"/>
      <c r="DM30" s="6"/>
      <c r="DN30" s="6"/>
      <c r="DO30" s="6"/>
      <c r="DP30" s="6"/>
      <c r="DQ30" s="6"/>
      <c r="DR30" s="6"/>
      <c r="DS30" s="6"/>
      <c r="DT30" s="6"/>
      <c r="DU30" s="6"/>
      <c r="DV30" s="6"/>
      <c r="DW30" s="6"/>
      <c r="DX30" s="6"/>
      <c r="DY30" s="6"/>
      <c r="DZ30" s="6"/>
      <c r="EA30" s="6"/>
      <c r="EB30" s="6"/>
      <c r="EC30" s="6"/>
      <c r="ED30" s="6"/>
      <c r="EE30" s="6"/>
    </row>
    <row r="31" spans="1:135">
      <c r="A31" s="6"/>
      <c r="B31" s="6"/>
      <c r="C31" s="6"/>
      <c r="D31" s="6"/>
      <c r="E31" s="252"/>
      <c r="F31" s="253"/>
      <c r="G31" s="254"/>
      <c r="H31" s="6"/>
      <c r="I31" s="5"/>
      <c r="J31" s="5"/>
      <c r="K31" s="8"/>
      <c r="L31" s="6" t="s">
        <v>1120</v>
      </c>
      <c r="M31" s="6" t="b">
        <v>0</v>
      </c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X31" s="6"/>
      <c r="BY31" s="6"/>
      <c r="BZ31" s="6"/>
      <c r="CA31" s="6"/>
      <c r="CB31" s="6"/>
      <c r="CC31" s="6"/>
      <c r="CD31" s="6"/>
      <c r="CE31" s="6"/>
      <c r="CF31" s="6"/>
      <c r="CG31" s="6"/>
      <c r="CH31" s="6"/>
      <c r="CI31" s="6"/>
      <c r="CJ31" s="6"/>
      <c r="CK31" s="6"/>
      <c r="CL31" s="6"/>
      <c r="CM31" s="6"/>
      <c r="CN31" s="6"/>
      <c r="CO31" s="6"/>
      <c r="CP31" s="6"/>
      <c r="CQ31" s="6"/>
      <c r="CR31" s="6"/>
      <c r="CS31" s="6"/>
      <c r="CT31" s="6"/>
      <c r="CU31" s="6"/>
      <c r="CV31" s="6"/>
      <c r="CW31" s="6"/>
      <c r="CX31" s="6"/>
      <c r="CY31" s="6"/>
      <c r="CZ31" s="6"/>
      <c r="DA31" s="6"/>
      <c r="DB31" s="6"/>
      <c r="DC31" s="6"/>
      <c r="DD31" s="6"/>
      <c r="DE31" s="6"/>
      <c r="DF31" s="6"/>
      <c r="DG31" s="6"/>
      <c r="DH31" s="6"/>
      <c r="DI31" s="6"/>
      <c r="DJ31" s="6"/>
      <c r="DK31" s="6"/>
      <c r="DL31" s="6"/>
      <c r="DM31" s="6"/>
      <c r="DN31" s="6"/>
      <c r="DO31" s="6"/>
      <c r="DP31" s="6"/>
      <c r="DQ31" s="6"/>
      <c r="DR31" s="6"/>
      <c r="DS31" s="6"/>
      <c r="DT31" s="6"/>
      <c r="DU31" s="6"/>
      <c r="DV31" s="6"/>
      <c r="DW31" s="6"/>
      <c r="DX31" s="6"/>
      <c r="DY31" s="6"/>
      <c r="DZ31" s="6"/>
      <c r="EA31" s="6"/>
      <c r="EB31" s="6"/>
      <c r="EC31" s="6"/>
      <c r="ED31" s="6"/>
      <c r="EE31" s="6"/>
    </row>
    <row r="32" spans="1:135">
      <c r="A32" s="6"/>
      <c r="B32" s="6"/>
      <c r="C32" s="6"/>
      <c r="D32" s="6"/>
      <c r="E32" s="252"/>
      <c r="F32" s="253"/>
      <c r="G32" s="254"/>
      <c r="H32" s="6"/>
      <c r="I32" s="5"/>
      <c r="J32" s="5"/>
      <c r="K32" s="8"/>
      <c r="L32" s="6" t="s">
        <v>365</v>
      </c>
      <c r="M32" s="6" t="b">
        <v>0</v>
      </c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  <c r="BD32" s="6"/>
      <c r="BE32" s="6"/>
      <c r="BF32" s="6"/>
      <c r="BG32" s="6"/>
      <c r="BH32" s="6"/>
      <c r="BI32" s="6"/>
      <c r="BJ32" s="6"/>
      <c r="BK32" s="6"/>
      <c r="BL32" s="6"/>
      <c r="BM32" s="6"/>
      <c r="BN32" s="6"/>
      <c r="BO32" s="6"/>
      <c r="BP32" s="6"/>
      <c r="BQ32" s="6"/>
      <c r="BR32" s="6"/>
      <c r="BS32" s="6"/>
      <c r="BT32" s="6"/>
      <c r="BU32" s="6"/>
      <c r="BV32" s="6"/>
      <c r="BW32" s="6"/>
      <c r="BX32" s="6"/>
      <c r="BY32" s="6"/>
      <c r="BZ32" s="6"/>
      <c r="CA32" s="6"/>
      <c r="CB32" s="6"/>
      <c r="CC32" s="6"/>
      <c r="CD32" s="6"/>
      <c r="CE32" s="6"/>
      <c r="CF32" s="6"/>
      <c r="CG32" s="6"/>
      <c r="CH32" s="6"/>
      <c r="CI32" s="6"/>
      <c r="CJ32" s="6"/>
      <c r="CK32" s="6"/>
      <c r="CL32" s="6"/>
      <c r="CM32" s="6"/>
      <c r="CN32" s="6"/>
      <c r="CO32" s="6"/>
      <c r="CP32" s="6"/>
      <c r="CQ32" s="6"/>
      <c r="CR32" s="6"/>
      <c r="CS32" s="6"/>
      <c r="CT32" s="6"/>
      <c r="CU32" s="6"/>
      <c r="CV32" s="6"/>
      <c r="CW32" s="6"/>
      <c r="CX32" s="6"/>
      <c r="CY32" s="6"/>
      <c r="CZ32" s="6"/>
      <c r="DA32" s="6"/>
      <c r="DB32" s="6"/>
      <c r="DC32" s="6"/>
      <c r="DD32" s="6"/>
      <c r="DE32" s="6"/>
      <c r="DF32" s="6"/>
      <c r="DG32" s="6"/>
      <c r="DH32" s="6"/>
      <c r="DI32" s="6"/>
      <c r="DJ32" s="6"/>
      <c r="DK32" s="6"/>
      <c r="DL32" s="6"/>
      <c r="DM32" s="6"/>
      <c r="DN32" s="6"/>
      <c r="DO32" s="6"/>
      <c r="DP32" s="6"/>
      <c r="DQ32" s="6"/>
      <c r="DR32" s="6"/>
      <c r="DS32" s="6"/>
      <c r="DT32" s="6"/>
      <c r="DU32" s="6"/>
      <c r="DV32" s="6"/>
      <c r="DW32" s="6"/>
      <c r="DX32" s="6"/>
      <c r="DY32" s="6"/>
      <c r="DZ32" s="6"/>
      <c r="EA32" s="6"/>
      <c r="EB32" s="6"/>
      <c r="EC32" s="6"/>
      <c r="ED32" s="6"/>
      <c r="EE32" s="6"/>
    </row>
    <row r="33" spans="1:135">
      <c r="A33" s="6"/>
      <c r="B33" s="6"/>
      <c r="C33" s="6"/>
      <c r="D33" s="6"/>
      <c r="E33" s="252"/>
      <c r="F33" s="253"/>
      <c r="G33" s="254"/>
      <c r="H33" s="6"/>
      <c r="I33" s="5"/>
      <c r="J33" s="5"/>
      <c r="K33" s="8"/>
      <c r="L33" s="6" t="s">
        <v>345</v>
      </c>
      <c r="M33" s="6" t="b">
        <v>0</v>
      </c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  <c r="BD33" s="6"/>
      <c r="BE33" s="6"/>
      <c r="BF33" s="6"/>
      <c r="BG33" s="6"/>
      <c r="BH33" s="6"/>
      <c r="BI33" s="6"/>
      <c r="BJ33" s="6"/>
      <c r="BK33" s="6"/>
      <c r="BL33" s="6"/>
      <c r="BM33" s="6"/>
      <c r="BN33" s="6"/>
      <c r="BO33" s="6"/>
      <c r="BP33" s="6"/>
      <c r="BQ33" s="6"/>
      <c r="BR33" s="6"/>
      <c r="BS33" s="6"/>
      <c r="BT33" s="6"/>
      <c r="BU33" s="6"/>
      <c r="BV33" s="6"/>
      <c r="BW33" s="6"/>
      <c r="BX33" s="6"/>
      <c r="BY33" s="6"/>
      <c r="BZ33" s="6"/>
      <c r="CA33" s="6"/>
      <c r="CB33" s="6"/>
      <c r="CC33" s="6"/>
      <c r="CD33" s="6"/>
      <c r="CE33" s="6"/>
      <c r="CF33" s="6"/>
      <c r="CG33" s="6"/>
      <c r="CH33" s="6"/>
      <c r="CI33" s="6"/>
      <c r="CJ33" s="6"/>
      <c r="CK33" s="6"/>
      <c r="CL33" s="6"/>
      <c r="CM33" s="6"/>
      <c r="CN33" s="6"/>
      <c r="CO33" s="6"/>
      <c r="CP33" s="6"/>
      <c r="CQ33" s="6"/>
      <c r="CR33" s="6"/>
      <c r="CS33" s="6"/>
      <c r="CT33" s="6"/>
      <c r="CU33" s="6"/>
      <c r="CV33" s="6"/>
      <c r="CW33" s="6"/>
      <c r="CX33" s="6"/>
      <c r="CY33" s="6"/>
      <c r="CZ33" s="6"/>
      <c r="DA33" s="6"/>
      <c r="DB33" s="6"/>
      <c r="DC33" s="6"/>
      <c r="DD33" s="6"/>
      <c r="DE33" s="6"/>
      <c r="DF33" s="6"/>
      <c r="DG33" s="6"/>
      <c r="DH33" s="6"/>
      <c r="DI33" s="6"/>
      <c r="DJ33" s="6"/>
      <c r="DK33" s="6"/>
      <c r="DL33" s="6"/>
      <c r="DM33" s="6"/>
      <c r="DN33" s="6"/>
      <c r="DO33" s="6"/>
      <c r="DP33" s="6"/>
      <c r="DQ33" s="6"/>
      <c r="DR33" s="6"/>
      <c r="DS33" s="6"/>
      <c r="DT33" s="6"/>
      <c r="DU33" s="6"/>
      <c r="DV33" s="6"/>
      <c r="DW33" s="6"/>
      <c r="DX33" s="6"/>
      <c r="DY33" s="6"/>
      <c r="DZ33" s="6"/>
      <c r="EA33" s="6"/>
      <c r="EB33" s="6"/>
      <c r="EC33" s="6"/>
      <c r="ED33" s="6"/>
      <c r="EE33" s="6"/>
    </row>
    <row r="34" spans="1:135">
      <c r="A34" s="6"/>
      <c r="B34" s="6"/>
      <c r="C34" s="6"/>
      <c r="D34" s="6"/>
      <c r="E34" s="252"/>
      <c r="F34" s="253"/>
      <c r="G34" s="254"/>
      <c r="H34" s="6"/>
      <c r="I34" s="5"/>
      <c r="J34" s="5"/>
      <c r="K34" s="8"/>
      <c r="L34" s="6" t="s">
        <v>1110</v>
      </c>
      <c r="M34" s="6" t="b">
        <v>0</v>
      </c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6"/>
      <c r="BL34" s="6"/>
      <c r="BM34" s="6"/>
      <c r="BN34" s="6"/>
      <c r="BO34" s="6"/>
      <c r="BP34" s="6"/>
      <c r="BQ34" s="6"/>
      <c r="BR34" s="6"/>
      <c r="BS34" s="6"/>
      <c r="BT34" s="6"/>
      <c r="BU34" s="6"/>
      <c r="BV34" s="6"/>
      <c r="BW34" s="6"/>
      <c r="BX34" s="6"/>
      <c r="BY34" s="6"/>
      <c r="BZ34" s="6"/>
      <c r="CA34" s="6"/>
      <c r="CB34" s="6"/>
      <c r="CC34" s="6"/>
      <c r="CD34" s="6"/>
      <c r="CE34" s="6"/>
      <c r="CF34" s="6"/>
      <c r="CG34" s="6"/>
      <c r="CH34" s="6"/>
      <c r="CI34" s="6"/>
      <c r="CJ34" s="6"/>
      <c r="CK34" s="6"/>
      <c r="CL34" s="6"/>
      <c r="CM34" s="6"/>
      <c r="CN34" s="6"/>
      <c r="CO34" s="6"/>
      <c r="CP34" s="6"/>
      <c r="CQ34" s="6"/>
      <c r="CR34" s="6"/>
      <c r="CS34" s="6"/>
      <c r="CT34" s="6"/>
      <c r="CU34" s="6"/>
      <c r="CV34" s="6"/>
      <c r="CW34" s="6"/>
      <c r="CX34" s="6"/>
      <c r="CY34" s="6"/>
      <c r="CZ34" s="6"/>
      <c r="DA34" s="6"/>
      <c r="DB34" s="6"/>
      <c r="DC34" s="6"/>
      <c r="DD34" s="6"/>
      <c r="DE34" s="6"/>
      <c r="DF34" s="6"/>
      <c r="DG34" s="6"/>
      <c r="DH34" s="6"/>
      <c r="DI34" s="6"/>
      <c r="DJ34" s="6"/>
      <c r="DK34" s="6"/>
      <c r="DL34" s="6"/>
      <c r="DM34" s="6"/>
      <c r="DN34" s="6"/>
      <c r="DO34" s="6"/>
      <c r="DP34" s="6"/>
      <c r="DQ34" s="6"/>
      <c r="DR34" s="6"/>
      <c r="DS34" s="6"/>
      <c r="DT34" s="6"/>
      <c r="DU34" s="6"/>
      <c r="DV34" s="6"/>
      <c r="DW34" s="6"/>
      <c r="DX34" s="6"/>
      <c r="DY34" s="6"/>
      <c r="DZ34" s="6"/>
      <c r="EA34" s="6"/>
      <c r="EB34" s="6"/>
      <c r="EC34" s="6"/>
      <c r="ED34" s="6"/>
      <c r="EE34" s="6"/>
    </row>
    <row r="35" spans="1:135">
      <c r="A35" s="6"/>
      <c r="B35" s="6"/>
      <c r="C35" s="6"/>
      <c r="D35" s="6"/>
      <c r="E35" s="252"/>
      <c r="F35" s="253"/>
      <c r="G35" s="254"/>
      <c r="H35" s="6"/>
      <c r="I35" s="5"/>
      <c r="J35" s="5"/>
      <c r="K35" s="8"/>
      <c r="L35" s="6" t="s">
        <v>363</v>
      </c>
      <c r="M35" s="6" t="b">
        <v>1</v>
      </c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  <c r="BD35" s="6"/>
      <c r="BE35" s="6"/>
      <c r="BF35" s="6"/>
      <c r="BG35" s="6"/>
      <c r="BH35" s="6"/>
      <c r="BI35" s="6"/>
      <c r="BJ35" s="6"/>
      <c r="BK35" s="6"/>
      <c r="BL35" s="6"/>
      <c r="BM35" s="6"/>
      <c r="BN35" s="6"/>
      <c r="BO35" s="6"/>
      <c r="BP35" s="6"/>
      <c r="BQ35" s="6"/>
      <c r="BR35" s="6"/>
      <c r="BS35" s="6"/>
      <c r="BT35" s="6"/>
      <c r="BU35" s="6"/>
      <c r="BV35" s="6"/>
      <c r="BW35" s="6"/>
      <c r="BX35" s="6"/>
      <c r="BY35" s="6"/>
      <c r="BZ35" s="6"/>
      <c r="CA35" s="6"/>
      <c r="CB35" s="6"/>
      <c r="CC35" s="6"/>
      <c r="CD35" s="6"/>
      <c r="CE35" s="6"/>
      <c r="CF35" s="6"/>
      <c r="CG35" s="6"/>
      <c r="CH35" s="6"/>
      <c r="CI35" s="6"/>
      <c r="CJ35" s="6"/>
      <c r="CK35" s="6"/>
      <c r="CL35" s="6"/>
      <c r="CM35" s="6"/>
      <c r="CN35" s="6"/>
      <c r="CO35" s="6"/>
      <c r="CP35" s="6"/>
      <c r="CQ35" s="6"/>
      <c r="CR35" s="6"/>
      <c r="CS35" s="6"/>
      <c r="CT35" s="6"/>
      <c r="CU35" s="6"/>
      <c r="CV35" s="6"/>
      <c r="CW35" s="6"/>
      <c r="CX35" s="6"/>
      <c r="CY35" s="6"/>
      <c r="CZ35" s="6"/>
      <c r="DA35" s="6"/>
      <c r="DB35" s="6"/>
      <c r="DC35" s="6"/>
      <c r="DD35" s="6"/>
      <c r="DE35" s="6"/>
      <c r="DF35" s="6"/>
      <c r="DG35" s="6"/>
      <c r="DH35" s="6"/>
      <c r="DI35" s="6"/>
      <c r="DJ35" s="6"/>
      <c r="DK35" s="6"/>
      <c r="DL35" s="6"/>
      <c r="DM35" s="6"/>
      <c r="DN35" s="6"/>
      <c r="DO35" s="6"/>
      <c r="DP35" s="6"/>
      <c r="DQ35" s="6"/>
      <c r="DR35" s="6"/>
      <c r="DS35" s="6"/>
      <c r="DT35" s="6"/>
      <c r="DU35" s="6"/>
      <c r="DV35" s="6"/>
      <c r="DW35" s="6"/>
      <c r="DX35" s="6"/>
      <c r="DY35" s="6"/>
      <c r="DZ35" s="6"/>
      <c r="EA35" s="6"/>
      <c r="EB35" s="6"/>
      <c r="EC35" s="6"/>
      <c r="ED35" s="6"/>
      <c r="EE35" s="6"/>
    </row>
    <row r="36" spans="1:135">
      <c r="A36" s="6"/>
      <c r="B36" s="6"/>
      <c r="C36" s="6"/>
      <c r="D36" s="6"/>
      <c r="E36" s="252"/>
      <c r="F36" s="253"/>
      <c r="G36" s="254"/>
      <c r="H36" s="6"/>
      <c r="I36" s="5"/>
      <c r="J36" s="5"/>
      <c r="K36" s="8"/>
      <c r="L36" s="6" t="s">
        <v>342</v>
      </c>
      <c r="M36" s="6" t="b">
        <v>0</v>
      </c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6"/>
      <c r="BI36" s="6"/>
      <c r="BJ36" s="6"/>
      <c r="BK36" s="6"/>
      <c r="BL36" s="6"/>
      <c r="BM36" s="6"/>
      <c r="BN36" s="6"/>
      <c r="BO36" s="6"/>
      <c r="BP36" s="6"/>
      <c r="BQ36" s="6"/>
      <c r="BR36" s="6"/>
      <c r="BS36" s="6"/>
      <c r="BT36" s="6"/>
      <c r="BU36" s="6"/>
      <c r="BV36" s="6"/>
      <c r="BW36" s="6"/>
      <c r="BX36" s="6"/>
      <c r="BY36" s="6"/>
      <c r="BZ36" s="6"/>
      <c r="CA36" s="6"/>
      <c r="CB36" s="6"/>
      <c r="CC36" s="6"/>
      <c r="CD36" s="6"/>
      <c r="CE36" s="6"/>
      <c r="CF36" s="6"/>
      <c r="CG36" s="6"/>
      <c r="CH36" s="6"/>
      <c r="CI36" s="6"/>
      <c r="CJ36" s="6"/>
      <c r="CK36" s="6"/>
      <c r="CL36" s="6"/>
      <c r="CM36" s="6"/>
      <c r="CN36" s="6"/>
      <c r="CO36" s="6"/>
      <c r="CP36" s="6"/>
      <c r="CQ36" s="6"/>
      <c r="CR36" s="6"/>
      <c r="CS36" s="6"/>
      <c r="CT36" s="6"/>
      <c r="CU36" s="6"/>
      <c r="CV36" s="6"/>
      <c r="CW36" s="6"/>
      <c r="CX36" s="6"/>
      <c r="CY36" s="6"/>
      <c r="CZ36" s="6"/>
      <c r="DA36" s="6"/>
      <c r="DB36" s="6"/>
      <c r="DC36" s="6"/>
      <c r="DD36" s="6"/>
      <c r="DE36" s="6"/>
      <c r="DF36" s="6"/>
      <c r="DG36" s="6"/>
      <c r="DH36" s="6"/>
      <c r="DI36" s="6"/>
      <c r="DJ36" s="6"/>
      <c r="DK36" s="6"/>
      <c r="DL36" s="6"/>
      <c r="DM36" s="6"/>
      <c r="DN36" s="6"/>
      <c r="DO36" s="6"/>
      <c r="DP36" s="6"/>
      <c r="DQ36" s="6"/>
      <c r="DR36" s="6"/>
      <c r="DS36" s="6"/>
      <c r="DT36" s="6"/>
      <c r="DU36" s="6"/>
      <c r="DV36" s="6"/>
      <c r="DW36" s="6"/>
      <c r="DX36" s="6"/>
      <c r="DY36" s="6"/>
      <c r="DZ36" s="6"/>
      <c r="EA36" s="6"/>
      <c r="EB36" s="6"/>
      <c r="EC36" s="6"/>
      <c r="ED36" s="6"/>
      <c r="EE36" s="6"/>
    </row>
    <row r="37" spans="1:135">
      <c r="A37" s="6"/>
      <c r="B37" s="6"/>
      <c r="C37" s="6"/>
      <c r="D37" s="6"/>
      <c r="E37" s="252"/>
      <c r="F37" s="253"/>
      <c r="G37" s="254"/>
      <c r="H37" s="6"/>
      <c r="I37" s="5"/>
      <c r="J37" s="5"/>
      <c r="K37" s="8"/>
      <c r="L37" s="6" t="s">
        <v>344</v>
      </c>
      <c r="M37" s="6" t="b">
        <v>0</v>
      </c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6"/>
      <c r="BL37" s="6"/>
      <c r="BM37" s="6"/>
      <c r="BN37" s="6"/>
      <c r="BO37" s="6"/>
      <c r="BP37" s="6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6"/>
      <c r="CB37" s="6"/>
      <c r="CC37" s="6"/>
      <c r="CD37" s="6"/>
      <c r="CE37" s="6"/>
      <c r="CF37" s="6"/>
      <c r="CG37" s="6"/>
      <c r="CH37" s="6"/>
      <c r="CI37" s="6"/>
      <c r="CJ37" s="6"/>
      <c r="CK37" s="6"/>
      <c r="CL37" s="6"/>
      <c r="CM37" s="6"/>
      <c r="CN37" s="6"/>
      <c r="CO37" s="6"/>
      <c r="CP37" s="6"/>
      <c r="CQ37" s="6"/>
      <c r="CR37" s="6"/>
      <c r="CS37" s="6"/>
      <c r="CT37" s="6"/>
      <c r="CU37" s="6"/>
      <c r="CV37" s="6"/>
      <c r="CW37" s="6"/>
      <c r="CX37" s="6"/>
      <c r="CY37" s="6"/>
      <c r="CZ37" s="6"/>
      <c r="DA37" s="6"/>
      <c r="DB37" s="6"/>
      <c r="DC37" s="6"/>
      <c r="DD37" s="6"/>
      <c r="DE37" s="6"/>
      <c r="DF37" s="6"/>
      <c r="DG37" s="6"/>
      <c r="DH37" s="6"/>
      <c r="DI37" s="6"/>
      <c r="DJ37" s="6"/>
      <c r="DK37" s="6"/>
      <c r="DL37" s="6"/>
      <c r="DM37" s="6"/>
      <c r="DN37" s="6"/>
      <c r="DO37" s="6"/>
      <c r="DP37" s="6"/>
      <c r="DQ37" s="6"/>
      <c r="DR37" s="6"/>
      <c r="DS37" s="6"/>
      <c r="DT37" s="6"/>
      <c r="DU37" s="6"/>
      <c r="DV37" s="6"/>
      <c r="DW37" s="6"/>
      <c r="DX37" s="6"/>
      <c r="DY37" s="6"/>
      <c r="DZ37" s="6"/>
      <c r="EA37" s="6"/>
      <c r="EB37" s="6"/>
      <c r="EC37" s="6"/>
      <c r="ED37" s="6"/>
      <c r="EE37" s="6"/>
    </row>
    <row r="38" spans="1:135">
      <c r="A38" s="6"/>
      <c r="B38" s="6"/>
      <c r="C38" s="6"/>
      <c r="D38" s="6"/>
      <c r="E38" s="252"/>
      <c r="F38" s="253"/>
      <c r="G38" s="254"/>
      <c r="H38" s="6"/>
      <c r="I38" s="5"/>
      <c r="J38" s="5"/>
      <c r="K38" s="8"/>
      <c r="L38" s="6" t="s">
        <v>364</v>
      </c>
      <c r="M38" s="6" t="b">
        <v>0</v>
      </c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  <c r="BD38" s="6"/>
      <c r="BE38" s="6"/>
      <c r="BF38" s="6"/>
      <c r="BG38" s="6"/>
      <c r="BH38" s="6"/>
      <c r="BI38" s="6"/>
      <c r="BJ38" s="6"/>
      <c r="BK38" s="6"/>
      <c r="BL38" s="6"/>
      <c r="BM38" s="6"/>
      <c r="BN38" s="6"/>
      <c r="BO38" s="6"/>
      <c r="BP38" s="6"/>
      <c r="BQ38" s="6"/>
      <c r="BR38" s="6"/>
      <c r="BS38" s="6"/>
      <c r="BT38" s="6"/>
      <c r="BU38" s="6"/>
      <c r="BV38" s="6"/>
      <c r="BW38" s="6"/>
      <c r="BX38" s="6"/>
      <c r="BY38" s="6"/>
      <c r="BZ38" s="6"/>
      <c r="CA38" s="6"/>
      <c r="CB38" s="6"/>
      <c r="CC38" s="6"/>
      <c r="CD38" s="6"/>
      <c r="CE38" s="6"/>
      <c r="CF38" s="6"/>
      <c r="CG38" s="6"/>
      <c r="CH38" s="6"/>
      <c r="CI38" s="6"/>
      <c r="CJ38" s="6"/>
      <c r="CK38" s="6"/>
      <c r="CL38" s="6"/>
      <c r="CM38" s="6"/>
      <c r="CN38" s="6"/>
      <c r="CO38" s="6"/>
      <c r="CP38" s="6"/>
      <c r="CQ38" s="6"/>
      <c r="CR38" s="6"/>
      <c r="CS38" s="6"/>
      <c r="CT38" s="6"/>
      <c r="CU38" s="6"/>
      <c r="CV38" s="6"/>
      <c r="CW38" s="6"/>
      <c r="CX38" s="6"/>
      <c r="CY38" s="6"/>
      <c r="CZ38" s="6"/>
      <c r="DA38" s="6"/>
      <c r="DB38" s="6"/>
      <c r="DC38" s="6"/>
      <c r="DD38" s="6"/>
      <c r="DE38" s="6"/>
      <c r="DF38" s="6"/>
      <c r="DG38" s="6"/>
      <c r="DH38" s="6"/>
      <c r="DI38" s="6"/>
      <c r="DJ38" s="6"/>
      <c r="DK38" s="6"/>
      <c r="DL38" s="6"/>
      <c r="DM38" s="6"/>
      <c r="DN38" s="6"/>
      <c r="DO38" s="6"/>
      <c r="DP38" s="6"/>
      <c r="DQ38" s="6"/>
      <c r="DR38" s="6"/>
      <c r="DS38" s="6"/>
      <c r="DT38" s="6"/>
      <c r="DU38" s="6"/>
      <c r="DV38" s="6"/>
      <c r="DW38" s="6"/>
      <c r="DX38" s="6"/>
      <c r="DY38" s="6"/>
      <c r="DZ38" s="6"/>
      <c r="EA38" s="6"/>
      <c r="EB38" s="6"/>
      <c r="EC38" s="6"/>
      <c r="ED38" s="6"/>
      <c r="EE38" s="6"/>
    </row>
    <row r="39" spans="1:135">
      <c r="A39" s="6"/>
      <c r="B39" s="6"/>
      <c r="C39" s="6"/>
      <c r="D39" s="6"/>
      <c r="E39" s="252"/>
      <c r="F39" s="253"/>
      <c r="G39" s="254"/>
      <c r="H39" s="6"/>
      <c r="I39" s="5"/>
      <c r="J39" s="5"/>
      <c r="K39" s="8"/>
      <c r="L39" s="6" t="s">
        <v>343</v>
      </c>
      <c r="M39" s="6" t="b">
        <v>0</v>
      </c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  <c r="BD39" s="6"/>
      <c r="BE39" s="6"/>
      <c r="BF39" s="6"/>
      <c r="BG39" s="6"/>
      <c r="BH39" s="6"/>
      <c r="BI39" s="6"/>
      <c r="BJ39" s="6"/>
      <c r="BK39" s="6"/>
      <c r="BL39" s="6"/>
      <c r="BM39" s="6"/>
      <c r="BN39" s="6"/>
      <c r="BO39" s="6"/>
      <c r="BP39" s="6"/>
      <c r="BQ39" s="6"/>
      <c r="BR39" s="6"/>
      <c r="BS39" s="6"/>
      <c r="BT39" s="6"/>
      <c r="BU39" s="6"/>
      <c r="BV39" s="6"/>
      <c r="BW39" s="6"/>
      <c r="BX39" s="6"/>
      <c r="BY39" s="6"/>
      <c r="BZ39" s="6"/>
      <c r="CA39" s="6"/>
      <c r="CB39" s="6"/>
      <c r="CC39" s="6"/>
      <c r="CD39" s="6"/>
      <c r="CE39" s="6"/>
      <c r="CF39" s="6"/>
      <c r="CG39" s="6"/>
      <c r="CH39" s="6"/>
      <c r="CI39" s="6"/>
      <c r="CJ39" s="6"/>
      <c r="CK39" s="6"/>
      <c r="CL39" s="6"/>
      <c r="CM39" s="6"/>
      <c r="CN39" s="6"/>
      <c r="CO39" s="6"/>
      <c r="CP39" s="6"/>
      <c r="CQ39" s="6"/>
      <c r="CR39" s="6"/>
      <c r="CS39" s="6"/>
      <c r="CT39" s="6"/>
      <c r="CU39" s="6"/>
      <c r="CV39" s="6"/>
      <c r="CW39" s="6"/>
      <c r="CX39" s="6"/>
      <c r="CY39" s="6"/>
      <c r="CZ39" s="6"/>
      <c r="DA39" s="6"/>
      <c r="DB39" s="6"/>
      <c r="DC39" s="6"/>
      <c r="DD39" s="6"/>
      <c r="DE39" s="6"/>
      <c r="DF39" s="6"/>
      <c r="DG39" s="6"/>
      <c r="DH39" s="6"/>
      <c r="DI39" s="6"/>
      <c r="DJ39" s="6"/>
      <c r="DK39" s="6"/>
      <c r="DL39" s="6"/>
      <c r="DM39" s="6"/>
      <c r="DN39" s="6"/>
      <c r="DO39" s="6"/>
      <c r="DP39" s="6"/>
      <c r="DQ39" s="6"/>
      <c r="DR39" s="6"/>
      <c r="DS39" s="6"/>
      <c r="DT39" s="6"/>
      <c r="DU39" s="6"/>
      <c r="DV39" s="6"/>
      <c r="DW39" s="6"/>
      <c r="DX39" s="6"/>
      <c r="DY39" s="6"/>
      <c r="DZ39" s="6"/>
      <c r="EA39" s="6"/>
      <c r="EB39" s="6"/>
      <c r="EC39" s="6"/>
      <c r="ED39" s="6"/>
      <c r="EE39" s="6"/>
    </row>
    <row r="40" spans="1:135">
      <c r="A40" s="6"/>
      <c r="B40" s="6"/>
      <c r="C40" s="6"/>
      <c r="D40" s="6"/>
      <c r="E40" s="252"/>
      <c r="F40" s="253"/>
      <c r="G40" s="254"/>
      <c r="H40" s="6"/>
      <c r="I40" s="5"/>
      <c r="J40" s="5"/>
      <c r="K40" s="8"/>
      <c r="L40" s="6" t="s">
        <v>373</v>
      </c>
      <c r="M40" s="6" t="b">
        <v>0</v>
      </c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6"/>
      <c r="BL40" s="6"/>
      <c r="BM40" s="6"/>
      <c r="BN40" s="6"/>
      <c r="BO40" s="6"/>
      <c r="BP40" s="6"/>
      <c r="BQ40" s="6"/>
      <c r="BR40" s="6"/>
      <c r="BS40" s="6"/>
      <c r="BT40" s="6"/>
      <c r="BU40" s="6"/>
      <c r="BV40" s="6"/>
      <c r="BW40" s="6"/>
      <c r="BX40" s="6"/>
      <c r="BY40" s="6"/>
      <c r="BZ40" s="6"/>
      <c r="CA40" s="6"/>
      <c r="CB40" s="6"/>
      <c r="CC40" s="6"/>
      <c r="CD40" s="6"/>
      <c r="CE40" s="6"/>
      <c r="CF40" s="6"/>
      <c r="CG40" s="6"/>
      <c r="CH40" s="6"/>
      <c r="CI40" s="6"/>
      <c r="CJ40" s="6"/>
      <c r="CK40" s="6"/>
      <c r="CL40" s="6"/>
      <c r="CM40" s="6"/>
      <c r="CN40" s="6"/>
      <c r="CO40" s="6"/>
      <c r="CP40" s="6"/>
      <c r="CQ40" s="6"/>
      <c r="CR40" s="6"/>
      <c r="CS40" s="6"/>
      <c r="CT40" s="6"/>
      <c r="CU40" s="6"/>
      <c r="CV40" s="6"/>
      <c r="CW40" s="6"/>
      <c r="CX40" s="6"/>
      <c r="CY40" s="6"/>
      <c r="CZ40" s="6"/>
      <c r="DA40" s="6"/>
      <c r="DB40" s="6"/>
      <c r="DC40" s="6"/>
      <c r="DD40" s="6"/>
      <c r="DE40" s="6"/>
      <c r="DF40" s="6"/>
      <c r="DG40" s="6"/>
      <c r="DH40" s="6"/>
      <c r="DI40" s="6"/>
      <c r="DJ40" s="6"/>
      <c r="DK40" s="6"/>
      <c r="DL40" s="6"/>
      <c r="DM40" s="6"/>
      <c r="DN40" s="6"/>
      <c r="DO40" s="6"/>
      <c r="DP40" s="6"/>
      <c r="DQ40" s="6"/>
      <c r="DR40" s="6"/>
      <c r="DS40" s="6"/>
      <c r="DT40" s="6"/>
      <c r="DU40" s="6"/>
      <c r="DV40" s="6"/>
      <c r="DW40" s="6"/>
      <c r="DX40" s="6"/>
      <c r="DY40" s="6"/>
      <c r="DZ40" s="6"/>
      <c r="EA40" s="6"/>
      <c r="EB40" s="6"/>
      <c r="EC40" s="6"/>
      <c r="ED40" s="6"/>
      <c r="EE40" s="6"/>
    </row>
    <row r="41" spans="1:135">
      <c r="A41" s="6"/>
      <c r="B41" s="6"/>
      <c r="C41" s="6"/>
      <c r="D41" s="6"/>
      <c r="E41" s="252"/>
      <c r="F41" s="253"/>
      <c r="G41" s="254"/>
      <c r="H41" s="6"/>
      <c r="I41" s="5"/>
      <c r="J41" s="5"/>
      <c r="K41" s="8"/>
      <c r="L41" s="6" t="s">
        <v>348</v>
      </c>
      <c r="M41" s="6" t="b">
        <v>0</v>
      </c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  <c r="BD41" s="6"/>
      <c r="BE41" s="6"/>
      <c r="BF41" s="6"/>
      <c r="BG41" s="6"/>
      <c r="BH41" s="6"/>
      <c r="BI41" s="6"/>
      <c r="BJ41" s="6"/>
      <c r="BK41" s="6"/>
      <c r="BL41" s="6"/>
      <c r="BM41" s="6"/>
      <c r="BN41" s="6"/>
      <c r="BO41" s="6"/>
      <c r="BP41" s="6"/>
      <c r="BQ41" s="6"/>
      <c r="BR41" s="6"/>
      <c r="BS41" s="6"/>
      <c r="BT41" s="6"/>
      <c r="BU41" s="6"/>
      <c r="BV41" s="6"/>
      <c r="BW41" s="6"/>
      <c r="BX41" s="6"/>
      <c r="BY41" s="6"/>
      <c r="BZ41" s="6"/>
      <c r="CA41" s="6"/>
      <c r="CB41" s="6"/>
      <c r="CC41" s="6"/>
      <c r="CD41" s="6"/>
      <c r="CE41" s="6"/>
      <c r="CF41" s="6"/>
      <c r="CG41" s="6"/>
      <c r="CH41" s="6"/>
      <c r="CI41" s="6"/>
      <c r="CJ41" s="6"/>
      <c r="CK41" s="6"/>
      <c r="CL41" s="6"/>
      <c r="CM41" s="6"/>
      <c r="CN41" s="6"/>
      <c r="CO41" s="6"/>
      <c r="CP41" s="6"/>
      <c r="CQ41" s="6"/>
      <c r="CR41" s="6"/>
      <c r="CS41" s="6"/>
      <c r="CT41" s="6"/>
      <c r="CU41" s="6"/>
      <c r="CV41" s="6"/>
      <c r="CW41" s="6"/>
      <c r="CX41" s="6"/>
      <c r="CY41" s="6"/>
      <c r="CZ41" s="6"/>
      <c r="DA41" s="6"/>
      <c r="DB41" s="6"/>
      <c r="DC41" s="6"/>
      <c r="DD41" s="6"/>
      <c r="DE41" s="6"/>
      <c r="DF41" s="6"/>
      <c r="DG41" s="6"/>
      <c r="DH41" s="6"/>
      <c r="DI41" s="6"/>
      <c r="DJ41" s="6"/>
      <c r="DK41" s="6"/>
      <c r="DL41" s="6"/>
      <c r="DM41" s="6"/>
      <c r="DN41" s="6"/>
      <c r="DO41" s="6"/>
      <c r="DP41" s="6"/>
      <c r="DQ41" s="6"/>
      <c r="DR41" s="6"/>
      <c r="DS41" s="6"/>
      <c r="DT41" s="6"/>
      <c r="DU41" s="6"/>
      <c r="DV41" s="6"/>
      <c r="DW41" s="6"/>
      <c r="DX41" s="6"/>
      <c r="DY41" s="6"/>
      <c r="DZ41" s="6"/>
      <c r="EA41" s="6"/>
      <c r="EB41" s="6"/>
      <c r="EC41" s="6"/>
      <c r="ED41" s="6"/>
      <c r="EE41" s="6"/>
    </row>
    <row r="42" spans="1:135">
      <c r="A42" s="6"/>
      <c r="B42" s="6"/>
      <c r="C42" s="6"/>
      <c r="D42" s="6"/>
      <c r="E42" s="252"/>
      <c r="F42" s="253"/>
      <c r="G42" s="254"/>
      <c r="H42" s="6"/>
      <c r="I42" s="5"/>
      <c r="J42" s="5"/>
      <c r="K42" s="8"/>
      <c r="L42" s="6" t="s">
        <v>349</v>
      </c>
      <c r="M42" s="6" t="b">
        <v>0</v>
      </c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  <c r="BD42" s="6"/>
      <c r="BE42" s="6"/>
      <c r="BF42" s="6"/>
      <c r="BG42" s="6"/>
      <c r="BH42" s="6"/>
      <c r="BI42" s="6"/>
      <c r="BJ42" s="6"/>
      <c r="BK42" s="6"/>
      <c r="BL42" s="6"/>
      <c r="BM42" s="6"/>
      <c r="BN42" s="6"/>
      <c r="BO42" s="6"/>
      <c r="BP42" s="6"/>
      <c r="BQ42" s="6"/>
      <c r="BR42" s="6"/>
      <c r="BS42" s="6"/>
      <c r="BT42" s="6"/>
      <c r="BU42" s="6"/>
      <c r="BV42" s="6"/>
      <c r="BW42" s="6"/>
      <c r="BX42" s="6"/>
      <c r="BY42" s="6"/>
      <c r="BZ42" s="6"/>
      <c r="CA42" s="6"/>
      <c r="CB42" s="6"/>
      <c r="CC42" s="6"/>
      <c r="CD42" s="6"/>
      <c r="CE42" s="6"/>
      <c r="CF42" s="6"/>
      <c r="CG42" s="6"/>
      <c r="CH42" s="6"/>
      <c r="CI42" s="6"/>
      <c r="CJ42" s="6"/>
      <c r="CK42" s="6"/>
      <c r="CL42" s="6"/>
      <c r="CM42" s="6"/>
      <c r="CN42" s="6"/>
      <c r="CO42" s="6"/>
      <c r="CP42" s="6"/>
      <c r="CQ42" s="6"/>
      <c r="CR42" s="6"/>
      <c r="CS42" s="6"/>
      <c r="CT42" s="6"/>
      <c r="CU42" s="6"/>
      <c r="CV42" s="6"/>
      <c r="CW42" s="6"/>
      <c r="CX42" s="6"/>
      <c r="CY42" s="6"/>
      <c r="CZ42" s="6"/>
      <c r="DA42" s="6"/>
      <c r="DB42" s="6"/>
      <c r="DC42" s="6"/>
      <c r="DD42" s="6"/>
      <c r="DE42" s="6"/>
      <c r="DF42" s="6"/>
      <c r="DG42" s="6"/>
      <c r="DH42" s="6"/>
      <c r="DI42" s="6"/>
      <c r="DJ42" s="6"/>
      <c r="DK42" s="6"/>
      <c r="DL42" s="6"/>
      <c r="DM42" s="6"/>
      <c r="DN42" s="6"/>
      <c r="DO42" s="6"/>
      <c r="DP42" s="6"/>
      <c r="DQ42" s="6"/>
      <c r="DR42" s="6"/>
      <c r="DS42" s="6"/>
      <c r="DT42" s="6"/>
      <c r="DU42" s="6"/>
      <c r="DV42" s="6"/>
      <c r="DW42" s="6"/>
      <c r="DX42" s="6"/>
      <c r="DY42" s="6"/>
      <c r="DZ42" s="6"/>
      <c r="EA42" s="6"/>
      <c r="EB42" s="6"/>
      <c r="EC42" s="6"/>
      <c r="ED42" s="6"/>
      <c r="EE42" s="6"/>
    </row>
    <row r="43" spans="1:135">
      <c r="A43" s="6"/>
      <c r="B43" s="6"/>
      <c r="C43" s="6"/>
      <c r="D43" s="6"/>
      <c r="E43" s="252"/>
      <c r="F43" s="253"/>
      <c r="G43" s="254"/>
      <c r="H43" s="6"/>
      <c r="I43" s="5"/>
      <c r="J43" s="5"/>
      <c r="K43" s="8"/>
      <c r="L43" s="6" t="s">
        <v>376</v>
      </c>
      <c r="M43" s="6" t="b">
        <v>0</v>
      </c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  <c r="BD43" s="6"/>
      <c r="BE43" s="6"/>
      <c r="BF43" s="6"/>
      <c r="BG43" s="6"/>
      <c r="BH43" s="6"/>
      <c r="BI43" s="6"/>
      <c r="BJ43" s="6"/>
      <c r="BK43" s="6"/>
      <c r="BL43" s="6"/>
      <c r="BM43" s="6"/>
      <c r="BN43" s="6"/>
      <c r="BO43" s="6"/>
      <c r="BP43" s="6"/>
      <c r="BQ43" s="6"/>
      <c r="BR43" s="6"/>
      <c r="BS43" s="6"/>
      <c r="BT43" s="6"/>
      <c r="BU43" s="6"/>
      <c r="BV43" s="6"/>
      <c r="BW43" s="6"/>
      <c r="BX43" s="6"/>
      <c r="BY43" s="6"/>
      <c r="BZ43" s="6"/>
      <c r="CA43" s="6"/>
      <c r="CB43" s="6"/>
      <c r="CC43" s="6"/>
      <c r="CD43" s="6"/>
      <c r="CE43" s="6"/>
      <c r="CF43" s="6"/>
      <c r="CG43" s="6"/>
      <c r="CH43" s="6"/>
      <c r="CI43" s="6"/>
      <c r="CJ43" s="6"/>
      <c r="CK43" s="6"/>
      <c r="CL43" s="6"/>
      <c r="CM43" s="6"/>
      <c r="CN43" s="6"/>
      <c r="CO43" s="6"/>
      <c r="CP43" s="6"/>
      <c r="CQ43" s="6"/>
      <c r="CR43" s="6"/>
      <c r="CS43" s="6"/>
      <c r="CT43" s="6"/>
      <c r="CU43" s="6"/>
      <c r="CV43" s="6"/>
      <c r="CW43" s="6"/>
      <c r="CX43" s="6"/>
      <c r="CY43" s="6"/>
      <c r="CZ43" s="6"/>
      <c r="DA43" s="6"/>
      <c r="DB43" s="6"/>
      <c r="DC43" s="6"/>
      <c r="DD43" s="6"/>
      <c r="DE43" s="6"/>
      <c r="DF43" s="6"/>
      <c r="DG43" s="6"/>
      <c r="DH43" s="6"/>
      <c r="DI43" s="6"/>
      <c r="DJ43" s="6"/>
      <c r="DK43" s="6"/>
      <c r="DL43" s="6"/>
      <c r="DM43" s="6"/>
      <c r="DN43" s="6"/>
      <c r="DO43" s="6"/>
      <c r="DP43" s="6"/>
      <c r="DQ43" s="6"/>
      <c r="DR43" s="6"/>
      <c r="DS43" s="6"/>
      <c r="DT43" s="6"/>
      <c r="DU43" s="6"/>
      <c r="DV43" s="6"/>
      <c r="DW43" s="6"/>
      <c r="DX43" s="6"/>
      <c r="DY43" s="6"/>
      <c r="DZ43" s="6"/>
      <c r="EA43" s="6"/>
      <c r="EB43" s="6"/>
      <c r="EC43" s="6"/>
      <c r="ED43" s="6"/>
      <c r="EE43" s="6"/>
    </row>
    <row r="44" spans="1:135">
      <c r="A44" s="6"/>
      <c r="B44" s="6"/>
      <c r="C44" s="6"/>
      <c r="D44" s="6"/>
      <c r="E44" s="252"/>
      <c r="F44" s="253"/>
      <c r="G44" s="254"/>
      <c r="H44" s="6"/>
      <c r="I44" s="5"/>
      <c r="J44" s="5"/>
      <c r="K44" s="8"/>
      <c r="L44" s="6" t="s">
        <v>350</v>
      </c>
      <c r="M44" s="6" t="b">
        <v>0</v>
      </c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  <c r="BD44" s="6"/>
      <c r="BE44" s="6"/>
      <c r="BF44" s="6"/>
      <c r="BG44" s="6"/>
      <c r="BH44" s="6"/>
      <c r="BI44" s="6"/>
      <c r="BJ44" s="6"/>
      <c r="BK44" s="6"/>
      <c r="BL44" s="6"/>
      <c r="BM44" s="6"/>
      <c r="BN44" s="6"/>
      <c r="BO44" s="6"/>
      <c r="BP44" s="6"/>
      <c r="BQ44" s="6"/>
      <c r="BR44" s="6"/>
      <c r="BS44" s="6"/>
      <c r="BT44" s="6"/>
      <c r="BU44" s="6"/>
      <c r="BV44" s="6"/>
      <c r="BW44" s="6"/>
      <c r="BX44" s="6"/>
      <c r="BY44" s="6"/>
      <c r="BZ44" s="6"/>
      <c r="CA44" s="6"/>
      <c r="CB44" s="6"/>
      <c r="CC44" s="6"/>
      <c r="CD44" s="6"/>
      <c r="CE44" s="6"/>
      <c r="CF44" s="6"/>
      <c r="CG44" s="6"/>
      <c r="CH44" s="6"/>
      <c r="CI44" s="6"/>
      <c r="CJ44" s="6"/>
      <c r="CK44" s="6"/>
      <c r="CL44" s="6"/>
      <c r="CM44" s="6"/>
      <c r="CN44" s="6"/>
      <c r="CO44" s="6"/>
      <c r="CP44" s="6"/>
      <c r="CQ44" s="6"/>
      <c r="CR44" s="6"/>
      <c r="CS44" s="6"/>
      <c r="CT44" s="6"/>
      <c r="CU44" s="6"/>
      <c r="CV44" s="6"/>
      <c r="CW44" s="6"/>
      <c r="CX44" s="6"/>
      <c r="CY44" s="6"/>
      <c r="CZ44" s="6"/>
      <c r="DA44" s="6"/>
      <c r="DB44" s="6"/>
      <c r="DC44" s="6"/>
      <c r="DD44" s="6"/>
      <c r="DE44" s="6"/>
      <c r="DF44" s="6"/>
      <c r="DG44" s="6"/>
      <c r="DH44" s="6"/>
      <c r="DI44" s="6"/>
      <c r="DJ44" s="6"/>
      <c r="DK44" s="6"/>
      <c r="DL44" s="6"/>
      <c r="DM44" s="6"/>
      <c r="DN44" s="6"/>
      <c r="DO44" s="6"/>
      <c r="DP44" s="6"/>
      <c r="DQ44" s="6"/>
      <c r="DR44" s="6"/>
      <c r="DS44" s="6"/>
      <c r="DT44" s="6"/>
      <c r="DU44" s="6"/>
      <c r="DV44" s="6"/>
      <c r="DW44" s="6"/>
      <c r="DX44" s="6"/>
      <c r="DY44" s="6"/>
      <c r="DZ44" s="6"/>
      <c r="EA44" s="6"/>
      <c r="EB44" s="6"/>
      <c r="EC44" s="6"/>
      <c r="ED44" s="6"/>
      <c r="EE44" s="6"/>
    </row>
    <row r="45" spans="1:135">
      <c r="A45" s="6"/>
      <c r="B45" s="6"/>
      <c r="C45" s="6"/>
      <c r="D45" s="6"/>
      <c r="E45" s="252"/>
      <c r="F45" s="253"/>
      <c r="G45" s="254"/>
      <c r="H45" s="6"/>
      <c r="I45" s="5"/>
      <c r="J45" s="5"/>
      <c r="K45" s="8"/>
      <c r="L45" s="6" t="s">
        <v>375</v>
      </c>
      <c r="M45" s="6" t="b">
        <v>0</v>
      </c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  <c r="BD45" s="6"/>
      <c r="BE45" s="6"/>
      <c r="BF45" s="6"/>
      <c r="BG45" s="6"/>
      <c r="BH45" s="6"/>
      <c r="BI45" s="6"/>
      <c r="BJ45" s="6"/>
      <c r="BK45" s="6"/>
      <c r="BL45" s="6"/>
      <c r="BM45" s="6"/>
      <c r="BN45" s="6"/>
      <c r="BO45" s="6"/>
      <c r="BP45" s="6"/>
      <c r="BQ45" s="6"/>
      <c r="BR45" s="6"/>
      <c r="BS45" s="6"/>
      <c r="BT45" s="6"/>
      <c r="BU45" s="6"/>
      <c r="BV45" s="6"/>
      <c r="BW45" s="6"/>
      <c r="BX45" s="6"/>
      <c r="BY45" s="6"/>
      <c r="BZ45" s="6"/>
      <c r="CA45" s="6"/>
      <c r="CB45" s="6"/>
      <c r="CC45" s="6"/>
      <c r="CD45" s="6"/>
      <c r="CE45" s="6"/>
      <c r="CF45" s="6"/>
      <c r="CG45" s="6"/>
      <c r="CH45" s="6"/>
      <c r="CI45" s="6"/>
      <c r="CJ45" s="6"/>
      <c r="CK45" s="6"/>
      <c r="CL45" s="6"/>
      <c r="CM45" s="6"/>
      <c r="CN45" s="6"/>
      <c r="CO45" s="6"/>
      <c r="CP45" s="6"/>
      <c r="CQ45" s="6"/>
      <c r="CR45" s="6"/>
      <c r="CS45" s="6"/>
      <c r="CT45" s="6"/>
      <c r="CU45" s="6"/>
      <c r="CV45" s="6"/>
      <c r="CW45" s="6"/>
      <c r="CX45" s="6"/>
      <c r="CY45" s="6"/>
      <c r="CZ45" s="6"/>
      <c r="DA45" s="6"/>
      <c r="DB45" s="6"/>
      <c r="DC45" s="6"/>
      <c r="DD45" s="6"/>
      <c r="DE45" s="6"/>
      <c r="DF45" s="6"/>
      <c r="DG45" s="6"/>
      <c r="DH45" s="6"/>
      <c r="DI45" s="6"/>
      <c r="DJ45" s="6"/>
      <c r="DK45" s="6"/>
      <c r="DL45" s="6"/>
      <c r="DM45" s="6"/>
      <c r="DN45" s="6"/>
      <c r="DO45" s="6"/>
      <c r="DP45" s="6"/>
      <c r="DQ45" s="6"/>
      <c r="DR45" s="6"/>
      <c r="DS45" s="6"/>
      <c r="DT45" s="6"/>
      <c r="DU45" s="6"/>
      <c r="DV45" s="6"/>
      <c r="DW45" s="6"/>
      <c r="DX45" s="6"/>
      <c r="DY45" s="6"/>
      <c r="DZ45" s="6"/>
      <c r="EA45" s="6"/>
      <c r="EB45" s="6"/>
      <c r="EC45" s="6"/>
      <c r="ED45" s="6"/>
      <c r="EE45" s="6"/>
    </row>
    <row r="46" spans="1:135">
      <c r="A46" s="6"/>
      <c r="B46" s="6"/>
      <c r="C46" s="6"/>
      <c r="D46" s="6"/>
      <c r="E46" s="252"/>
      <c r="F46" s="253"/>
      <c r="G46" s="254"/>
      <c r="H46" s="6"/>
      <c r="I46" s="5"/>
      <c r="J46" s="5"/>
      <c r="K46" s="8"/>
      <c r="L46" s="6" t="s">
        <v>372</v>
      </c>
      <c r="M46" s="6" t="b">
        <v>0</v>
      </c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  <c r="BD46" s="6"/>
      <c r="BE46" s="6"/>
      <c r="BF46" s="6"/>
      <c r="BG46" s="6"/>
      <c r="BH46" s="6"/>
      <c r="BI46" s="6"/>
      <c r="BJ46" s="6"/>
      <c r="BK46" s="6"/>
      <c r="BL46" s="6"/>
      <c r="BM46" s="6"/>
      <c r="BN46" s="6"/>
      <c r="BO46" s="6"/>
      <c r="BP46" s="6"/>
      <c r="BQ46" s="6"/>
      <c r="BR46" s="6"/>
      <c r="BS46" s="6"/>
      <c r="BT46" s="6"/>
      <c r="BU46" s="6"/>
      <c r="BV46" s="6"/>
      <c r="BW46" s="6"/>
      <c r="BX46" s="6"/>
      <c r="BY46" s="6"/>
      <c r="BZ46" s="6"/>
      <c r="CA46" s="6"/>
      <c r="CB46" s="6"/>
      <c r="CC46" s="6"/>
      <c r="CD46" s="6"/>
      <c r="CE46" s="6"/>
      <c r="CF46" s="6"/>
      <c r="CG46" s="6"/>
      <c r="CH46" s="6"/>
      <c r="CI46" s="6"/>
      <c r="CJ46" s="6"/>
      <c r="CK46" s="6"/>
      <c r="CL46" s="6"/>
      <c r="CM46" s="6"/>
      <c r="CN46" s="6"/>
      <c r="CO46" s="6"/>
      <c r="CP46" s="6"/>
      <c r="CQ46" s="6"/>
      <c r="CR46" s="6"/>
      <c r="CS46" s="6"/>
      <c r="CT46" s="6"/>
      <c r="CU46" s="6"/>
      <c r="CV46" s="6"/>
      <c r="CW46" s="6"/>
      <c r="CX46" s="6"/>
      <c r="CY46" s="6"/>
      <c r="CZ46" s="6"/>
      <c r="DA46" s="6"/>
      <c r="DB46" s="6"/>
      <c r="DC46" s="6"/>
      <c r="DD46" s="6"/>
      <c r="DE46" s="6"/>
      <c r="DF46" s="6"/>
      <c r="DG46" s="6"/>
      <c r="DH46" s="6"/>
      <c r="DI46" s="6"/>
      <c r="DJ46" s="6"/>
      <c r="DK46" s="6"/>
      <c r="DL46" s="6"/>
      <c r="DM46" s="6"/>
      <c r="DN46" s="6"/>
      <c r="DO46" s="6"/>
      <c r="DP46" s="6"/>
      <c r="DQ46" s="6"/>
      <c r="DR46" s="6"/>
      <c r="DS46" s="6"/>
      <c r="DT46" s="6"/>
      <c r="DU46" s="6"/>
      <c r="DV46" s="6"/>
      <c r="DW46" s="6"/>
      <c r="DX46" s="6"/>
      <c r="DY46" s="6"/>
      <c r="DZ46" s="6"/>
      <c r="EA46" s="6"/>
      <c r="EB46" s="6"/>
      <c r="EC46" s="6"/>
      <c r="ED46" s="6"/>
      <c r="EE46" s="6"/>
    </row>
    <row r="47" spans="1:135">
      <c r="A47" s="6"/>
      <c r="B47" s="6"/>
      <c r="C47" s="6"/>
      <c r="D47" s="6"/>
      <c r="E47" s="252"/>
      <c r="F47" s="253"/>
      <c r="G47" s="254"/>
      <c r="H47" s="6"/>
      <c r="I47" s="5"/>
      <c r="J47" s="5"/>
      <c r="K47" s="8"/>
      <c r="L47" s="6" t="s">
        <v>352</v>
      </c>
      <c r="M47" s="6" t="b">
        <v>0</v>
      </c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  <c r="BD47" s="6"/>
      <c r="BE47" s="6"/>
      <c r="BF47" s="6"/>
      <c r="BG47" s="6"/>
      <c r="BH47" s="6"/>
      <c r="BI47" s="6"/>
      <c r="BJ47" s="6"/>
      <c r="BK47" s="6"/>
      <c r="BL47" s="6"/>
      <c r="BM47" s="6"/>
      <c r="BN47" s="6"/>
      <c r="BO47" s="6"/>
      <c r="BP47" s="6"/>
      <c r="BQ47" s="6"/>
      <c r="BR47" s="6"/>
      <c r="BS47" s="6"/>
      <c r="BT47" s="6"/>
      <c r="BU47" s="6"/>
      <c r="BV47" s="6"/>
      <c r="BW47" s="6"/>
      <c r="BX47" s="6"/>
      <c r="BY47" s="6"/>
      <c r="BZ47" s="6"/>
      <c r="CA47" s="6"/>
      <c r="CB47" s="6"/>
      <c r="CC47" s="6"/>
      <c r="CD47" s="6"/>
      <c r="CE47" s="6"/>
      <c r="CF47" s="6"/>
      <c r="CG47" s="6"/>
      <c r="CH47" s="6"/>
      <c r="CI47" s="6"/>
      <c r="CJ47" s="6"/>
      <c r="CK47" s="6"/>
      <c r="CL47" s="6"/>
      <c r="CM47" s="6"/>
      <c r="CN47" s="6"/>
      <c r="CO47" s="6"/>
      <c r="CP47" s="6"/>
      <c r="CQ47" s="6"/>
      <c r="CR47" s="6"/>
      <c r="CS47" s="6"/>
      <c r="CT47" s="6"/>
      <c r="CU47" s="6"/>
      <c r="CV47" s="6"/>
      <c r="CW47" s="6"/>
      <c r="CX47" s="6"/>
      <c r="CY47" s="6"/>
      <c r="CZ47" s="6"/>
      <c r="DA47" s="6"/>
      <c r="DB47" s="6"/>
      <c r="DC47" s="6"/>
      <c r="DD47" s="6"/>
      <c r="DE47" s="6"/>
      <c r="DF47" s="6"/>
      <c r="DG47" s="6"/>
      <c r="DH47" s="6"/>
      <c r="DI47" s="6"/>
      <c r="DJ47" s="6"/>
      <c r="DK47" s="6"/>
      <c r="DL47" s="6"/>
      <c r="DM47" s="6"/>
      <c r="DN47" s="6"/>
      <c r="DO47" s="6"/>
      <c r="DP47" s="6"/>
      <c r="DQ47" s="6"/>
      <c r="DR47" s="6"/>
      <c r="DS47" s="6"/>
      <c r="DT47" s="6"/>
      <c r="DU47" s="6"/>
      <c r="DV47" s="6"/>
      <c r="DW47" s="6"/>
      <c r="DX47" s="6"/>
      <c r="DY47" s="6"/>
      <c r="DZ47" s="6"/>
      <c r="EA47" s="6"/>
      <c r="EB47" s="6"/>
      <c r="EC47" s="6"/>
      <c r="ED47" s="6"/>
      <c r="EE47" s="6"/>
    </row>
    <row r="48" spans="1:135">
      <c r="A48" s="6"/>
      <c r="B48" s="6"/>
      <c r="C48" s="6"/>
      <c r="D48" s="6"/>
      <c r="E48" s="252"/>
      <c r="F48" s="253"/>
      <c r="G48" s="254"/>
      <c r="H48" s="6"/>
      <c r="I48" s="5"/>
      <c r="J48" s="5"/>
      <c r="K48" s="8"/>
      <c r="L48" s="6" t="s">
        <v>353</v>
      </c>
      <c r="M48" s="6" t="b">
        <v>0</v>
      </c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  <c r="BD48" s="6"/>
      <c r="BE48" s="6"/>
      <c r="BF48" s="6"/>
      <c r="BG48" s="6"/>
      <c r="BH48" s="6"/>
      <c r="BI48" s="6"/>
      <c r="BJ48" s="6"/>
      <c r="BK48" s="6"/>
      <c r="BL48" s="6"/>
      <c r="BM48" s="6"/>
      <c r="BN48" s="6"/>
      <c r="BO48" s="6"/>
      <c r="BP48" s="6"/>
      <c r="BQ48" s="6"/>
      <c r="BR48" s="6"/>
      <c r="BS48" s="6"/>
      <c r="BT48" s="6"/>
      <c r="BU48" s="6"/>
      <c r="BV48" s="6"/>
      <c r="BW48" s="6"/>
      <c r="BX48" s="6"/>
      <c r="BY48" s="6"/>
      <c r="BZ48" s="6"/>
      <c r="CA48" s="6"/>
      <c r="CB48" s="6"/>
      <c r="CC48" s="6"/>
      <c r="CD48" s="6"/>
      <c r="CE48" s="6"/>
      <c r="CF48" s="6"/>
      <c r="CG48" s="6"/>
      <c r="CH48" s="6"/>
      <c r="CI48" s="6"/>
      <c r="CJ48" s="6"/>
      <c r="CK48" s="6"/>
      <c r="CL48" s="6"/>
      <c r="CM48" s="6"/>
      <c r="CN48" s="6"/>
      <c r="CO48" s="6"/>
      <c r="CP48" s="6"/>
      <c r="CQ48" s="6"/>
      <c r="CR48" s="6"/>
      <c r="CS48" s="6"/>
      <c r="CT48" s="6"/>
      <c r="CU48" s="6"/>
      <c r="CV48" s="6"/>
      <c r="CW48" s="6"/>
      <c r="CX48" s="6"/>
      <c r="CY48" s="6"/>
      <c r="CZ48" s="6"/>
      <c r="DA48" s="6"/>
      <c r="DB48" s="6"/>
      <c r="DC48" s="6"/>
      <c r="DD48" s="6"/>
      <c r="DE48" s="6"/>
      <c r="DF48" s="6"/>
      <c r="DG48" s="6"/>
      <c r="DH48" s="6"/>
      <c r="DI48" s="6"/>
      <c r="DJ48" s="6"/>
      <c r="DK48" s="6"/>
      <c r="DL48" s="6"/>
      <c r="DM48" s="6"/>
      <c r="DN48" s="6"/>
      <c r="DO48" s="6"/>
      <c r="DP48" s="6"/>
      <c r="DQ48" s="6"/>
      <c r="DR48" s="6"/>
      <c r="DS48" s="6"/>
      <c r="DT48" s="6"/>
      <c r="DU48" s="6"/>
      <c r="DV48" s="6"/>
      <c r="DW48" s="6"/>
      <c r="DX48" s="6"/>
      <c r="DY48" s="6"/>
      <c r="DZ48" s="6"/>
      <c r="EA48" s="6"/>
      <c r="EB48" s="6"/>
      <c r="EC48" s="6"/>
      <c r="ED48" s="6"/>
      <c r="EE48" s="6"/>
    </row>
    <row r="49" spans="1:135">
      <c r="A49" s="6"/>
      <c r="B49" s="6"/>
      <c r="C49" s="6"/>
      <c r="D49" s="6"/>
      <c r="E49" s="252"/>
      <c r="F49" s="253"/>
      <c r="G49" s="254"/>
      <c r="H49" s="6"/>
      <c r="I49" s="5"/>
      <c r="J49" s="5"/>
      <c r="K49" s="8"/>
      <c r="L49" s="6" t="s">
        <v>359</v>
      </c>
      <c r="M49" s="6" t="b">
        <v>0</v>
      </c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  <c r="BD49" s="6"/>
      <c r="BE49" s="6"/>
      <c r="BF49" s="6"/>
      <c r="BG49" s="6"/>
      <c r="BH49" s="6"/>
      <c r="BI49" s="6"/>
      <c r="BJ49" s="6"/>
      <c r="BK49" s="6"/>
      <c r="BL49" s="6"/>
      <c r="BM49" s="6"/>
      <c r="BN49" s="6"/>
      <c r="BO49" s="6"/>
      <c r="BP49" s="6"/>
      <c r="BQ49" s="6"/>
      <c r="BR49" s="6"/>
      <c r="BS49" s="6"/>
      <c r="BT49" s="6"/>
      <c r="BU49" s="6"/>
      <c r="BV49" s="6"/>
      <c r="BW49" s="6"/>
      <c r="BX49" s="6"/>
      <c r="BY49" s="6"/>
      <c r="BZ49" s="6"/>
      <c r="CA49" s="6"/>
      <c r="CB49" s="6"/>
      <c r="CC49" s="6"/>
      <c r="CD49" s="6"/>
      <c r="CE49" s="6"/>
      <c r="CF49" s="6"/>
      <c r="CG49" s="6"/>
      <c r="CH49" s="6"/>
      <c r="CI49" s="6"/>
      <c r="CJ49" s="6"/>
      <c r="CK49" s="6"/>
      <c r="CL49" s="6"/>
      <c r="CM49" s="6"/>
      <c r="CN49" s="6"/>
      <c r="CO49" s="6"/>
      <c r="CP49" s="6"/>
      <c r="CQ49" s="6"/>
      <c r="CR49" s="6"/>
      <c r="CS49" s="6"/>
      <c r="CT49" s="6"/>
      <c r="CU49" s="6"/>
      <c r="CV49" s="6"/>
      <c r="CW49" s="6"/>
      <c r="CX49" s="6"/>
      <c r="CY49" s="6"/>
      <c r="CZ49" s="6"/>
      <c r="DA49" s="6"/>
      <c r="DB49" s="6"/>
      <c r="DC49" s="6"/>
      <c r="DD49" s="6"/>
      <c r="DE49" s="6"/>
      <c r="DF49" s="6"/>
      <c r="DG49" s="6"/>
      <c r="DH49" s="6"/>
      <c r="DI49" s="6"/>
      <c r="DJ49" s="6"/>
      <c r="DK49" s="6"/>
      <c r="DL49" s="6"/>
      <c r="DM49" s="6"/>
      <c r="DN49" s="6"/>
      <c r="DO49" s="6"/>
      <c r="DP49" s="6"/>
      <c r="DQ49" s="6"/>
      <c r="DR49" s="6"/>
      <c r="DS49" s="6"/>
      <c r="DT49" s="6"/>
      <c r="DU49" s="6"/>
      <c r="DV49" s="6"/>
      <c r="DW49" s="6"/>
      <c r="DX49" s="6"/>
      <c r="DY49" s="6"/>
      <c r="DZ49" s="6"/>
      <c r="EA49" s="6"/>
      <c r="EB49" s="6"/>
      <c r="EC49" s="6"/>
      <c r="ED49" s="6"/>
      <c r="EE49" s="6"/>
    </row>
    <row r="50" spans="1:135">
      <c r="A50" s="6"/>
      <c r="B50" s="6"/>
      <c r="C50" s="6"/>
      <c r="D50" s="6"/>
      <c r="E50" s="252"/>
      <c r="F50" s="253"/>
      <c r="G50" s="254"/>
      <c r="H50" s="6"/>
      <c r="I50" s="5"/>
      <c r="J50" s="5"/>
      <c r="K50" s="8"/>
      <c r="L50" s="6" t="s">
        <v>366</v>
      </c>
      <c r="M50" s="6" t="b">
        <v>0</v>
      </c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  <c r="BD50" s="6"/>
      <c r="BE50" s="6"/>
      <c r="BF50" s="6"/>
      <c r="BG50" s="6"/>
      <c r="BH50" s="6"/>
      <c r="BI50" s="6"/>
      <c r="BJ50" s="6"/>
      <c r="BK50" s="6"/>
      <c r="BL50" s="6"/>
      <c r="BM50" s="6"/>
      <c r="BN50" s="6"/>
      <c r="BO50" s="6"/>
      <c r="BP50" s="6"/>
      <c r="BQ50" s="6"/>
      <c r="BR50" s="6"/>
      <c r="BS50" s="6"/>
      <c r="BT50" s="6"/>
      <c r="BU50" s="6"/>
      <c r="BV50" s="6"/>
      <c r="BW50" s="6"/>
      <c r="BX50" s="6"/>
      <c r="BY50" s="6"/>
      <c r="BZ50" s="6"/>
      <c r="CA50" s="6"/>
      <c r="CB50" s="6"/>
      <c r="CC50" s="6"/>
      <c r="CD50" s="6"/>
      <c r="CE50" s="6"/>
      <c r="CF50" s="6"/>
      <c r="CG50" s="6"/>
      <c r="CH50" s="6"/>
      <c r="CI50" s="6"/>
      <c r="CJ50" s="6"/>
      <c r="CK50" s="6"/>
      <c r="CL50" s="6"/>
      <c r="CM50" s="6"/>
      <c r="CN50" s="6"/>
      <c r="CO50" s="6"/>
      <c r="CP50" s="6"/>
      <c r="CQ50" s="6"/>
      <c r="CR50" s="6"/>
      <c r="CS50" s="6"/>
      <c r="CT50" s="6"/>
      <c r="CU50" s="6"/>
      <c r="CV50" s="6"/>
      <c r="CW50" s="6"/>
      <c r="CX50" s="6"/>
      <c r="CY50" s="6"/>
      <c r="CZ50" s="6"/>
      <c r="DA50" s="6"/>
      <c r="DB50" s="6"/>
      <c r="DC50" s="6"/>
      <c r="DD50" s="6"/>
      <c r="DE50" s="6"/>
      <c r="DF50" s="6"/>
      <c r="DG50" s="6"/>
      <c r="DH50" s="6"/>
      <c r="DI50" s="6"/>
      <c r="DJ50" s="6"/>
      <c r="DK50" s="6"/>
      <c r="DL50" s="6"/>
      <c r="DM50" s="6"/>
      <c r="DN50" s="6"/>
      <c r="DO50" s="6"/>
      <c r="DP50" s="6"/>
      <c r="DQ50" s="6"/>
      <c r="DR50" s="6"/>
      <c r="DS50" s="6"/>
      <c r="DT50" s="6"/>
      <c r="DU50" s="6"/>
      <c r="DV50" s="6"/>
      <c r="DW50" s="6"/>
      <c r="DX50" s="6"/>
      <c r="DY50" s="6"/>
      <c r="DZ50" s="6"/>
      <c r="EA50" s="6"/>
      <c r="EB50" s="6"/>
      <c r="EC50" s="6"/>
      <c r="ED50" s="6"/>
      <c r="EE50" s="6"/>
    </row>
    <row r="51" spans="1:135">
      <c r="A51" s="6"/>
      <c r="B51" s="6"/>
      <c r="C51" s="6"/>
      <c r="D51" s="6"/>
      <c r="E51" s="252"/>
      <c r="F51" s="253"/>
      <c r="G51" s="254"/>
      <c r="H51" s="6"/>
      <c r="I51" s="5"/>
      <c r="J51" s="5"/>
      <c r="K51" s="8"/>
      <c r="L51" s="6" t="s">
        <v>367</v>
      </c>
      <c r="M51" s="6" t="b">
        <v>0</v>
      </c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  <c r="BD51" s="6"/>
      <c r="BE51" s="6"/>
      <c r="BF51" s="6"/>
      <c r="BG51" s="6"/>
      <c r="BH51" s="6"/>
      <c r="BI51" s="6"/>
      <c r="BJ51" s="6"/>
      <c r="BK51" s="6"/>
      <c r="BL51" s="6"/>
      <c r="BM51" s="6"/>
      <c r="BN51" s="6"/>
      <c r="BO51" s="6"/>
      <c r="BP51" s="6"/>
      <c r="BQ51" s="6"/>
      <c r="BR51" s="6"/>
      <c r="BS51" s="6"/>
      <c r="BT51" s="6"/>
      <c r="BU51" s="6"/>
      <c r="BV51" s="6"/>
      <c r="BW51" s="6"/>
      <c r="BX51" s="6"/>
      <c r="BY51" s="6"/>
      <c r="BZ51" s="6"/>
      <c r="CA51" s="6"/>
      <c r="CB51" s="6"/>
      <c r="CC51" s="6"/>
      <c r="CD51" s="6"/>
      <c r="CE51" s="6"/>
      <c r="CF51" s="6"/>
      <c r="CG51" s="6"/>
      <c r="CH51" s="6"/>
      <c r="CI51" s="6"/>
      <c r="CJ51" s="6"/>
      <c r="CK51" s="6"/>
      <c r="CL51" s="6"/>
      <c r="CM51" s="6"/>
      <c r="CN51" s="6"/>
      <c r="CO51" s="6"/>
      <c r="CP51" s="6"/>
      <c r="CQ51" s="6"/>
      <c r="CR51" s="6"/>
      <c r="CS51" s="6"/>
      <c r="CT51" s="6"/>
      <c r="CU51" s="6"/>
      <c r="CV51" s="6"/>
      <c r="CW51" s="6"/>
      <c r="CX51" s="6"/>
      <c r="CY51" s="6"/>
      <c r="CZ51" s="6"/>
      <c r="DA51" s="6"/>
      <c r="DB51" s="6"/>
      <c r="DC51" s="6"/>
      <c r="DD51" s="6"/>
      <c r="DE51" s="6"/>
      <c r="DF51" s="6"/>
      <c r="DG51" s="6"/>
      <c r="DH51" s="6"/>
      <c r="DI51" s="6"/>
      <c r="DJ51" s="6"/>
      <c r="DK51" s="6"/>
      <c r="DL51" s="6"/>
      <c r="DM51" s="6"/>
      <c r="DN51" s="6"/>
      <c r="DO51" s="6"/>
      <c r="DP51" s="6"/>
      <c r="DQ51" s="6"/>
      <c r="DR51" s="6"/>
      <c r="DS51" s="6"/>
      <c r="DT51" s="6"/>
      <c r="DU51" s="6"/>
      <c r="DV51" s="6"/>
      <c r="DW51" s="6"/>
      <c r="DX51" s="6"/>
      <c r="DY51" s="6"/>
      <c r="DZ51" s="6"/>
      <c r="EA51" s="6"/>
      <c r="EB51" s="6"/>
      <c r="EC51" s="6"/>
      <c r="ED51" s="6"/>
      <c r="EE51" s="6"/>
    </row>
    <row r="52" spans="1:135">
      <c r="A52" s="6"/>
      <c r="B52" s="6"/>
      <c r="C52" s="6"/>
      <c r="D52" s="6"/>
      <c r="E52" s="252"/>
      <c r="F52" s="253"/>
      <c r="G52" s="254"/>
      <c r="H52" s="6"/>
      <c r="I52" s="5"/>
      <c r="J52" s="5"/>
      <c r="K52" s="8"/>
      <c r="L52" s="6" t="s">
        <v>360</v>
      </c>
      <c r="M52" s="6" t="b">
        <v>0</v>
      </c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  <c r="BD52" s="6"/>
      <c r="BE52" s="6"/>
      <c r="BF52" s="6"/>
      <c r="BG52" s="6"/>
      <c r="BH52" s="6"/>
      <c r="BI52" s="6"/>
      <c r="BJ52" s="6"/>
      <c r="BK52" s="6"/>
      <c r="BL52" s="6"/>
      <c r="BM52" s="6"/>
      <c r="BN52" s="6"/>
      <c r="BO52" s="6"/>
      <c r="BP52" s="6"/>
      <c r="BQ52" s="6"/>
      <c r="BR52" s="6"/>
      <c r="BS52" s="6"/>
      <c r="BT52" s="6"/>
      <c r="BU52" s="6"/>
      <c r="BV52" s="6"/>
      <c r="BW52" s="6"/>
      <c r="BX52" s="6"/>
      <c r="BY52" s="6"/>
      <c r="BZ52" s="6"/>
      <c r="CA52" s="6"/>
      <c r="CB52" s="6"/>
      <c r="CC52" s="6"/>
      <c r="CD52" s="6"/>
      <c r="CE52" s="6"/>
      <c r="CF52" s="6"/>
      <c r="CG52" s="6"/>
      <c r="CH52" s="6"/>
      <c r="CI52" s="6"/>
      <c r="CJ52" s="6"/>
      <c r="CK52" s="6"/>
      <c r="CL52" s="6"/>
      <c r="CM52" s="6"/>
      <c r="CN52" s="6"/>
      <c r="CO52" s="6"/>
      <c r="CP52" s="6"/>
      <c r="CQ52" s="6"/>
      <c r="CR52" s="6"/>
      <c r="CS52" s="6"/>
      <c r="CT52" s="6"/>
      <c r="CU52" s="6"/>
      <c r="CV52" s="6"/>
      <c r="CW52" s="6"/>
      <c r="CX52" s="6"/>
      <c r="CY52" s="6"/>
      <c r="CZ52" s="6"/>
      <c r="DA52" s="6"/>
      <c r="DB52" s="6"/>
      <c r="DC52" s="6"/>
      <c r="DD52" s="6"/>
      <c r="DE52" s="6"/>
      <c r="DF52" s="6"/>
      <c r="DG52" s="6"/>
      <c r="DH52" s="6"/>
      <c r="DI52" s="6"/>
      <c r="DJ52" s="6"/>
      <c r="DK52" s="6"/>
      <c r="DL52" s="6"/>
      <c r="DM52" s="6"/>
      <c r="DN52" s="6"/>
      <c r="DO52" s="6"/>
      <c r="DP52" s="6"/>
      <c r="DQ52" s="6"/>
      <c r="DR52" s="6"/>
      <c r="DS52" s="6"/>
      <c r="DT52" s="6"/>
      <c r="DU52" s="6"/>
      <c r="DV52" s="6"/>
      <c r="DW52" s="6"/>
      <c r="DX52" s="6"/>
      <c r="DY52" s="6"/>
      <c r="DZ52" s="6"/>
      <c r="EA52" s="6"/>
      <c r="EB52" s="6"/>
      <c r="EC52" s="6"/>
      <c r="ED52" s="6"/>
      <c r="EE52" s="6"/>
    </row>
    <row r="53" spans="1:135">
      <c r="A53" s="6"/>
      <c r="B53" s="6"/>
      <c r="C53" s="6"/>
      <c r="D53" s="6"/>
      <c r="E53" s="252"/>
      <c r="F53" s="253"/>
      <c r="G53" s="254"/>
      <c r="H53" s="6"/>
      <c r="I53" s="5"/>
      <c r="J53" s="5"/>
      <c r="K53" s="8"/>
      <c r="L53" s="6" t="s">
        <v>361</v>
      </c>
      <c r="M53" s="6" t="b">
        <v>0</v>
      </c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  <c r="BD53" s="6"/>
      <c r="BE53" s="6"/>
      <c r="BF53" s="6"/>
      <c r="BG53" s="6"/>
      <c r="BH53" s="6"/>
      <c r="BI53" s="6"/>
      <c r="BJ53" s="6"/>
      <c r="BK53" s="6"/>
      <c r="BL53" s="6"/>
      <c r="BM53" s="6"/>
      <c r="BN53" s="6"/>
      <c r="BO53" s="6"/>
      <c r="BP53" s="6"/>
      <c r="BQ53" s="6"/>
      <c r="BR53" s="6"/>
      <c r="BS53" s="6"/>
      <c r="BT53" s="6"/>
      <c r="BU53" s="6"/>
      <c r="BV53" s="6"/>
      <c r="BW53" s="6"/>
      <c r="BX53" s="6"/>
      <c r="BY53" s="6"/>
      <c r="BZ53" s="6"/>
      <c r="CA53" s="6"/>
      <c r="CB53" s="6"/>
      <c r="CC53" s="6"/>
      <c r="CD53" s="6"/>
      <c r="CE53" s="6"/>
      <c r="CF53" s="6"/>
      <c r="CG53" s="6"/>
      <c r="CH53" s="6"/>
      <c r="CI53" s="6"/>
      <c r="CJ53" s="6"/>
      <c r="CK53" s="6"/>
      <c r="CL53" s="6"/>
      <c r="CM53" s="6"/>
      <c r="CN53" s="6"/>
      <c r="CO53" s="6"/>
      <c r="CP53" s="6"/>
      <c r="CQ53" s="6"/>
      <c r="CR53" s="6"/>
      <c r="CS53" s="6"/>
      <c r="CT53" s="6"/>
      <c r="CU53" s="6"/>
      <c r="CV53" s="6"/>
      <c r="CW53" s="6"/>
      <c r="CX53" s="6"/>
      <c r="CY53" s="6"/>
      <c r="CZ53" s="6"/>
      <c r="DA53" s="6"/>
      <c r="DB53" s="6"/>
      <c r="DC53" s="6"/>
      <c r="DD53" s="6"/>
      <c r="DE53" s="6"/>
      <c r="DF53" s="6"/>
      <c r="DG53" s="6"/>
      <c r="DH53" s="6"/>
      <c r="DI53" s="6"/>
      <c r="DJ53" s="6"/>
      <c r="DK53" s="6"/>
      <c r="DL53" s="6"/>
      <c r="DM53" s="6"/>
      <c r="DN53" s="6"/>
      <c r="DO53" s="6"/>
      <c r="DP53" s="6"/>
      <c r="DQ53" s="6"/>
      <c r="DR53" s="6"/>
      <c r="DS53" s="6"/>
      <c r="DT53" s="6"/>
      <c r="DU53" s="6"/>
      <c r="DV53" s="6"/>
      <c r="DW53" s="6"/>
      <c r="DX53" s="6"/>
      <c r="DY53" s="6"/>
      <c r="DZ53" s="6"/>
      <c r="EA53" s="6"/>
      <c r="EB53" s="6"/>
      <c r="EC53" s="6"/>
      <c r="ED53" s="6"/>
      <c r="EE53" s="6"/>
    </row>
    <row r="54" spans="1:135">
      <c r="A54" s="6"/>
      <c r="B54" s="6"/>
      <c r="C54" s="6"/>
      <c r="D54" s="6"/>
      <c r="E54" s="252"/>
      <c r="F54" s="253"/>
      <c r="G54" s="254"/>
      <c r="H54" s="6"/>
      <c r="I54" s="5"/>
      <c r="J54" s="5"/>
      <c r="K54" s="8"/>
      <c r="L54" s="6" t="s">
        <v>442</v>
      </c>
      <c r="M54" s="6" t="b">
        <v>0</v>
      </c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  <c r="BD54" s="6"/>
      <c r="BE54" s="6"/>
      <c r="BF54" s="6"/>
      <c r="BG54" s="6"/>
      <c r="BH54" s="6"/>
      <c r="BI54" s="6"/>
      <c r="BJ54" s="6"/>
      <c r="BK54" s="6"/>
      <c r="BL54" s="6"/>
      <c r="BM54" s="6"/>
      <c r="BN54" s="6"/>
      <c r="BO54" s="6"/>
      <c r="BP54" s="6"/>
      <c r="BQ54" s="6"/>
      <c r="BR54" s="6"/>
      <c r="BS54" s="6"/>
      <c r="BT54" s="6"/>
      <c r="BU54" s="6"/>
      <c r="BV54" s="6"/>
      <c r="BW54" s="6"/>
      <c r="BX54" s="6"/>
      <c r="BY54" s="6"/>
      <c r="BZ54" s="6"/>
      <c r="CA54" s="6"/>
      <c r="CB54" s="6"/>
      <c r="CC54" s="6"/>
      <c r="CD54" s="6"/>
      <c r="CE54" s="6"/>
      <c r="CF54" s="6"/>
      <c r="CG54" s="6"/>
      <c r="CH54" s="6"/>
      <c r="CI54" s="6"/>
      <c r="CJ54" s="6"/>
      <c r="CK54" s="6"/>
      <c r="CL54" s="6"/>
      <c r="CM54" s="6"/>
      <c r="CN54" s="6"/>
      <c r="CO54" s="6"/>
      <c r="CP54" s="6"/>
      <c r="CQ54" s="6"/>
      <c r="CR54" s="6"/>
      <c r="CS54" s="6"/>
      <c r="CT54" s="6"/>
      <c r="CU54" s="6"/>
      <c r="CV54" s="6"/>
      <c r="CW54" s="6"/>
      <c r="CX54" s="6"/>
      <c r="CY54" s="6"/>
      <c r="CZ54" s="6"/>
      <c r="DA54" s="6"/>
      <c r="DB54" s="6"/>
      <c r="DC54" s="6"/>
      <c r="DD54" s="6"/>
      <c r="DE54" s="6"/>
      <c r="DF54" s="6"/>
      <c r="DG54" s="6"/>
      <c r="DH54" s="6"/>
      <c r="DI54" s="6"/>
      <c r="DJ54" s="6"/>
      <c r="DK54" s="6"/>
      <c r="DL54" s="6"/>
      <c r="DM54" s="6"/>
      <c r="DN54" s="6"/>
      <c r="DO54" s="6"/>
      <c r="DP54" s="6"/>
      <c r="DQ54" s="6"/>
      <c r="DR54" s="6"/>
      <c r="DS54" s="6"/>
      <c r="DT54" s="6"/>
      <c r="DU54" s="6"/>
      <c r="DV54" s="6"/>
      <c r="DW54" s="6"/>
      <c r="DX54" s="6"/>
      <c r="DY54" s="6"/>
      <c r="DZ54" s="6"/>
      <c r="EA54" s="6"/>
      <c r="EB54" s="6"/>
      <c r="EC54" s="6"/>
      <c r="ED54" s="6"/>
      <c r="EE54" s="6"/>
    </row>
    <row r="55" spans="1:135">
      <c r="A55" s="6"/>
      <c r="B55" s="6"/>
      <c r="C55" s="6"/>
      <c r="D55" s="6"/>
      <c r="E55" s="252"/>
      <c r="F55" s="253"/>
      <c r="G55" s="254"/>
      <c r="H55" s="6"/>
      <c r="I55" s="5"/>
      <c r="J55" s="5"/>
      <c r="K55" s="8"/>
      <c r="L55" s="6" t="s">
        <v>385</v>
      </c>
      <c r="M55" s="6" t="b">
        <v>1</v>
      </c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  <c r="BD55" s="6"/>
      <c r="BE55" s="6"/>
      <c r="BF55" s="6"/>
      <c r="BG55" s="6"/>
      <c r="BH55" s="6"/>
      <c r="BI55" s="6"/>
      <c r="BJ55" s="6"/>
      <c r="BK55" s="6"/>
      <c r="BL55" s="6"/>
      <c r="BM55" s="6"/>
      <c r="BN55" s="6"/>
      <c r="BO55" s="6"/>
      <c r="BP55" s="6"/>
      <c r="BQ55" s="6"/>
      <c r="BR55" s="6"/>
      <c r="BS55" s="6"/>
      <c r="BT55" s="6"/>
      <c r="BU55" s="6"/>
      <c r="BV55" s="6"/>
      <c r="BW55" s="6"/>
      <c r="BX55" s="6"/>
      <c r="BY55" s="6"/>
      <c r="BZ55" s="6"/>
      <c r="CA55" s="6"/>
      <c r="CB55" s="6"/>
      <c r="CC55" s="6"/>
      <c r="CD55" s="6"/>
      <c r="CE55" s="6"/>
      <c r="CF55" s="6"/>
      <c r="CG55" s="6"/>
      <c r="CH55" s="6"/>
      <c r="CI55" s="6"/>
      <c r="CJ55" s="6"/>
      <c r="CK55" s="6"/>
      <c r="CL55" s="6"/>
      <c r="CM55" s="6"/>
      <c r="CN55" s="6"/>
      <c r="CO55" s="6"/>
      <c r="CP55" s="6"/>
      <c r="CQ55" s="6"/>
      <c r="CR55" s="6"/>
      <c r="CS55" s="6"/>
      <c r="CT55" s="6"/>
      <c r="CU55" s="6"/>
      <c r="CV55" s="6"/>
      <c r="CW55" s="6"/>
      <c r="CX55" s="6"/>
      <c r="CY55" s="6"/>
      <c r="CZ55" s="6"/>
      <c r="DA55" s="6"/>
      <c r="DB55" s="6"/>
      <c r="DC55" s="6"/>
      <c r="DD55" s="6"/>
      <c r="DE55" s="6"/>
      <c r="DF55" s="6"/>
      <c r="DG55" s="6"/>
      <c r="DH55" s="6"/>
      <c r="DI55" s="6"/>
      <c r="DJ55" s="6"/>
      <c r="DK55" s="6"/>
      <c r="DL55" s="6"/>
      <c r="DM55" s="6"/>
      <c r="DN55" s="6"/>
      <c r="DO55" s="6"/>
      <c r="DP55" s="6"/>
      <c r="DQ55" s="6"/>
      <c r="DR55" s="6"/>
      <c r="DS55" s="6"/>
      <c r="DT55" s="6"/>
      <c r="DU55" s="6"/>
      <c r="DV55" s="6"/>
      <c r="DW55" s="6"/>
      <c r="DX55" s="6"/>
      <c r="DY55" s="6"/>
      <c r="DZ55" s="6"/>
      <c r="EA55" s="6"/>
      <c r="EB55" s="6"/>
      <c r="EC55" s="6"/>
      <c r="ED55" s="6"/>
      <c r="EE55" s="6"/>
    </row>
    <row r="56" spans="1:135">
      <c r="A56" s="6"/>
      <c r="B56" s="6"/>
      <c r="C56" s="6"/>
      <c r="D56" s="6"/>
      <c r="E56" s="252"/>
      <c r="F56" s="253"/>
      <c r="G56" s="254"/>
      <c r="H56" s="6"/>
      <c r="I56" s="5"/>
      <c r="J56" s="5"/>
      <c r="K56" s="8"/>
      <c r="L56" s="6" t="s">
        <v>386</v>
      </c>
      <c r="M56" s="6" t="b">
        <v>1</v>
      </c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  <c r="BD56" s="6"/>
      <c r="BE56" s="6"/>
      <c r="BF56" s="6"/>
      <c r="BG56" s="6"/>
      <c r="BH56" s="6"/>
      <c r="BI56" s="6"/>
      <c r="BJ56" s="6"/>
      <c r="BK56" s="6"/>
      <c r="BL56" s="6"/>
      <c r="BM56" s="6"/>
      <c r="BN56" s="6"/>
      <c r="BO56" s="6"/>
      <c r="BP56" s="6"/>
      <c r="BQ56" s="6"/>
      <c r="BR56" s="6"/>
      <c r="BS56" s="6"/>
      <c r="BT56" s="6"/>
      <c r="BU56" s="6"/>
      <c r="BV56" s="6"/>
      <c r="BW56" s="6"/>
      <c r="BX56" s="6"/>
      <c r="BY56" s="6"/>
      <c r="BZ56" s="6"/>
      <c r="CA56" s="6"/>
      <c r="CB56" s="6"/>
      <c r="CC56" s="6"/>
      <c r="CD56" s="6"/>
      <c r="CE56" s="6"/>
      <c r="CF56" s="6"/>
      <c r="CG56" s="6"/>
      <c r="CH56" s="6"/>
      <c r="CI56" s="6"/>
      <c r="CJ56" s="6"/>
      <c r="CK56" s="6"/>
      <c r="CL56" s="6"/>
      <c r="CM56" s="6"/>
      <c r="CN56" s="6"/>
      <c r="CO56" s="6"/>
      <c r="CP56" s="6"/>
      <c r="CQ56" s="6"/>
      <c r="CR56" s="6"/>
      <c r="CS56" s="6"/>
      <c r="CT56" s="6"/>
      <c r="CU56" s="6"/>
      <c r="CV56" s="6"/>
      <c r="CW56" s="6"/>
      <c r="CX56" s="6"/>
      <c r="CY56" s="6"/>
      <c r="CZ56" s="6"/>
      <c r="DA56" s="6"/>
      <c r="DB56" s="6"/>
      <c r="DC56" s="6"/>
      <c r="DD56" s="6"/>
      <c r="DE56" s="6"/>
      <c r="DF56" s="6"/>
      <c r="DG56" s="6"/>
      <c r="DH56" s="6"/>
      <c r="DI56" s="6"/>
      <c r="DJ56" s="6"/>
      <c r="DK56" s="6"/>
      <c r="DL56" s="6"/>
      <c r="DM56" s="6"/>
      <c r="DN56" s="6"/>
      <c r="DO56" s="6"/>
      <c r="DP56" s="6"/>
      <c r="DQ56" s="6"/>
      <c r="DR56" s="6"/>
      <c r="DS56" s="6"/>
      <c r="DT56" s="6"/>
      <c r="DU56" s="6"/>
      <c r="DV56" s="6"/>
      <c r="DW56" s="6"/>
      <c r="DX56" s="6"/>
      <c r="DY56" s="6"/>
      <c r="DZ56" s="6"/>
      <c r="EA56" s="6"/>
      <c r="EB56" s="6"/>
      <c r="EC56" s="6"/>
      <c r="ED56" s="6"/>
      <c r="EE56" s="6"/>
    </row>
    <row r="57" spans="1:135">
      <c r="A57" s="6"/>
      <c r="B57" s="6"/>
      <c r="C57" s="6"/>
      <c r="D57" s="6"/>
      <c r="E57" s="252"/>
      <c r="F57" s="253"/>
      <c r="G57" s="254"/>
      <c r="H57" s="6"/>
      <c r="I57" s="5"/>
      <c r="J57" s="5"/>
      <c r="K57" s="8"/>
      <c r="L57" s="6" t="s">
        <v>1125</v>
      </c>
      <c r="M57" s="6" t="b">
        <v>1</v>
      </c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  <c r="BD57" s="6"/>
      <c r="BE57" s="6"/>
      <c r="BF57" s="6"/>
      <c r="BG57" s="6"/>
      <c r="BH57" s="6"/>
      <c r="BI57" s="6"/>
      <c r="BJ57" s="6"/>
      <c r="BK57" s="6"/>
      <c r="BL57" s="6"/>
      <c r="BM57" s="6"/>
      <c r="BN57" s="6"/>
      <c r="BO57" s="6"/>
      <c r="BP57" s="6"/>
      <c r="BQ57" s="6"/>
      <c r="BR57" s="6"/>
      <c r="BS57" s="6"/>
      <c r="BT57" s="6"/>
      <c r="BU57" s="6"/>
      <c r="BV57" s="6"/>
      <c r="BW57" s="6"/>
      <c r="BX57" s="6"/>
      <c r="BY57" s="6"/>
      <c r="BZ57" s="6"/>
      <c r="CA57" s="6"/>
      <c r="CB57" s="6"/>
      <c r="CC57" s="6"/>
      <c r="CD57" s="6"/>
      <c r="CE57" s="6"/>
      <c r="CF57" s="6"/>
      <c r="CG57" s="6"/>
      <c r="CH57" s="6"/>
      <c r="CI57" s="6"/>
      <c r="CJ57" s="6"/>
      <c r="CK57" s="6"/>
      <c r="CL57" s="6"/>
      <c r="CM57" s="6"/>
      <c r="CN57" s="6"/>
      <c r="CO57" s="6"/>
      <c r="CP57" s="6"/>
      <c r="CQ57" s="6"/>
      <c r="CR57" s="6"/>
      <c r="CS57" s="6"/>
      <c r="CT57" s="6"/>
      <c r="CU57" s="6"/>
      <c r="CV57" s="6"/>
      <c r="CW57" s="6"/>
      <c r="CX57" s="6"/>
      <c r="CY57" s="6"/>
      <c r="CZ57" s="6"/>
      <c r="DA57" s="6"/>
      <c r="DB57" s="6"/>
      <c r="DC57" s="6"/>
      <c r="DD57" s="6"/>
      <c r="DE57" s="6"/>
      <c r="DF57" s="6"/>
      <c r="DG57" s="6"/>
      <c r="DH57" s="6"/>
      <c r="DI57" s="6"/>
      <c r="DJ57" s="6"/>
      <c r="DK57" s="6"/>
      <c r="DL57" s="6"/>
      <c r="DM57" s="6"/>
      <c r="DN57" s="6"/>
      <c r="DO57" s="6"/>
      <c r="DP57" s="6"/>
      <c r="DQ57" s="6"/>
      <c r="DR57" s="6"/>
      <c r="DS57" s="6"/>
      <c r="DT57" s="6"/>
      <c r="DU57" s="6"/>
      <c r="DV57" s="6"/>
      <c r="DW57" s="6"/>
      <c r="DX57" s="6"/>
      <c r="DY57" s="6"/>
      <c r="DZ57" s="6"/>
      <c r="EA57" s="6"/>
      <c r="EB57" s="6"/>
      <c r="EC57" s="6"/>
      <c r="ED57" s="6"/>
      <c r="EE57" s="6"/>
    </row>
    <row r="58" spans="1:135">
      <c r="A58" s="6"/>
      <c r="B58" s="6"/>
      <c r="C58" s="6"/>
      <c r="D58" s="6"/>
      <c r="E58" s="252"/>
      <c r="F58" s="253"/>
      <c r="G58" s="254"/>
      <c r="H58" s="6"/>
      <c r="I58" s="5"/>
      <c r="J58" s="5"/>
      <c r="K58" s="8"/>
      <c r="L58" s="6" t="s">
        <v>393</v>
      </c>
      <c r="M58" s="6" t="b">
        <v>0</v>
      </c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  <c r="BD58" s="6"/>
      <c r="BE58" s="6"/>
      <c r="BF58" s="6"/>
      <c r="BG58" s="6"/>
      <c r="BH58" s="6"/>
      <c r="BI58" s="6"/>
      <c r="BJ58" s="6"/>
      <c r="BK58" s="6"/>
      <c r="BL58" s="6"/>
      <c r="BM58" s="6"/>
      <c r="BN58" s="6"/>
      <c r="BO58" s="6"/>
      <c r="BP58" s="6"/>
      <c r="BQ58" s="6"/>
      <c r="BR58" s="6"/>
      <c r="BS58" s="6"/>
      <c r="BT58" s="6"/>
      <c r="BU58" s="6"/>
      <c r="BV58" s="6"/>
      <c r="BW58" s="6"/>
      <c r="BX58" s="6"/>
      <c r="BY58" s="6"/>
      <c r="BZ58" s="6"/>
      <c r="CA58" s="6"/>
      <c r="CB58" s="6"/>
      <c r="CC58" s="6"/>
      <c r="CD58" s="6"/>
      <c r="CE58" s="6"/>
      <c r="CF58" s="6"/>
      <c r="CG58" s="6"/>
      <c r="CH58" s="6"/>
      <c r="CI58" s="6"/>
      <c r="CJ58" s="6"/>
      <c r="CK58" s="6"/>
      <c r="CL58" s="6"/>
      <c r="CM58" s="6"/>
      <c r="CN58" s="6"/>
      <c r="CO58" s="6"/>
      <c r="CP58" s="6"/>
      <c r="CQ58" s="6"/>
      <c r="CR58" s="6"/>
      <c r="CS58" s="6"/>
      <c r="CT58" s="6"/>
      <c r="CU58" s="6"/>
      <c r="CV58" s="6"/>
      <c r="CW58" s="6"/>
      <c r="CX58" s="6"/>
      <c r="CY58" s="6"/>
      <c r="CZ58" s="6"/>
      <c r="DA58" s="6"/>
      <c r="DB58" s="6"/>
      <c r="DC58" s="6"/>
      <c r="DD58" s="6"/>
      <c r="DE58" s="6"/>
      <c r="DF58" s="6"/>
      <c r="DG58" s="6"/>
      <c r="DH58" s="6"/>
      <c r="DI58" s="6"/>
      <c r="DJ58" s="6"/>
      <c r="DK58" s="6"/>
      <c r="DL58" s="6"/>
      <c r="DM58" s="6"/>
      <c r="DN58" s="6"/>
      <c r="DO58" s="6"/>
      <c r="DP58" s="6"/>
      <c r="DQ58" s="6"/>
      <c r="DR58" s="6"/>
      <c r="DS58" s="6"/>
      <c r="DT58" s="6"/>
      <c r="DU58" s="6"/>
      <c r="DV58" s="6"/>
      <c r="DW58" s="6"/>
      <c r="DX58" s="6"/>
      <c r="DY58" s="6"/>
      <c r="DZ58" s="6"/>
      <c r="EA58" s="6"/>
      <c r="EB58" s="6"/>
      <c r="EC58" s="6"/>
      <c r="ED58" s="6"/>
      <c r="EE58" s="6"/>
    </row>
    <row r="59" spans="1:135">
      <c r="A59" s="6"/>
      <c r="B59" s="6"/>
      <c r="C59" s="6"/>
      <c r="D59" s="6"/>
      <c r="E59" s="252"/>
      <c r="F59" s="253"/>
      <c r="G59" s="254"/>
      <c r="H59" s="6"/>
      <c r="I59" s="5"/>
      <c r="J59" s="5"/>
      <c r="K59" s="8"/>
      <c r="L59" s="6" t="s">
        <v>377</v>
      </c>
      <c r="M59" s="6" t="b">
        <v>0</v>
      </c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  <c r="BD59" s="6"/>
      <c r="BE59" s="6"/>
      <c r="BF59" s="6"/>
      <c r="BG59" s="6"/>
      <c r="BH59" s="6"/>
      <c r="BI59" s="6"/>
      <c r="BJ59" s="6"/>
      <c r="BK59" s="6"/>
      <c r="BL59" s="6"/>
      <c r="BM59" s="6"/>
      <c r="BN59" s="6"/>
      <c r="BO59" s="6"/>
      <c r="BP59" s="6"/>
      <c r="BQ59" s="6"/>
      <c r="BR59" s="6"/>
      <c r="BS59" s="6"/>
      <c r="BT59" s="6"/>
      <c r="BU59" s="6"/>
      <c r="BV59" s="6"/>
      <c r="BW59" s="6"/>
      <c r="BX59" s="6"/>
      <c r="BY59" s="6"/>
      <c r="BZ59" s="6"/>
      <c r="CA59" s="6"/>
      <c r="CB59" s="6"/>
      <c r="CC59" s="6"/>
      <c r="CD59" s="6"/>
      <c r="CE59" s="6"/>
      <c r="CF59" s="6"/>
      <c r="CG59" s="6"/>
      <c r="CH59" s="6"/>
      <c r="CI59" s="6"/>
      <c r="CJ59" s="6"/>
      <c r="CK59" s="6"/>
      <c r="CL59" s="6"/>
      <c r="CM59" s="6"/>
      <c r="CN59" s="6"/>
      <c r="CO59" s="6"/>
      <c r="CP59" s="6"/>
      <c r="CQ59" s="6"/>
      <c r="CR59" s="6"/>
      <c r="CS59" s="6"/>
      <c r="CT59" s="6"/>
      <c r="CU59" s="6"/>
      <c r="CV59" s="6"/>
      <c r="CW59" s="6"/>
      <c r="CX59" s="6"/>
      <c r="CY59" s="6"/>
      <c r="CZ59" s="6"/>
      <c r="DA59" s="6"/>
      <c r="DB59" s="6"/>
      <c r="DC59" s="6"/>
      <c r="DD59" s="6"/>
      <c r="DE59" s="6"/>
      <c r="DF59" s="6"/>
      <c r="DG59" s="6"/>
      <c r="DH59" s="6"/>
      <c r="DI59" s="6"/>
      <c r="DJ59" s="6"/>
      <c r="DK59" s="6"/>
      <c r="DL59" s="6"/>
      <c r="DM59" s="6"/>
      <c r="DN59" s="6"/>
      <c r="DO59" s="6"/>
      <c r="DP59" s="6"/>
      <c r="DQ59" s="6"/>
      <c r="DR59" s="6"/>
      <c r="DS59" s="6"/>
      <c r="DT59" s="6"/>
      <c r="DU59" s="6"/>
      <c r="DV59" s="6"/>
      <c r="DW59" s="6"/>
      <c r="DX59" s="6"/>
      <c r="DY59" s="6"/>
      <c r="DZ59" s="6"/>
      <c r="EA59" s="6"/>
      <c r="EB59" s="6"/>
      <c r="EC59" s="6"/>
      <c r="ED59" s="6"/>
      <c r="EE59" s="6"/>
    </row>
    <row r="60" spans="1:135">
      <c r="A60" s="6"/>
      <c r="B60" s="6"/>
      <c r="C60" s="6"/>
      <c r="D60" s="6"/>
      <c r="E60" s="252"/>
      <c r="F60" s="253"/>
      <c r="G60" s="254"/>
      <c r="H60" s="6"/>
      <c r="I60" s="5"/>
      <c r="J60" s="5"/>
      <c r="K60" s="8"/>
      <c r="L60" s="6" t="s">
        <v>387</v>
      </c>
      <c r="M60" s="6" t="b">
        <v>0</v>
      </c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  <c r="BD60" s="6"/>
      <c r="BE60" s="6"/>
      <c r="BF60" s="6"/>
      <c r="BG60" s="6"/>
      <c r="BH60" s="6"/>
      <c r="BI60" s="6"/>
      <c r="BJ60" s="6"/>
      <c r="BK60" s="6"/>
      <c r="BL60" s="6"/>
      <c r="BM60" s="6"/>
      <c r="BN60" s="6"/>
      <c r="BO60" s="6"/>
      <c r="BP60" s="6"/>
      <c r="BQ60" s="6"/>
      <c r="BR60" s="6"/>
      <c r="BS60" s="6"/>
      <c r="BT60" s="6"/>
      <c r="BU60" s="6"/>
      <c r="BV60" s="6"/>
      <c r="BW60" s="6"/>
      <c r="BX60" s="6"/>
      <c r="BY60" s="6"/>
      <c r="BZ60" s="6"/>
      <c r="CA60" s="6"/>
      <c r="CB60" s="6"/>
      <c r="CC60" s="6"/>
      <c r="CD60" s="6"/>
      <c r="CE60" s="6"/>
      <c r="CF60" s="6"/>
      <c r="CG60" s="6"/>
      <c r="CH60" s="6"/>
      <c r="CI60" s="6"/>
      <c r="CJ60" s="6"/>
      <c r="CK60" s="6"/>
      <c r="CL60" s="6"/>
      <c r="CM60" s="6"/>
      <c r="CN60" s="6"/>
      <c r="CO60" s="6"/>
      <c r="CP60" s="6"/>
      <c r="CQ60" s="6"/>
      <c r="CR60" s="6"/>
      <c r="CS60" s="6"/>
      <c r="CT60" s="6"/>
      <c r="CU60" s="6"/>
      <c r="CV60" s="6"/>
      <c r="CW60" s="6"/>
      <c r="CX60" s="6"/>
      <c r="CY60" s="6"/>
      <c r="CZ60" s="6"/>
      <c r="DA60" s="6"/>
      <c r="DB60" s="6"/>
      <c r="DC60" s="6"/>
      <c r="DD60" s="6"/>
      <c r="DE60" s="6"/>
      <c r="DF60" s="6"/>
      <c r="DG60" s="6"/>
      <c r="DH60" s="6"/>
      <c r="DI60" s="6"/>
      <c r="DJ60" s="6"/>
      <c r="DK60" s="6"/>
      <c r="DL60" s="6"/>
      <c r="DM60" s="6"/>
      <c r="DN60" s="6"/>
      <c r="DO60" s="6"/>
      <c r="DP60" s="6"/>
      <c r="DQ60" s="6"/>
      <c r="DR60" s="6"/>
      <c r="DS60" s="6"/>
      <c r="DT60" s="6"/>
      <c r="DU60" s="6"/>
      <c r="DV60" s="6"/>
      <c r="DW60" s="6"/>
      <c r="DX60" s="6"/>
      <c r="DY60" s="6"/>
      <c r="DZ60" s="6"/>
      <c r="EA60" s="6"/>
      <c r="EB60" s="6"/>
      <c r="EC60" s="6"/>
      <c r="ED60" s="6"/>
      <c r="EE60" s="6"/>
    </row>
    <row r="61" spans="1:135">
      <c r="A61" s="6"/>
      <c r="B61" s="6"/>
      <c r="C61" s="6"/>
      <c r="D61" s="6"/>
      <c r="E61" s="252"/>
      <c r="F61" s="253"/>
      <c r="G61" s="254"/>
      <c r="H61" s="6"/>
      <c r="I61" s="5"/>
      <c r="J61" s="5"/>
      <c r="K61" s="8"/>
      <c r="L61" s="6" t="s">
        <v>395</v>
      </c>
      <c r="M61" s="6" t="b">
        <v>0</v>
      </c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  <c r="BD61" s="6"/>
      <c r="BE61" s="6"/>
      <c r="BF61" s="6"/>
      <c r="BG61" s="6"/>
      <c r="BH61" s="6"/>
      <c r="BI61" s="6"/>
      <c r="BJ61" s="6"/>
      <c r="BK61" s="6"/>
      <c r="BL61" s="6"/>
      <c r="BM61" s="6"/>
      <c r="BN61" s="6"/>
      <c r="BO61" s="6"/>
      <c r="BP61" s="6"/>
      <c r="BQ61" s="6"/>
      <c r="BR61" s="6"/>
      <c r="BS61" s="6"/>
      <c r="BT61" s="6"/>
      <c r="BU61" s="6"/>
      <c r="BV61" s="6"/>
      <c r="BW61" s="6"/>
      <c r="BX61" s="6"/>
      <c r="BY61" s="6"/>
      <c r="BZ61" s="6"/>
      <c r="CA61" s="6"/>
      <c r="CB61" s="6"/>
      <c r="CC61" s="6"/>
      <c r="CD61" s="6"/>
      <c r="CE61" s="6"/>
      <c r="CF61" s="6"/>
      <c r="CG61" s="6"/>
      <c r="CH61" s="6"/>
      <c r="CI61" s="6"/>
      <c r="CJ61" s="6"/>
      <c r="CK61" s="6"/>
      <c r="CL61" s="6"/>
      <c r="CM61" s="6"/>
      <c r="CN61" s="6"/>
      <c r="CO61" s="6"/>
      <c r="CP61" s="6"/>
      <c r="CQ61" s="6"/>
      <c r="CR61" s="6"/>
      <c r="CS61" s="6"/>
      <c r="CT61" s="6"/>
      <c r="CU61" s="6"/>
      <c r="CV61" s="6"/>
      <c r="CW61" s="6"/>
      <c r="CX61" s="6"/>
      <c r="CY61" s="6"/>
      <c r="CZ61" s="6"/>
      <c r="DA61" s="6"/>
      <c r="DB61" s="6"/>
      <c r="DC61" s="6"/>
      <c r="DD61" s="6"/>
      <c r="DE61" s="6"/>
      <c r="DF61" s="6"/>
      <c r="DG61" s="6"/>
      <c r="DH61" s="6"/>
      <c r="DI61" s="6"/>
      <c r="DJ61" s="6"/>
      <c r="DK61" s="6"/>
      <c r="DL61" s="6"/>
      <c r="DM61" s="6"/>
      <c r="DN61" s="6"/>
      <c r="DO61" s="6"/>
      <c r="DP61" s="6"/>
      <c r="DQ61" s="6"/>
      <c r="DR61" s="6"/>
      <c r="DS61" s="6"/>
      <c r="DT61" s="6"/>
      <c r="DU61" s="6"/>
      <c r="DV61" s="6"/>
      <c r="DW61" s="6"/>
      <c r="DX61" s="6"/>
      <c r="DY61" s="6"/>
      <c r="DZ61" s="6"/>
      <c r="EA61" s="6"/>
      <c r="EB61" s="6"/>
      <c r="EC61" s="6"/>
      <c r="ED61" s="6"/>
      <c r="EE61" s="6"/>
    </row>
    <row r="62" spans="1:135">
      <c r="A62" s="6"/>
      <c r="B62" s="6"/>
      <c r="C62" s="6"/>
      <c r="D62" s="6"/>
      <c r="E62" s="252"/>
      <c r="F62" s="253"/>
      <c r="G62" s="254"/>
      <c r="H62" s="6"/>
      <c r="I62" s="5"/>
      <c r="J62" s="5"/>
      <c r="K62" s="8"/>
      <c r="L62" s="6" t="s">
        <v>379</v>
      </c>
      <c r="M62" s="6" t="b">
        <v>0</v>
      </c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  <c r="BD62" s="6"/>
      <c r="BE62" s="6"/>
      <c r="BF62" s="6"/>
      <c r="BG62" s="6"/>
      <c r="BH62" s="6"/>
      <c r="BI62" s="6"/>
      <c r="BJ62" s="6"/>
      <c r="BK62" s="6"/>
      <c r="BL62" s="6"/>
      <c r="BM62" s="6"/>
      <c r="BN62" s="6"/>
      <c r="BO62" s="6"/>
      <c r="BP62" s="6"/>
      <c r="BQ62" s="6"/>
      <c r="BR62" s="6"/>
      <c r="BS62" s="6"/>
      <c r="BT62" s="6"/>
      <c r="BU62" s="6"/>
      <c r="BV62" s="6"/>
      <c r="BW62" s="6"/>
      <c r="BX62" s="6"/>
      <c r="BY62" s="6"/>
      <c r="BZ62" s="6"/>
      <c r="CA62" s="6"/>
      <c r="CB62" s="6"/>
      <c r="CC62" s="6"/>
      <c r="CD62" s="6"/>
      <c r="CE62" s="6"/>
      <c r="CF62" s="6"/>
      <c r="CG62" s="6"/>
      <c r="CH62" s="6"/>
      <c r="CI62" s="6"/>
      <c r="CJ62" s="6"/>
      <c r="CK62" s="6"/>
      <c r="CL62" s="6"/>
      <c r="CM62" s="6"/>
      <c r="CN62" s="6"/>
      <c r="CO62" s="6"/>
      <c r="CP62" s="6"/>
      <c r="CQ62" s="6"/>
      <c r="CR62" s="6"/>
      <c r="CS62" s="6"/>
      <c r="CT62" s="6"/>
      <c r="CU62" s="6"/>
      <c r="CV62" s="6"/>
      <c r="CW62" s="6"/>
      <c r="CX62" s="6"/>
      <c r="CY62" s="6"/>
      <c r="CZ62" s="6"/>
      <c r="DA62" s="6"/>
      <c r="DB62" s="6"/>
      <c r="DC62" s="6"/>
      <c r="DD62" s="6"/>
      <c r="DE62" s="6"/>
      <c r="DF62" s="6"/>
      <c r="DG62" s="6"/>
      <c r="DH62" s="6"/>
      <c r="DI62" s="6"/>
      <c r="DJ62" s="6"/>
      <c r="DK62" s="6"/>
      <c r="DL62" s="6"/>
      <c r="DM62" s="6"/>
      <c r="DN62" s="6"/>
      <c r="DO62" s="6"/>
      <c r="DP62" s="6"/>
      <c r="DQ62" s="6"/>
      <c r="DR62" s="6"/>
      <c r="DS62" s="6"/>
      <c r="DT62" s="6"/>
      <c r="DU62" s="6"/>
      <c r="DV62" s="6"/>
      <c r="DW62" s="6"/>
      <c r="DX62" s="6"/>
      <c r="DY62" s="6"/>
      <c r="DZ62" s="6"/>
      <c r="EA62" s="6"/>
      <c r="EB62" s="6"/>
      <c r="EC62" s="6"/>
      <c r="ED62" s="6"/>
      <c r="EE62" s="6"/>
    </row>
    <row r="63" spans="1:135">
      <c r="A63" s="6"/>
      <c r="B63" s="6"/>
      <c r="C63" s="6"/>
      <c r="D63" s="6"/>
      <c r="E63" s="252"/>
      <c r="F63" s="253"/>
      <c r="G63" s="254"/>
      <c r="H63" s="6"/>
      <c r="I63" s="5"/>
      <c r="J63" s="5"/>
      <c r="K63" s="8"/>
      <c r="L63" s="6" t="s">
        <v>355</v>
      </c>
      <c r="M63" s="6" t="b">
        <v>0</v>
      </c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  <c r="BD63" s="6"/>
      <c r="BE63" s="6"/>
      <c r="BF63" s="6"/>
      <c r="BG63" s="6"/>
      <c r="BH63" s="6"/>
      <c r="BI63" s="6"/>
      <c r="BJ63" s="6"/>
      <c r="BK63" s="6"/>
      <c r="BL63" s="6"/>
      <c r="BM63" s="6"/>
      <c r="BN63" s="6"/>
      <c r="BO63" s="6"/>
      <c r="BP63" s="6"/>
      <c r="BQ63" s="6"/>
      <c r="BR63" s="6"/>
      <c r="BS63" s="6"/>
      <c r="BT63" s="6"/>
      <c r="BU63" s="6"/>
      <c r="BV63" s="6"/>
      <c r="BW63" s="6"/>
      <c r="BX63" s="6"/>
      <c r="BY63" s="6"/>
      <c r="BZ63" s="6"/>
      <c r="CA63" s="6"/>
      <c r="CB63" s="6"/>
      <c r="CC63" s="6"/>
      <c r="CD63" s="6"/>
      <c r="CE63" s="6"/>
      <c r="CF63" s="6"/>
      <c r="CG63" s="6"/>
      <c r="CH63" s="6"/>
      <c r="CI63" s="6"/>
      <c r="CJ63" s="6"/>
      <c r="CK63" s="6"/>
      <c r="CL63" s="6"/>
      <c r="CM63" s="6"/>
      <c r="CN63" s="6"/>
      <c r="CO63" s="6"/>
      <c r="CP63" s="6"/>
      <c r="CQ63" s="6"/>
      <c r="CR63" s="6"/>
      <c r="CS63" s="6"/>
      <c r="CT63" s="6"/>
      <c r="CU63" s="6"/>
      <c r="CV63" s="6"/>
      <c r="CW63" s="6"/>
      <c r="CX63" s="6"/>
      <c r="CY63" s="6"/>
      <c r="CZ63" s="6"/>
      <c r="DA63" s="6"/>
      <c r="DB63" s="6"/>
      <c r="DC63" s="6"/>
      <c r="DD63" s="6"/>
      <c r="DE63" s="6"/>
      <c r="DF63" s="6"/>
      <c r="DG63" s="6"/>
      <c r="DH63" s="6"/>
      <c r="DI63" s="6"/>
      <c r="DJ63" s="6"/>
      <c r="DK63" s="6"/>
      <c r="DL63" s="6"/>
      <c r="DM63" s="6"/>
      <c r="DN63" s="6"/>
      <c r="DO63" s="6"/>
      <c r="DP63" s="6"/>
      <c r="DQ63" s="6"/>
      <c r="DR63" s="6"/>
      <c r="DS63" s="6"/>
      <c r="DT63" s="6"/>
      <c r="DU63" s="6"/>
      <c r="DV63" s="6"/>
      <c r="DW63" s="6"/>
      <c r="DX63" s="6"/>
      <c r="DY63" s="6"/>
      <c r="DZ63" s="6"/>
      <c r="EA63" s="6"/>
      <c r="EB63" s="6"/>
      <c r="EC63" s="6"/>
      <c r="ED63" s="6"/>
      <c r="EE63" s="6"/>
    </row>
    <row r="64" spans="1:135">
      <c r="A64" s="6"/>
      <c r="B64" s="6"/>
      <c r="C64" s="6"/>
      <c r="D64" s="6"/>
      <c r="E64" s="252"/>
      <c r="F64" s="253"/>
      <c r="G64" s="254"/>
      <c r="H64" s="6"/>
      <c r="I64" s="5"/>
      <c r="J64" s="5"/>
      <c r="K64" s="8"/>
      <c r="L64" s="6" t="s">
        <v>1082</v>
      </c>
      <c r="M64" s="6" t="b">
        <v>0</v>
      </c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  <c r="BD64" s="6"/>
      <c r="BE64" s="6"/>
      <c r="BF64" s="6"/>
      <c r="BG64" s="6"/>
      <c r="BH64" s="6"/>
      <c r="BI64" s="6"/>
      <c r="BJ64" s="6"/>
      <c r="BK64" s="6"/>
      <c r="BL64" s="6"/>
      <c r="BM64" s="6"/>
      <c r="BN64" s="6"/>
      <c r="BO64" s="6"/>
      <c r="BP64" s="6"/>
      <c r="BQ64" s="6"/>
      <c r="BR64" s="6"/>
      <c r="BS64" s="6"/>
      <c r="BT64" s="6"/>
      <c r="BU64" s="6"/>
      <c r="BV64" s="6"/>
      <c r="BW64" s="6"/>
      <c r="BX64" s="6"/>
      <c r="BY64" s="6"/>
      <c r="BZ64" s="6"/>
      <c r="CA64" s="6"/>
      <c r="CB64" s="6"/>
      <c r="CC64" s="6"/>
      <c r="CD64" s="6"/>
      <c r="CE64" s="6"/>
      <c r="CF64" s="6"/>
      <c r="CG64" s="6"/>
      <c r="CH64" s="6"/>
      <c r="CI64" s="6"/>
      <c r="CJ64" s="6"/>
      <c r="CK64" s="6"/>
      <c r="CL64" s="6"/>
      <c r="CM64" s="6"/>
      <c r="CN64" s="6"/>
      <c r="CO64" s="6"/>
      <c r="CP64" s="6"/>
      <c r="CQ64" s="6"/>
      <c r="CR64" s="6"/>
      <c r="CS64" s="6"/>
      <c r="CT64" s="6"/>
      <c r="CU64" s="6"/>
      <c r="CV64" s="6"/>
      <c r="CW64" s="6"/>
      <c r="CX64" s="6"/>
      <c r="CY64" s="6"/>
      <c r="CZ64" s="6"/>
      <c r="DA64" s="6"/>
      <c r="DB64" s="6"/>
      <c r="DC64" s="6"/>
      <c r="DD64" s="6"/>
      <c r="DE64" s="6"/>
      <c r="DF64" s="6"/>
      <c r="DG64" s="6"/>
      <c r="DH64" s="6"/>
      <c r="DI64" s="6"/>
      <c r="DJ64" s="6"/>
      <c r="DK64" s="6"/>
      <c r="DL64" s="6"/>
      <c r="DM64" s="6"/>
      <c r="DN64" s="6"/>
      <c r="DO64" s="6"/>
      <c r="DP64" s="6"/>
      <c r="DQ64" s="6"/>
      <c r="DR64" s="6"/>
      <c r="DS64" s="6"/>
      <c r="DT64" s="6"/>
      <c r="DU64" s="6"/>
      <c r="DV64" s="6"/>
      <c r="DW64" s="6"/>
      <c r="DX64" s="6"/>
      <c r="DY64" s="6"/>
      <c r="DZ64" s="6"/>
      <c r="EA64" s="6"/>
      <c r="EB64" s="6"/>
      <c r="EC64" s="6"/>
      <c r="ED64" s="6"/>
      <c r="EE64" s="6"/>
    </row>
    <row r="65" spans="1:135">
      <c r="A65" s="6"/>
      <c r="B65" s="6"/>
      <c r="C65" s="6"/>
      <c r="D65" s="6"/>
      <c r="E65" s="252"/>
      <c r="F65" s="253"/>
      <c r="G65" s="254"/>
      <c r="H65" s="6"/>
      <c r="I65" s="5"/>
      <c r="J65" s="5"/>
      <c r="L65" s="6" t="s">
        <v>391</v>
      </c>
      <c r="M65" s="6" t="b">
        <v>0</v>
      </c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  <c r="BD65" s="6"/>
      <c r="BE65" s="6"/>
      <c r="BF65" s="6"/>
      <c r="BG65" s="6"/>
      <c r="BH65" s="6"/>
      <c r="BI65" s="6"/>
      <c r="BJ65" s="6"/>
      <c r="BK65" s="6"/>
      <c r="BL65" s="6"/>
      <c r="BM65" s="6"/>
      <c r="BN65" s="6"/>
      <c r="BO65" s="6"/>
      <c r="BP65" s="6"/>
      <c r="BQ65" s="6"/>
      <c r="BR65" s="6"/>
      <c r="BS65" s="6"/>
      <c r="BT65" s="6"/>
      <c r="BU65" s="6"/>
      <c r="BV65" s="6"/>
      <c r="BW65" s="6"/>
      <c r="BX65" s="6"/>
      <c r="BY65" s="6"/>
      <c r="BZ65" s="6"/>
      <c r="CA65" s="6"/>
      <c r="CB65" s="6"/>
      <c r="CC65" s="6"/>
      <c r="CD65" s="6"/>
      <c r="CE65" s="6"/>
      <c r="CF65" s="6"/>
      <c r="CG65" s="6"/>
      <c r="CH65" s="6"/>
      <c r="CI65" s="6"/>
      <c r="CJ65" s="6"/>
      <c r="CK65" s="6"/>
      <c r="CL65" s="6"/>
      <c r="CM65" s="6"/>
      <c r="CN65" s="6"/>
      <c r="CO65" s="6"/>
      <c r="CP65" s="6"/>
      <c r="CQ65" s="6"/>
      <c r="CR65" s="6"/>
      <c r="CS65" s="6"/>
      <c r="CT65" s="6"/>
      <c r="CU65" s="6"/>
      <c r="CV65" s="6"/>
      <c r="CW65" s="6"/>
      <c r="CX65" s="6"/>
      <c r="CY65" s="6"/>
      <c r="CZ65" s="6"/>
      <c r="DA65" s="6"/>
      <c r="DB65" s="6"/>
      <c r="DC65" s="6"/>
      <c r="DD65" s="6"/>
      <c r="DE65" s="6"/>
      <c r="DF65" s="6"/>
      <c r="DG65" s="6"/>
      <c r="DH65" s="6"/>
      <c r="DI65" s="6"/>
      <c r="DJ65" s="6"/>
      <c r="DK65" s="6"/>
      <c r="DL65" s="6"/>
      <c r="DM65" s="6"/>
      <c r="DN65" s="6"/>
      <c r="DO65" s="6"/>
      <c r="DP65" s="6"/>
      <c r="DQ65" s="6"/>
      <c r="DR65" s="6"/>
      <c r="DS65" s="6"/>
      <c r="DT65" s="6"/>
      <c r="DU65" s="6"/>
      <c r="DV65" s="6"/>
      <c r="DW65" s="6"/>
      <c r="DX65" s="6"/>
      <c r="DY65" s="6"/>
      <c r="DZ65" s="6"/>
      <c r="EA65" s="6"/>
      <c r="EB65" s="6"/>
      <c r="EC65" s="6"/>
      <c r="ED65" s="6"/>
      <c r="EE65" s="6"/>
    </row>
    <row r="66" spans="1:135">
      <c r="A66" s="6"/>
      <c r="B66" s="6"/>
      <c r="C66" s="6"/>
      <c r="D66" s="6"/>
      <c r="E66" s="252"/>
      <c r="F66" s="253"/>
      <c r="G66" s="254"/>
      <c r="H66" s="6"/>
      <c r="I66" s="5"/>
      <c r="J66" s="5"/>
      <c r="L66" s="6" t="s">
        <v>412</v>
      </c>
      <c r="M66" s="6" t="b">
        <v>0</v>
      </c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  <c r="BD66" s="6"/>
      <c r="BE66" s="6"/>
      <c r="BF66" s="6"/>
      <c r="BG66" s="6"/>
      <c r="BH66" s="6"/>
      <c r="BI66" s="6"/>
      <c r="BJ66" s="6"/>
      <c r="BK66" s="6"/>
      <c r="BL66" s="6"/>
      <c r="BM66" s="6"/>
      <c r="BN66" s="6"/>
      <c r="BO66" s="6"/>
      <c r="BP66" s="6"/>
      <c r="BQ66" s="6"/>
      <c r="BR66" s="6"/>
      <c r="BS66" s="6"/>
      <c r="BT66" s="6"/>
      <c r="BU66" s="6"/>
      <c r="BV66" s="6"/>
      <c r="BW66" s="6"/>
      <c r="BX66" s="6"/>
      <c r="BY66" s="6"/>
      <c r="BZ66" s="6"/>
      <c r="CA66" s="6"/>
      <c r="CB66" s="6"/>
      <c r="CC66" s="6"/>
      <c r="CD66" s="6"/>
      <c r="CE66" s="6"/>
      <c r="CF66" s="6"/>
      <c r="CG66" s="6"/>
      <c r="CH66" s="6"/>
      <c r="CI66" s="6"/>
      <c r="CJ66" s="6"/>
      <c r="CK66" s="6"/>
      <c r="CL66" s="6"/>
      <c r="CM66" s="6"/>
      <c r="CN66" s="6"/>
      <c r="CO66" s="6"/>
      <c r="CP66" s="6"/>
      <c r="CQ66" s="6"/>
      <c r="CR66" s="6"/>
      <c r="CS66" s="6"/>
      <c r="CT66" s="6"/>
      <c r="CU66" s="6"/>
      <c r="CV66" s="6"/>
      <c r="CW66" s="6"/>
      <c r="CX66" s="6"/>
      <c r="CY66" s="6"/>
      <c r="CZ66" s="6"/>
      <c r="DA66" s="6"/>
      <c r="DB66" s="6"/>
      <c r="DC66" s="6"/>
      <c r="DD66" s="6"/>
      <c r="DE66" s="6"/>
      <c r="DF66" s="6"/>
      <c r="DG66" s="6"/>
      <c r="DH66" s="6"/>
      <c r="DI66" s="6"/>
      <c r="DJ66" s="6"/>
      <c r="DK66" s="6"/>
      <c r="DL66" s="6"/>
      <c r="DM66" s="6"/>
      <c r="DN66" s="6"/>
      <c r="DO66" s="6"/>
      <c r="DP66" s="6"/>
      <c r="DQ66" s="6"/>
      <c r="DR66" s="6"/>
      <c r="DS66" s="6"/>
      <c r="DT66" s="6"/>
      <c r="DU66" s="6"/>
      <c r="DV66" s="6"/>
      <c r="DW66" s="6"/>
      <c r="DX66" s="6"/>
      <c r="DY66" s="6"/>
      <c r="DZ66" s="6"/>
      <c r="EA66" s="6"/>
      <c r="EB66" s="6"/>
      <c r="EC66" s="6"/>
      <c r="ED66" s="6"/>
      <c r="EE66" s="6"/>
    </row>
    <row r="67" spans="1:135">
      <c r="A67" s="6"/>
      <c r="B67" s="6"/>
      <c r="C67" s="6"/>
      <c r="D67" s="6"/>
      <c r="E67" s="252"/>
      <c r="F67" s="253"/>
      <c r="G67" s="254"/>
      <c r="H67" s="6"/>
      <c r="I67" s="5"/>
      <c r="J67" s="5"/>
      <c r="K67" s="8"/>
      <c r="L67" s="6" t="s">
        <v>418</v>
      </c>
      <c r="M67" s="6" t="b">
        <v>0</v>
      </c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  <c r="BD67" s="6"/>
      <c r="BE67" s="6"/>
      <c r="BF67" s="6"/>
      <c r="BG67" s="6"/>
      <c r="BH67" s="6"/>
      <c r="BI67" s="6"/>
      <c r="BJ67" s="6"/>
      <c r="BK67" s="6"/>
      <c r="BL67" s="6"/>
      <c r="BM67" s="6"/>
      <c r="BN67" s="6"/>
      <c r="BO67" s="6"/>
      <c r="BP67" s="6"/>
      <c r="BQ67" s="6"/>
      <c r="BR67" s="6"/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6"/>
      <c r="CE67" s="6"/>
      <c r="CF67" s="6"/>
      <c r="CG67" s="6"/>
      <c r="CH67" s="6"/>
      <c r="CI67" s="6"/>
      <c r="CJ67" s="6"/>
      <c r="CK67" s="6"/>
      <c r="CL67" s="6"/>
      <c r="CM67" s="6"/>
      <c r="CN67" s="6"/>
      <c r="CO67" s="6"/>
      <c r="CP67" s="6"/>
      <c r="CQ67" s="6"/>
      <c r="CR67" s="6"/>
      <c r="CS67" s="6"/>
      <c r="CT67" s="6"/>
      <c r="CU67" s="6"/>
      <c r="CV67" s="6"/>
      <c r="CW67" s="6"/>
      <c r="CX67" s="6"/>
      <c r="CY67" s="6"/>
      <c r="CZ67" s="6"/>
      <c r="DA67" s="6"/>
      <c r="DB67" s="6"/>
      <c r="DC67" s="6"/>
      <c r="DD67" s="6"/>
      <c r="DE67" s="6"/>
      <c r="DF67" s="6"/>
      <c r="DG67" s="6"/>
      <c r="DH67" s="6"/>
      <c r="DI67" s="6"/>
      <c r="DJ67" s="6"/>
      <c r="DK67" s="6"/>
      <c r="DL67" s="6"/>
      <c r="DM67" s="6"/>
      <c r="DN67" s="6"/>
      <c r="DO67" s="6"/>
      <c r="DP67" s="6"/>
      <c r="DQ67" s="6"/>
      <c r="DR67" s="6"/>
      <c r="DS67" s="6"/>
      <c r="DT67" s="6"/>
      <c r="DU67" s="6"/>
      <c r="DV67" s="6"/>
      <c r="DW67" s="6"/>
      <c r="DX67" s="6"/>
      <c r="DY67" s="6"/>
      <c r="DZ67" s="6"/>
      <c r="EA67" s="6"/>
      <c r="EB67" s="6"/>
      <c r="EC67" s="6"/>
      <c r="ED67" s="6"/>
      <c r="EE67" s="6"/>
    </row>
    <row r="68" spans="1:135">
      <c r="E68" s="252"/>
      <c r="F68" s="253"/>
      <c r="G68" s="254"/>
      <c r="K68" s="8"/>
      <c r="L68" t="s">
        <v>390</v>
      </c>
      <c r="M68" t="b">
        <v>0</v>
      </c>
    </row>
    <row r="69" spans="1:135">
      <c r="E69" s="252"/>
      <c r="F69" s="253"/>
      <c r="G69" s="254"/>
      <c r="L69" t="s">
        <v>381</v>
      </c>
      <c r="M69" t="b">
        <v>0</v>
      </c>
    </row>
    <row r="70" spans="1:135">
      <c r="E70" s="252"/>
      <c r="F70" s="253"/>
      <c r="G70" s="254"/>
      <c r="L70" t="s">
        <v>378</v>
      </c>
      <c r="M70" t="b">
        <v>0</v>
      </c>
    </row>
    <row r="71" spans="1:135">
      <c r="E71" s="252"/>
      <c r="F71" s="253"/>
      <c r="G71" s="254"/>
      <c r="L71" t="s">
        <v>356</v>
      </c>
      <c r="M71" t="b">
        <v>0</v>
      </c>
    </row>
    <row r="72" spans="1:135">
      <c r="E72" s="252"/>
      <c r="F72" s="253"/>
      <c r="G72" s="254"/>
      <c r="L72" t="s">
        <v>357</v>
      </c>
      <c r="M72" t="b">
        <v>0</v>
      </c>
    </row>
    <row r="73" spans="1:135">
      <c r="E73" s="252"/>
      <c r="F73" s="253"/>
      <c r="G73" s="254"/>
      <c r="L73" t="s">
        <v>389</v>
      </c>
      <c r="M73" t="b">
        <v>0</v>
      </c>
    </row>
    <row r="74" spans="1:135">
      <c r="E74" s="252"/>
      <c r="F74" s="253"/>
      <c r="G74" s="254"/>
      <c r="L74" t="s">
        <v>358</v>
      </c>
      <c r="M74" t="b">
        <v>0</v>
      </c>
    </row>
    <row r="75" spans="1:135">
      <c r="E75" s="252"/>
      <c r="F75" s="253"/>
      <c r="G75" s="254"/>
      <c r="L75" t="s">
        <v>371</v>
      </c>
      <c r="M75" t="b">
        <v>0</v>
      </c>
    </row>
    <row r="76" spans="1:135">
      <c r="E76" s="252"/>
      <c r="F76" s="253"/>
      <c r="G76" s="254"/>
    </row>
    <row r="77" spans="1:135" ht="15.75" thickBot="1">
      <c r="E77" s="263"/>
      <c r="F77" s="264"/>
      <c r="G77" s="265"/>
    </row>
  </sheetData>
  <protectedRanges>
    <protectedRange sqref="N6:N13" name="Range1_1_1"/>
  </protectedRanges>
  <mergeCells count="1">
    <mergeCell ref="N1:O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694" r:id="rId4" name="AU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95" r:id="rId5" name="AU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96" r:id="rId6" name="Axis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10</xdr:row>
                    <xdr:rowOff>0</xdr:rowOff>
                  </from>
                  <to>
                    <xdr:col>6</xdr:col>
                    <xdr:colOff>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97" r:id="rId7" name="Axis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98" r:id="rId8" name="Axis(C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12</xdr:row>
                    <xdr:rowOff>0</xdr:rowOff>
                  </from>
                  <to>
                    <xdr:col>6</xdr:col>
                    <xdr:colOff>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699" r:id="rId9" name="Axis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00" r:id="rId10" name="Axis(S)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14</xdr:row>
                    <xdr:rowOff>0</xdr:rowOff>
                  </from>
                  <to>
                    <xdr:col>6</xdr:col>
                    <xdr:colOff>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01" r:id="rId11" name="Axis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02" r:id="rId12" name="Bandha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16</xdr:row>
                    <xdr:rowOff>0</xdr:rowOff>
                  </from>
                  <to>
                    <xdr:col>6</xdr:col>
                    <xdr:colOff>0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03" r:id="rId13" name="BOB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17</xdr:row>
                    <xdr:rowOff>0</xdr:rowOff>
                  </from>
                  <to>
                    <xdr:col>6</xdr:col>
                    <xdr:colOff>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04" r:id="rId14" name="BOB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18</xdr:row>
                    <xdr:rowOff>0</xdr:rowOff>
                  </from>
                  <to>
                    <xdr:col>6</xdr:col>
                    <xdr:colOff>0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05" r:id="rId15" name="BOB(P)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19</xdr:row>
                    <xdr:rowOff>0</xdr:rowOff>
                  </from>
                  <to>
                    <xdr:col>6</xdr:col>
                    <xdr:colOff>0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06" r:id="rId16" name="BOB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07" r:id="rId17" name="BO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21</xdr:row>
                    <xdr:rowOff>0</xdr:rowOff>
                  </from>
                  <to>
                    <xdr:col>6</xdr:col>
                    <xdr:colOff>0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08" r:id="rId18" name="BO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09" r:id="rId19" name="Canara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10" r:id="rId20" name="C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24</xdr:row>
                    <xdr:rowOff>0</xdr:rowOff>
                  </from>
                  <to>
                    <xdr:col>6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11" r:id="rId21" name="C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25</xdr:row>
                    <xdr:rowOff>0</xdr:rowOff>
                  </from>
                  <to>
                    <xdr:col>6</xdr:col>
                    <xdr:colOff>0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12" r:id="rId22" name="CityUn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13" r:id="rId23" name="D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6</xdr:col>
                    <xdr:colOff>0</xdr:colOff>
                    <xdr:row>28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14" r:id="rId24" name="Equitas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28</xdr:row>
                    <xdr:rowOff>0</xdr:rowOff>
                  </from>
                  <to>
                    <xdr:col>6</xdr:col>
                    <xdr:colOff>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15" r:id="rId25" name="Federal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29</xdr:row>
                    <xdr:rowOff>0</xdr:rowOff>
                  </from>
                  <to>
                    <xdr:col>6</xdr:col>
                    <xdr:colOff>0</xdr:colOff>
                    <xdr:row>30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16" r:id="rId26" name="Federal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30</xdr:row>
                    <xdr:rowOff>0</xdr:rowOff>
                  </from>
                  <to>
                    <xdr:col>6</xdr:col>
                    <xdr:colOff>0</xdr:colOff>
                    <xdr:row>31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17" r:id="rId27" name="HDFC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31</xdr:row>
                    <xdr:rowOff>0</xdr:rowOff>
                  </from>
                  <to>
                    <xdr:col>6</xdr:col>
                    <xdr:colOff>0</xdr:colOff>
                    <xdr:row>32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18" r:id="rId28" name="HDFC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32</xdr:row>
                    <xdr:rowOff>0</xdr:rowOff>
                  </from>
                  <to>
                    <xdr:col>6</xdr:col>
                    <xdr:colOff>0</xdr:colOff>
                    <xdr:row>33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19" r:id="rId29" name="ICICI 3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33</xdr:row>
                    <xdr:rowOff>0</xdr:rowOff>
                  </from>
                  <to>
                    <xdr:col>6</xdr:col>
                    <xdr:colOff>0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20" r:id="rId30" name="ICICI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34</xdr:row>
                    <xdr:rowOff>0</xdr:rowOff>
                  </from>
                  <to>
                    <xdr:col>6</xdr:col>
                    <xdr:colOff>0</xdr:colOff>
                    <xdr:row>35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21" r:id="rId31" name="ICICI(C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35</xdr:row>
                    <xdr:rowOff>0</xdr:rowOff>
                  </from>
                  <to>
                    <xdr:col>6</xdr:col>
                    <xdr:colOff>0</xdr:colOff>
                    <xdr:row>36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22" r:id="rId32" name="ICICI(C)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36</xdr:row>
                    <xdr:rowOff>0</xdr:rowOff>
                  </from>
                  <to>
                    <xdr:col>6</xdr:col>
                    <xdr:colOff>0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23" r:id="rId33" name="ICICI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37</xdr:row>
                    <xdr:rowOff>0</xdr:rowOff>
                  </from>
                  <to>
                    <xdr:col>6</xdr:col>
                    <xdr:colOff>0</xdr:colOff>
                    <xdr:row>38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24" r:id="rId34" name="ICICI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38</xdr:row>
                    <xdr:rowOff>0</xdr:rowOff>
                  </from>
                  <to>
                    <xdr:col>6</xdr:col>
                    <xdr:colOff>0</xdr:colOff>
                    <xdr:row>39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25" r:id="rId35" name="ID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39</xdr:row>
                    <xdr:rowOff>0</xdr:rowOff>
                  </from>
                  <to>
                    <xdr:col>6</xdr:col>
                    <xdr:colOff>0</xdr:colOff>
                    <xdr:row>40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26" r:id="rId36" name="ID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40</xdr:row>
                    <xdr:rowOff>0</xdr:rowOff>
                  </from>
                  <to>
                    <xdr:col>6</xdr:col>
                    <xdr:colOff>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27" r:id="rId37" name="IDBI(S)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41</xdr:row>
                    <xdr:rowOff>0</xdr:rowOff>
                  </from>
                  <to>
                    <xdr:col>6</xdr:col>
                    <xdr:colOff>0</xdr:colOff>
                    <xdr:row>42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28" r:id="rId38" name="IDFC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42</xdr:row>
                    <xdr:rowOff>0</xdr:rowOff>
                  </from>
                  <to>
                    <xdr:col>6</xdr:col>
                    <xdr:colOff>0</xdr:colOff>
                    <xdr:row>43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29" r:id="rId39" name="IDFC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43</xdr:row>
                    <xdr:rowOff>0</xdr:rowOff>
                  </from>
                  <to>
                    <xdr:col>6</xdr:col>
                    <xdr:colOff>0</xdr:colOff>
                    <xdr:row>44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30" r:id="rId40" name="India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44</xdr:row>
                    <xdr:rowOff>0</xdr:rowOff>
                  </from>
                  <to>
                    <xdr:col>6</xdr:col>
                    <xdr:colOff>0</xdr:colOff>
                    <xdr:row>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31" r:id="rId41" name="indusind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45</xdr:row>
                    <xdr:rowOff>0</xdr:rowOff>
                  </from>
                  <to>
                    <xdr:col>6</xdr:col>
                    <xdr:colOff>0</xdr:colOff>
                    <xdr:row>46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32" r:id="rId42" name="indusind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46</xdr:row>
                    <xdr:rowOff>0</xdr:rowOff>
                  </from>
                  <to>
                    <xdr:col>6</xdr:col>
                    <xdr:colOff>0</xdr:colOff>
                    <xdr:row>47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33" r:id="rId43" name="Kalupur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47</xdr:row>
                    <xdr:rowOff>0</xdr:rowOff>
                  </from>
                  <to>
                    <xdr:col>6</xdr:col>
                    <xdr:colOff>0</xdr:colOff>
                    <xdr:row>48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34" r:id="rId44" name="Kotak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48</xdr:row>
                    <xdr:rowOff>0</xdr:rowOff>
                  </from>
                  <to>
                    <xdr:col>6</xdr:col>
                    <xdr:colOff>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35" r:id="rId45" name="Kotak(C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49</xdr:row>
                    <xdr:rowOff>0</xdr:rowOff>
                  </from>
                  <to>
                    <xdr:col>6</xdr:col>
                    <xdr:colOff>0</xdr:colOff>
                    <xdr:row>50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36" r:id="rId46" name="Kotak(S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50</xdr:row>
                    <xdr:rowOff>0</xdr:rowOff>
                  </from>
                  <to>
                    <xdr:col>6</xdr:col>
                    <xdr:colOff>0</xdr:colOff>
                    <xdr:row>51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37" r:id="rId47" name="Kotak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51</xdr:row>
                    <xdr:rowOff>0</xdr:rowOff>
                  </from>
                  <to>
                    <xdr:col>6</xdr:col>
                    <xdr:colOff>0</xdr:colOff>
                    <xdr:row>52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38" r:id="rId48" name="Kotak3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52</xdr:row>
                    <xdr:rowOff>0</xdr:rowOff>
                  </from>
                  <to>
                    <xdr:col>6</xdr:col>
                    <xdr:colOff>0</xdr:colOff>
                    <xdr:row>53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39" r:id="rId49" name="NEWINDIA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53</xdr:row>
                    <xdr:rowOff>0</xdr:rowOff>
                  </from>
                  <to>
                    <xdr:col>6</xdr:col>
                    <xdr:colOff>0</xdr:colOff>
                    <xdr:row>54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40" r:id="rId50" name="PN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54</xdr:row>
                    <xdr:rowOff>0</xdr:rowOff>
                  </from>
                  <to>
                    <xdr:col>6</xdr:col>
                    <xdr:colOff>0</xdr:colOff>
                    <xdr:row>55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41" r:id="rId51" name="PNB (2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55</xdr:row>
                    <xdr:rowOff>0</xdr:rowOff>
                  </from>
                  <to>
                    <xdr:col>6</xdr:col>
                    <xdr:colOff>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42" r:id="rId52" name="PNB (L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56</xdr:row>
                    <xdr:rowOff>0</xdr:rowOff>
                  </from>
                  <to>
                    <xdr:col>6</xdr:col>
                    <xdr:colOff>0</xdr:colOff>
                    <xdr:row>57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43" r:id="rId53" name="Prime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57</xdr:row>
                    <xdr:rowOff>0</xdr:rowOff>
                  </from>
                  <to>
                    <xdr:col>6</xdr:col>
                    <xdr:colOff>0</xdr:colOff>
                    <xdr:row>58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44" r:id="rId54" name="RBL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58</xdr:row>
                    <xdr:rowOff>0</xdr:rowOff>
                  </from>
                  <to>
                    <xdr:col>6</xdr:col>
                    <xdr:colOff>0</xdr:colOff>
                    <xdr:row>59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45" r:id="rId55" name="RNSBE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59</xdr:row>
                    <xdr:rowOff>0</xdr:rowOff>
                  </from>
                  <to>
                    <xdr:col>6</xdr:col>
                    <xdr:colOff>0</xdr:colOff>
                    <xdr:row>60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46" r:id="rId56" name="Saraswat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60</xdr:row>
                    <xdr:rowOff>0</xdr:rowOff>
                  </from>
                  <to>
                    <xdr:col>6</xdr:col>
                    <xdr:colOff>0</xdr:colOff>
                    <xdr:row>61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47" r:id="rId57" name="SBI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61</xdr:row>
                    <xdr:rowOff>0</xdr:rowOff>
                  </from>
                  <to>
                    <xdr:col>6</xdr:col>
                    <xdr:colOff>0</xdr:colOff>
                    <xdr:row>62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48" r:id="rId58" name="SBI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62</xdr:row>
                    <xdr:rowOff>0</xdr:rowOff>
                  </from>
                  <to>
                    <xdr:col>6</xdr:col>
                    <xdr:colOff>0</xdr:colOff>
                    <xdr:row>63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49" r:id="rId59" name="SCOPB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63</xdr:row>
                    <xdr:rowOff>0</xdr:rowOff>
                  </from>
                  <to>
                    <xdr:col>6</xdr:col>
                    <xdr:colOff>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50" r:id="rId60" name="SD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64</xdr:row>
                    <xdr:rowOff>0</xdr:rowOff>
                  </from>
                  <to>
                    <xdr:col>6</xdr:col>
                    <xdr:colOff>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51" r:id="rId61" name="SDCB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65</xdr:row>
                    <xdr:rowOff>0</xdr:rowOff>
                  </from>
                  <to>
                    <xdr:col>6</xdr:col>
                    <xdr:colOff>0</xdr:colOff>
                    <xdr:row>66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52" r:id="rId62" name="SI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66</xdr:row>
                    <xdr:rowOff>0</xdr:rowOff>
                  </from>
                  <to>
                    <xdr:col>6</xdr:col>
                    <xdr:colOff>0</xdr:colOff>
                    <xdr:row>67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53" r:id="rId63" name="SNCB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67</xdr:row>
                    <xdr:rowOff>0</xdr:rowOff>
                  </from>
                  <to>
                    <xdr:col>6</xdr:col>
                    <xdr:colOff>0</xdr:colOff>
                    <xdr:row>68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54" r:id="rId64" name="UCO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68</xdr:row>
                    <xdr:rowOff>0</xdr:rowOff>
                  </from>
                  <to>
                    <xdr:col>6</xdr:col>
                    <xdr:colOff>0</xdr:colOff>
                    <xdr:row>69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55" r:id="rId65" name="Union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69</xdr:row>
                    <xdr:rowOff>0</xdr:rowOff>
                  </from>
                  <to>
                    <xdr:col>6</xdr:col>
                    <xdr:colOff>0</xdr:colOff>
                    <xdr:row>70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56" r:id="rId66" name="Union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70</xdr:row>
                    <xdr:rowOff>0</xdr:rowOff>
                  </from>
                  <to>
                    <xdr:col>6</xdr:col>
                    <xdr:colOff>0</xdr:colOff>
                    <xdr:row>71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57" r:id="rId67" name="Union2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71</xdr:row>
                    <xdr:rowOff>0</xdr:rowOff>
                  </from>
                  <to>
                    <xdr:col>6</xdr:col>
                    <xdr:colOff>0</xdr:colOff>
                    <xdr:row>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58" r:id="rId68" name="Varachha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72</xdr:row>
                    <xdr:rowOff>0</xdr:rowOff>
                  </from>
                  <to>
                    <xdr:col>6</xdr:col>
                    <xdr:colOff>0</xdr:colOff>
                    <xdr:row>73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59" r:id="rId69" name="Varachha (P)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73</xdr:row>
                    <xdr:rowOff>0</xdr:rowOff>
                  </from>
                  <to>
                    <xdr:col>6</xdr:col>
                    <xdr:colOff>0</xdr:colOff>
                    <xdr:row>74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760" r:id="rId70" name="Yes_CheckBox">
              <controlPr defaultSize="0" autoFill="0" autoLine="0" autoPict="0" macro="[0]!ToggleSheetVisibility">
                <anchor moveWithCells="1">
                  <from>
                    <xdr:col>5</xdr:col>
                    <xdr:colOff>0</xdr:colOff>
                    <xdr:row>74</xdr:row>
                    <xdr:rowOff>0</xdr:rowOff>
                  </from>
                  <to>
                    <xdr:col>6</xdr:col>
                    <xdr:colOff>0</xdr:colOff>
                    <xdr:row>75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Sheet8">
    <tabColor theme="5" tint="0.39997558519241921"/>
  </sheetPr>
  <dimension ref="A1:EE5"/>
  <sheetViews>
    <sheetView zoomScale="93" zoomScaleNormal="93" workbookViewId="0">
      <selection activeCell="C22" sqref="C22"/>
    </sheetView>
  </sheetViews>
  <sheetFormatPr defaultRowHeight="15"/>
  <cols>
    <col min="1" max="1" width="25.140625" style="6" customWidth="1"/>
    <col min="2" max="8" width="19.28515625" style="6" customWidth="1"/>
    <col min="9" max="9" width="40.85546875" style="6" customWidth="1"/>
    <col min="10" max="10" width="53.7109375" style="6" customWidth="1"/>
    <col min="11" max="11" width="19.28515625" style="6" customWidth="1"/>
    <col min="12" max="13" width="21.5703125" style="6" customWidth="1"/>
    <col min="14" max="15" width="9.140625" style="6"/>
    <col min="16" max="18" width="20" style="6" customWidth="1"/>
    <col min="19" max="16384" width="9.140625" style="6"/>
  </cols>
  <sheetData>
    <row r="1" spans="1:135" customFormat="1" ht="26.25" customHeight="1">
      <c r="A1" s="71"/>
      <c r="B1" s="72"/>
      <c r="C1" s="72"/>
      <c r="D1" s="72"/>
      <c r="E1" s="72"/>
      <c r="F1" s="128" t="s">
        <v>57</v>
      </c>
      <c r="G1" s="73" t="s">
        <v>58</v>
      </c>
      <c r="H1" s="74" t="s">
        <v>59</v>
      </c>
      <c r="I1" s="72"/>
      <c r="J1" s="64" t="s">
        <v>57</v>
      </c>
      <c r="K1" s="75"/>
      <c r="L1" s="1"/>
      <c r="M1" s="2"/>
      <c r="P1" s="6"/>
      <c r="Q1" s="6"/>
      <c r="R1" s="6"/>
    </row>
    <row r="2" spans="1:135" customFormat="1" ht="26.25" customHeight="1">
      <c r="A2" s="76"/>
      <c r="B2" s="77"/>
      <c r="C2" s="78"/>
      <c r="D2" s="78"/>
      <c r="E2" s="78"/>
      <c r="F2" s="129">
        <f>+G2+H2</f>
        <v>0</v>
      </c>
      <c r="G2" s="69">
        <f>+COUNTIF($D:$D,"&gt;"&amp;0)</f>
        <v>0</v>
      </c>
      <c r="H2" s="70">
        <f>+COUNTIF($E:$E,"&gt;"&amp;0)</f>
        <v>0</v>
      </c>
      <c r="I2" s="78"/>
      <c r="J2" s="68"/>
      <c r="K2" s="79"/>
      <c r="P2" s="6"/>
      <c r="Q2" s="6"/>
      <c r="R2" s="6"/>
    </row>
    <row r="3" spans="1:135" customFormat="1" ht="26.25" customHeight="1">
      <c r="A3" s="76"/>
      <c r="B3" s="78"/>
      <c r="C3" s="276" t="s">
        <v>413</v>
      </c>
      <c r="D3" s="274" t="s">
        <v>1124</v>
      </c>
      <c r="E3" s="261"/>
      <c r="F3" s="258"/>
      <c r="G3" s="258"/>
      <c r="H3" s="78"/>
      <c r="I3" s="78"/>
      <c r="J3" s="79"/>
      <c r="K3" s="79"/>
      <c r="P3" s="6"/>
      <c r="Q3" s="6"/>
      <c r="R3" s="6"/>
    </row>
    <row r="4" spans="1:135" customFormat="1" ht="26.25" customHeight="1" thickBot="1">
      <c r="A4" s="80"/>
      <c r="B4" s="81"/>
      <c r="C4" s="277" t="str">
        <f>+IF(ISBLANK(D4),"","GST No. :")</f>
        <v/>
      </c>
      <c r="D4" s="275"/>
      <c r="E4" s="262"/>
      <c r="F4" s="260" t="s">
        <v>1128</v>
      </c>
      <c r="G4" s="259"/>
      <c r="H4" s="81"/>
      <c r="I4" s="81"/>
      <c r="J4" s="79"/>
      <c r="K4" s="79"/>
      <c r="P4" s="6"/>
      <c r="Q4" s="6"/>
      <c r="R4" s="6"/>
    </row>
    <row r="5" spans="1:135" customFormat="1" ht="15.75" thickBot="1">
      <c r="A5" s="266" t="s">
        <v>5</v>
      </c>
      <c r="B5" s="267" t="s">
        <v>7</v>
      </c>
      <c r="C5" s="268" t="s">
        <v>8</v>
      </c>
      <c r="D5" s="269" t="s">
        <v>9</v>
      </c>
      <c r="E5" s="269" t="s">
        <v>10</v>
      </c>
      <c r="F5" s="270" t="s">
        <v>11</v>
      </c>
      <c r="G5" s="267" t="s">
        <v>12</v>
      </c>
      <c r="H5" s="267" t="s">
        <v>13</v>
      </c>
      <c r="I5" s="267" t="s">
        <v>14</v>
      </c>
      <c r="J5" s="267" t="s">
        <v>15</v>
      </c>
      <c r="K5" s="271" t="s">
        <v>415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6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  <c r="BD5" s="6"/>
      <c r="BE5" s="6"/>
      <c r="BF5" s="6"/>
      <c r="BG5" s="6"/>
      <c r="BH5" s="6"/>
      <c r="BI5" s="6"/>
      <c r="BJ5" s="6"/>
      <c r="BK5" s="6"/>
      <c r="BL5" s="6"/>
      <c r="BM5" s="6"/>
      <c r="BN5" s="6"/>
      <c r="BO5" s="6"/>
      <c r="BP5" s="6"/>
      <c r="BQ5" s="6"/>
      <c r="BR5" s="6"/>
      <c r="BS5" s="6"/>
      <c r="BT5" s="6"/>
      <c r="BU5" s="6"/>
      <c r="BV5" s="6"/>
      <c r="BW5" s="6"/>
      <c r="BX5" s="6"/>
      <c r="BY5" s="6"/>
      <c r="BZ5" s="6"/>
      <c r="CA5" s="6"/>
      <c r="CB5" s="6"/>
      <c r="CC5" s="6"/>
      <c r="CD5" s="6"/>
      <c r="CE5" s="6"/>
      <c r="CF5" s="6"/>
      <c r="CG5" s="6"/>
      <c r="CH5" s="6"/>
      <c r="CI5" s="6"/>
      <c r="CJ5" s="6"/>
      <c r="CK5" s="6"/>
      <c r="CL5" s="6"/>
      <c r="CM5" s="6"/>
      <c r="CN5" s="6"/>
      <c r="CO5" s="6"/>
      <c r="CP5" s="6"/>
      <c r="CQ5" s="6"/>
      <c r="CR5" s="6"/>
      <c r="CS5" s="6"/>
      <c r="CT5" s="6"/>
      <c r="CU5" s="6"/>
      <c r="CV5" s="6"/>
      <c r="CW5" s="6"/>
      <c r="CX5" s="6"/>
      <c r="CY5" s="6"/>
      <c r="CZ5" s="6"/>
      <c r="DA5" s="6"/>
      <c r="DB5" s="6"/>
      <c r="DC5" s="6"/>
      <c r="DD5" s="6"/>
      <c r="DE5" s="6"/>
      <c r="DF5" s="6"/>
      <c r="DG5" s="6"/>
      <c r="DH5" s="6"/>
      <c r="DI5" s="6"/>
      <c r="DJ5" s="6"/>
      <c r="DK5" s="6"/>
      <c r="DL5" s="6"/>
      <c r="DM5" s="6"/>
      <c r="DN5" s="6"/>
      <c r="DO5" s="6"/>
      <c r="DP5" s="6"/>
      <c r="DQ5" s="6"/>
      <c r="DR5" s="6"/>
      <c r="DS5" s="6"/>
      <c r="DT5" s="6"/>
      <c r="DU5" s="6"/>
      <c r="DV5" s="6"/>
      <c r="DW5" s="6"/>
      <c r="DX5" s="6"/>
      <c r="DY5" s="6"/>
      <c r="DZ5" s="6"/>
      <c r="EA5" s="6"/>
      <c r="EB5" s="6"/>
      <c r="EC5" s="6"/>
      <c r="ED5" s="6"/>
      <c r="EE5" s="6"/>
    </row>
  </sheetData>
  <sheetProtection algorithmName="SHA-512" hashValue="YsbLSY1wROWX4oigtzO243/82etKTF+0judwhckBKYE/duOZSA11z6+r1oT4DdVqnKYrolx9zDPcPZdZoi9ILg==" saltValue="fV3L+5MJFQsTJZd+BfZmEg==" spinCount="100000" sheet="1" objects="1" scenarios="1"/>
  <conditionalFormatting sqref="F1">
    <cfRule type="cellIs" dxfId="2" priority="3" operator="equal">
      <formula>#N/A</formula>
    </cfRule>
  </conditionalFormatting>
  <conditionalFormatting sqref="G5">
    <cfRule type="cellIs" dxfId="1" priority="2" operator="equal">
      <formula>#N/A</formula>
    </cfRule>
  </conditionalFormatting>
  <conditionalFormatting sqref="H5:I5">
    <cfRule type="cellIs" dxfId="0" priority="1" operator="equal">
      <formula>#N/A</formula>
    </cfRule>
  </conditionalFormatting>
  <pageMargins left="0.7" right="0.7" top="0.75" bottom="0.75" header="0.3" footer="0.3"/>
  <pageSetup orientation="portrait" r:id="rId1"/>
  <drawing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Sheet58"/>
  <dimension ref="A3:O13"/>
  <sheetViews>
    <sheetView workbookViewId="0">
      <selection activeCell="E16" sqref="E16"/>
    </sheetView>
  </sheetViews>
  <sheetFormatPr defaultRowHeight="15"/>
  <cols>
    <col min="1" max="1" width="23.7109375" customWidth="1"/>
    <col min="2" max="2" width="23.28515625" customWidth="1"/>
  </cols>
  <sheetData>
    <row r="3" spans="1:15">
      <c r="L3" t="s">
        <v>432</v>
      </c>
      <c r="O3" t="s">
        <v>426</v>
      </c>
    </row>
    <row r="4" spans="1:15">
      <c r="O4" t="s">
        <v>427</v>
      </c>
    </row>
    <row r="6" spans="1:15">
      <c r="A6" s="240" t="s">
        <v>398</v>
      </c>
      <c r="B6" s="241">
        <v>29505</v>
      </c>
    </row>
    <row r="7" spans="1:15">
      <c r="A7" s="240" t="s">
        <v>399</v>
      </c>
      <c r="B7" s="241" t="s">
        <v>1121</v>
      </c>
    </row>
    <row r="8" spans="1:15">
      <c r="A8" s="240" t="s">
        <v>400</v>
      </c>
      <c r="B8" s="241">
        <v>9173555942</v>
      </c>
    </row>
    <row r="9" spans="1:15">
      <c r="A9" s="240" t="s">
        <v>401</v>
      </c>
      <c r="B9" s="241" t="s">
        <v>1122</v>
      </c>
    </row>
    <row r="10" spans="1:15">
      <c r="A10" s="240" t="s">
        <v>402</v>
      </c>
      <c r="B10" s="241" t="s">
        <v>1123</v>
      </c>
    </row>
    <row r="11" spans="1:15">
      <c r="A11" s="240" t="s">
        <v>403</v>
      </c>
      <c r="B11" s="242">
        <v>45573</v>
      </c>
    </row>
    <row r="12" spans="1:15">
      <c r="A12" s="240" t="s">
        <v>404</v>
      </c>
      <c r="B12" s="242">
        <v>46174</v>
      </c>
    </row>
    <row r="13" spans="1:15">
      <c r="A13" s="240" t="s">
        <v>405</v>
      </c>
      <c r="B13" s="242" t="s">
        <v>408</v>
      </c>
    </row>
  </sheetData>
  <sheetProtection algorithmName="SHA-512" hashValue="SuB65TMUBGcmlfV/kfYGUAMkA6Pag4E5S/7C3cUfAzeiLIrQA8AHrnFrmh/MAt9ZR/1ddYZ2yCl2Y2G1HdzI2A==" saltValue="zaej6whDPR/HhhnetZrSGw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69</vt:i4>
      </vt:variant>
    </vt:vector>
  </HeadingPairs>
  <TitlesOfParts>
    <vt:vector size="69" baseType="lpstr">
      <vt:lpstr>AU</vt:lpstr>
      <vt:lpstr>AU (P)</vt:lpstr>
      <vt:lpstr>Axis (P)</vt:lpstr>
      <vt:lpstr>Axis(C)</vt:lpstr>
      <vt:lpstr>Axis(C) (P)</vt:lpstr>
      <vt:lpstr>Axis(S)</vt:lpstr>
      <vt:lpstr>Axis(S) (2)</vt:lpstr>
      <vt:lpstr>Axis(S) (P)</vt:lpstr>
      <vt:lpstr>Bandhan</vt:lpstr>
      <vt:lpstr>BOB(C)</vt:lpstr>
      <vt:lpstr>BOB(P)</vt:lpstr>
      <vt:lpstr>BOB(P) (2)</vt:lpstr>
      <vt:lpstr>BOB(S)</vt:lpstr>
      <vt:lpstr>BOI</vt:lpstr>
      <vt:lpstr>BOI (P)</vt:lpstr>
      <vt:lpstr>Canara</vt:lpstr>
      <vt:lpstr>CBI</vt:lpstr>
      <vt:lpstr>CBI (P)</vt:lpstr>
      <vt:lpstr>CityUni (P)</vt:lpstr>
      <vt:lpstr>DCB</vt:lpstr>
      <vt:lpstr>Equitas</vt:lpstr>
      <vt:lpstr>Federal</vt:lpstr>
      <vt:lpstr>Federal (P)</vt:lpstr>
      <vt:lpstr>HDFC</vt:lpstr>
      <vt:lpstr>HDFC (P)</vt:lpstr>
      <vt:lpstr>ICICI 3 (P)</vt:lpstr>
      <vt:lpstr>ICICI(C)</vt:lpstr>
      <vt:lpstr>ICICI(C) (P)</vt:lpstr>
      <vt:lpstr>ICICI(C)2 (P)</vt:lpstr>
      <vt:lpstr>ICICI(S)</vt:lpstr>
      <vt:lpstr>ICICI(S) (P)</vt:lpstr>
      <vt:lpstr>IDBI</vt:lpstr>
      <vt:lpstr>IDBI (P)</vt:lpstr>
      <vt:lpstr>IDBI(S) (P)</vt:lpstr>
      <vt:lpstr>IDFC</vt:lpstr>
      <vt:lpstr>IDFC (P)</vt:lpstr>
      <vt:lpstr>Indian</vt:lpstr>
      <vt:lpstr>indusind</vt:lpstr>
      <vt:lpstr>indusind (P)</vt:lpstr>
      <vt:lpstr>Kalupur (P)</vt:lpstr>
      <vt:lpstr>Kotak (P)</vt:lpstr>
      <vt:lpstr>Kotak(C)</vt:lpstr>
      <vt:lpstr>Kotak(S)</vt:lpstr>
      <vt:lpstr>Kotak2 (P)</vt:lpstr>
      <vt:lpstr>Kotak3 (P)</vt:lpstr>
      <vt:lpstr>NEWINDIA(P)</vt:lpstr>
      <vt:lpstr>PNB</vt:lpstr>
      <vt:lpstr>PNB (2)</vt:lpstr>
      <vt:lpstr>PNB (L)</vt:lpstr>
      <vt:lpstr>Prime</vt:lpstr>
      <vt:lpstr>RBL</vt:lpstr>
      <vt:lpstr>RNSBE</vt:lpstr>
      <vt:lpstr>Saraswat</vt:lpstr>
      <vt:lpstr>SBI</vt:lpstr>
      <vt:lpstr>SBI (P)</vt:lpstr>
      <vt:lpstr>SCOPB (P)</vt:lpstr>
      <vt:lpstr>SDCB</vt:lpstr>
      <vt:lpstr>SDCB (P)</vt:lpstr>
      <vt:lpstr>SIB</vt:lpstr>
      <vt:lpstr>SNCB</vt:lpstr>
      <vt:lpstr>UCO</vt:lpstr>
      <vt:lpstr>Union</vt:lpstr>
      <vt:lpstr>Union (P)</vt:lpstr>
      <vt:lpstr>Union2 (P)</vt:lpstr>
      <vt:lpstr>Varachha</vt:lpstr>
      <vt:lpstr>Varachha (P)</vt:lpstr>
      <vt:lpstr>Yes</vt:lpstr>
      <vt:lpstr>Help</vt:lpstr>
      <vt:lpstr>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ADITYA</dc:creator>
  <cp:lastModifiedBy>ketan jogani</cp:lastModifiedBy>
  <dcterms:created xsi:type="dcterms:W3CDTF">2015-06-05T18:17:20Z</dcterms:created>
  <dcterms:modified xsi:type="dcterms:W3CDTF">2025-11-07T07:59:27Z</dcterms:modified>
</cp:coreProperties>
</file>