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E655152B-EB43-4E14-844E-7F72306B82AC}" xr6:coauthVersionLast="47" xr6:coauthVersionMax="47" xr10:uidLastSave="{00000000-0000-0000-0000-000000000000}"/>
  <bookViews>
    <workbookView xWindow="-28920" yWindow="-120" windowWidth="29040" windowHeight="15840" firstSheet="1" activeTab="57" xr2:uid="{00000000-000D-0000-FFFF-FFFF00000000}"/>
  </bookViews>
  <sheets>
    <sheet name="ICICI(C) (P)" sheetId="40" r:id="rId1"/>
    <sheet name="ICICI(S) (P)" sheetId="56" r:id="rId2"/>
    <sheet name="ICICI(C)2 (P)" sheetId="60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r:id="rId28"/>
    <sheet name="Axis(S) (2)" sheetId="62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E3" i="62" l="1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B3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E2" i="2"/>
  <c r="DK3" i="58"/>
  <c r="DJ3" i="58"/>
  <c r="DH3" i="58"/>
  <c r="DF3" i="58"/>
  <c r="DE3" i="58"/>
  <c r="F2" i="58" s="1"/>
  <c r="DD3" i="58"/>
  <c r="G2" i="58" s="1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H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23"/>
  <c r="DG3" i="34"/>
  <c r="DG3" i="49"/>
  <c r="DG3" i="31"/>
  <c r="DG3" i="28"/>
  <c r="DG3" i="58"/>
  <c r="DG3" i="57"/>
  <c r="DG3" i="44"/>
  <c r="DG3" i="6"/>
  <c r="DH3" i="40"/>
  <c r="DG3" i="51"/>
  <c r="DG3" i="59"/>
  <c r="DG3" i="61"/>
  <c r="DG3" i="29"/>
  <c r="DG3" i="38"/>
  <c r="DG3" i="32"/>
  <c r="DG3" i="63"/>
  <c r="DG3" i="50"/>
  <c r="DG3" i="56"/>
  <c r="DG3" i="45"/>
  <c r="F2" i="53" l="1"/>
  <c r="F2" i="47"/>
  <c r="H2" i="47" s="1"/>
  <c r="I2" i="47" s="1"/>
  <c r="F2" i="3"/>
  <c r="F2" i="31"/>
  <c r="H2" i="31" s="1"/>
  <c r="I2" i="31" s="1"/>
  <c r="F2" i="11"/>
  <c r="H2" i="11" s="1"/>
  <c r="I2" i="11" s="1"/>
  <c r="F2" i="5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H2" i="53"/>
  <c r="I2" i="53" s="1"/>
  <c r="DC3" i="26"/>
  <c r="H2" i="4"/>
  <c r="I2" i="4" s="1"/>
  <c r="DC3" i="22"/>
  <c r="DC3" i="36"/>
  <c r="DC3" i="53"/>
  <c r="DC3" i="6"/>
  <c r="DC3" i="10"/>
  <c r="DC3" i="32"/>
  <c r="H2" i="67"/>
  <c r="I2" i="67" s="1"/>
  <c r="H2" i="24"/>
  <c r="I2" i="24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H2" i="15"/>
  <c r="I2" i="15" s="1"/>
  <c r="F2" i="33"/>
  <c r="H2" i="33" s="1"/>
  <c r="I2" i="33" s="1"/>
  <c r="DC3" i="38"/>
  <c r="H2" i="64"/>
  <c r="I2" i="64" s="1"/>
  <c r="H2" i="5"/>
  <c r="I2" i="5" s="1"/>
  <c r="DC3" i="24"/>
  <c r="H2" i="34"/>
  <c r="I2" i="34" s="1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2"/>
  <c r="DC3" i="3"/>
  <c r="H2" i="14"/>
  <c r="I2" i="14" s="1"/>
  <c r="F2" i="32"/>
  <c r="H2" i="32" s="1"/>
  <c r="I2" i="32" s="1"/>
  <c r="DC3" i="31"/>
  <c r="DC3" i="61"/>
  <c r="H2" i="20"/>
  <c r="I2" i="20" s="1"/>
  <c r="H2" i="37"/>
  <c r="I2" i="37" s="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H2" i="3"/>
  <c r="I2" i="3" s="1"/>
  <c r="DC3" i="19"/>
  <c r="DI3" i="14"/>
  <c r="DH3" i="11"/>
  <c r="DC3" i="11"/>
  <c r="F2" i="10"/>
  <c r="H2" i="10" s="1"/>
  <c r="I2" i="10" s="1"/>
  <c r="DH3" i="23"/>
  <c r="DC3" i="23"/>
  <c r="DC3" i="57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<sst xmlns="http://schemas.openxmlformats.org/spreadsheetml/2006/main" count="2370" uniqueCount="434">
  <si>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</si>
  <si>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</si>
  <si>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</si>
  <si>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</si>
  <si>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</si>
  <si>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</si>
  <si>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</si>
  <si>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</si>
  <si>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</si>
  <si>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</si>
  <si>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</si>
  <si>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</si>
  <si>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</si>
  <si>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</si>
  <si>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</si>
  <si>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</si>
  <si>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</si>
  <si>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</si>
  <si>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</si>
  <si>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</si>
  <si>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</si>
  <si>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</si>
  <si>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</si>
  <si>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</si>
  <si>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</si>
  <si>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</si>
  <si>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</si>
  <si>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</si>
  <si>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</si>
  <si>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</si>
  <si>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</si>
  <si>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</si>
  <si>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</si>
  <si>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</si>
  <si>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</si>
  <si>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</si>
  <si>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</si>
  <si>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</si>
  <si>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</si>
  <si>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</si>
  <si>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</si>
  <si>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</si>
  <si>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</si>
  <si>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</si>
  <si>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</si>
  <si>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</si>
  <si>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</si>
  <si>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</si>
  <si>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</si>
  <si>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</si>
  <si>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</si>
  <si>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</si>
  <si>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</si>
  <si>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</si>
  <si>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</si>
  <si>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</si>
  <si>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</si>
  <si>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</si>
  <si>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</si>
  <si>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</si>
  <si>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</si>
  <si>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</si>
  <si>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</si>
  <si>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</si>
  <si>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</si>
  <si>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</si>
  <si>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</si>
  <si>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</si>
  <si>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</si>
  <si>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</si>
  <si>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</si>
  <si>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</si>
  <si>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</si>
  <si>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</si>
  <si>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</si>
  <si>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</si>
  <si>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</si>
  <si>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</si>
  <si>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</si>
  <si>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</si>
  <si>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</si>
  <si>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</si>
  <si>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</si>
  <si>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</si>
  <si>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</si>
  <si>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</si>
  <si>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</si>
  <si>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</si>
  <si>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</si>
  <si>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</si>
  <si>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</si>
  <si>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</si>
  <si>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</si>
  <si>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</si>
  <si>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</si>
  <si>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</si>
  <si>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</si>
  <si>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</si>
  <si>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</si>
  <si>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</si>
  <si>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</si>
  <si>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</si>
  <si>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</si>
  <si>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</si>
  <si>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</si>
  <si>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</si>
  <si>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</si>
  <si>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</si>
  <si>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</si>
  <si>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</si>
  <si>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</si>
  <si>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</si>
  <si>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</si>
  <si>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</si>
  <si>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</si>
  <si>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</si>
  <si>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</si>
  <si>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</si>
  <si>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</si>
  <si>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</si>
  <si>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</si>
  <si>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</si>
  <si>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</si>
  <si>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</si>
  <si>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</si>
  <si>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</si>
  <si>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</si>
  <si>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</si>
  <si>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</si>
  <si>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</si>
  <si>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</si>
  <si>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</si>
  <si>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</si>
  <si>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</si>
  <si>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</si>
  <si>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</si>
  <si>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</si>
  <si>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</si>
  <si>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</si>
  <si>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</si>
  <si>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</si>
  <si>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</si>
  <si>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</si>
  <si>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</si>
  <si>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</si>
  <si>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</si>
  <si>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</si>
  <si>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</si>
  <si>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</si>
  <si>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</si>
  <si>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</si>
  <si>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</si>
  <si>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</si>
  <si>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</si>
  <si>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</si>
  <si>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</si>
  <si>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</si>
  <si>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</si>
  <si>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</si>
  <si>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</si>
  <si>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</si>
  <si>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</si>
  <si>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</si>
  <si>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</si>
  <si>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</si>
  <si>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</si>
  <si>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</si>
  <si>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</si>
  <si>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</si>
  <si>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</si>
  <si>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</si>
  <si>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</si>
  <si>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</si>
  <si>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</si>
  <si>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</si>
  <si>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</si>
  <si>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</si>
  <si>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</si>
  <si>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</si>
  <si>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</si>
  <si>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</si>
  <si>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</si>
  <si>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</si>
  <si>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</si>
  <si>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</si>
  <si>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</si>
  <si>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</si>
  <si>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</si>
  <si>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</si>
  <si>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</si>
  <si>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</si>
  <si>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</si>
  <si>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</si>
  <si>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</si>
  <si>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</si>
  <si>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</si>
  <si>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</si>
  <si>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</si>
  <si>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</si>
  <si>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</si>
  <si>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</si>
  <si>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</si>
  <si>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</si>
  <si>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</si>
  <si>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</si>
  <si>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</si>
  <si>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</si>
  <si>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</si>
  <si>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</si>
  <si>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</si>
  <si>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</si>
  <si>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</si>
  <si>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</si>
  <si>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</si>
  <si>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</si>
  <si>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</si>
  <si>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</si>
  <si>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</si>
  <si>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</si>
  <si>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</si>
  <si>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</si>
  <si>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</si>
  <si>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</si>
  <si>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</si>
  <si>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</si>
  <si>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</si>
  <si>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</si>
  <si>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</si>
  <si>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</si>
  <si>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</si>
  <si>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</si>
  <si>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</si>
  <si>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</si>
  <si>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</si>
  <si>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</si>
  <si>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</si>
  <si>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</si>
  <si>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</si>
  <si>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</si>
  <si>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</si>
  <si>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</si>
  <si>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</si>
  <si>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</si>
  <si>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</si>
  <si>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</si>
  <si>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</si>
  <si>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</si>
  <si>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</si>
  <si>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</si>
  <si>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</si>
  <si>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</si>
  <si>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</si>
  <si>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</si>
  <si>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</si>
  <si>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</si>
  <si>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</si>
  <si>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</si>
  <si>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</si>
  <si>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</si>
  <si>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</si>
  <si>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</si>
  <si>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</si>
  <si>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</si>
  <si>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</si>
  <si>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</si>
  <si>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</si>
  <si>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</si>
  <si>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</si>
  <si>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</si>
  <si>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</si>
  <si>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</si>
  <si>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</si>
  <si>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</si>
  <si>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</si>
  <si>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</si>
  <si>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</si>
  <si>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</si>
  <si>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</si>
  <si>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</si>
  <si>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</si>
  <si>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</si>
  <si>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</si>
  <si>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</si>
  <si>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</si>
  <si>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</si>
  <si>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</si>
  <si>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</si>
  <si>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</si>
  <si>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</si>
  <si>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</si>
  <si>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</si>
  <si>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</si>
  <si>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</si>
  <si>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</si>
  <si>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</si>
  <si>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</si>
  <si>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</si>
  <si>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</si>
  <si>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</si>
  <si>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</si>
  <si>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</si>
  <si>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</si>
  <si>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</si>
  <si>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</si>
  <si>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</si>
  <si>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</si>
  <si>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</si>
  <si>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</si>
  <si>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</si>
  <si>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</si>
  <si>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</si>
  <si>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</si>
  <si>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</si>
  <si>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</si>
  <si>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</si>
  <si>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</si>
  <si>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</si>
  <si>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</si>
  <si>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</si>
  <si>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</si>
  <si>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</si>
  <si>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</si>
  <si>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</si>
  <si>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</si>
  <si>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</si>
  <si>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</si>
  <si>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</si>
  <si>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</si>
  <si>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</si>
  <si>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</si>
  <si>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</si>
  <si>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</si>
  <si>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</si>
  <si>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</si>
  <si>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</si>
  <si>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</si>
  <si>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</si>
  <si>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</si>
  <si>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</si>
  <si>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</si>
  <si>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</si>
  <si>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</si>
  <si>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</si>
  <si>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</si>
  <si>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</si>
  <si>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</si>
  <si>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</si>
  <si>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</si>
  <si>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</si>
  <si>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</si>
  <si>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</si>
  <si>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</si>
  <si>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</si>
  <si>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</si>
  <si>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</si>
  <si>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</si>
  <si>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</si>
  <si>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</si>
  <si>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</si>
  <si>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</si>
  <si>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</si>
  <si>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</si>
  <si>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</si>
  <si>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</si>
  <si>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</si>
  <si>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</si>
  <si>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</si>
  <si>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</si>
  <si>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</si>
  <si>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</si>
  <si>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</si>
  <si>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</si>
  <si>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</si>
  <si>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</si>
  <si>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</si>
  <si>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</si>
  <si>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</si>
  <si>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</si>
  <si>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</si>
  <si>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</si>
  <si>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</si>
  <si>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</si>
  <si>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</si>
  <si>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</si>
  <si>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</si>
  <si>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</si>
  <si>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</si>
  <si>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</si>
  <si>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</si>
  <si>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</si>
  <si>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</si>
  <si>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</si>
  <si>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</si>
  <si>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</si>
  <si>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</si>
  <si>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</si>
  <si>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</si>
  <si>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</si>
  <si>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</si>
  <si>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</si>
  <si>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</si>
  <si>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</si>
  <si>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</si>
  <si>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</si>
  <si>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</si>
  <si>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</si>
  <si>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</si>
  <si>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</si>
  <si>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</si>
  <si>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</si>
  <si>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</si>
  <si>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</si>
  <si>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</si>
  <si>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</si>
  <si>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</si>
  <si>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</si>
  <si>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</si>
  <si>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</si>
  <si>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</si>
  <si>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</si>
  <si>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</si>
  <si>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</si>
  <si>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B4:B5:2F:DF:4C:08</t>
  </si>
  <si>
    <t>ADITYA-TECH</t>
  </si>
  <si>
    <t>\\ADITYA-TECH\All Sharing\Ecom Setup\Devlop\ecomm statment\bank statement\ICICI - 01-7-2024 TO 30-9-2024.xlsx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</si>
  <si>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</si>
  <si>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</si>
  <si>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</si>
  <si>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</si>
  <si>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</si>
  <si>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</si>
  <si>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Axis(S) (2) : 121</t>
  </si>
  <si>
    <t>JISHA ENTERPRISE PRIVATE LIMITED</t>
  </si>
  <si>
    <t>24AAFCJ9230K1ZF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</si>
</sst>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name val="SansSerif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303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50" xfId="0" applyFont="1" applyFill="1" applyBorder="1" applyAlignment="1">
      <alignment wrapText="1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41" fillId="7" borderId="47" xfId="0" applyFont="1" applyFill="1" applyBorder="1" applyAlignment="1" applyProtection="1">
      <alignment horizontal="left"/>
      <protection locked="0"/>
    </xf>
    <xf numFmtId="0" fontId="41" fillId="7" borderId="49" xfId="0" applyFont="1" applyFill="1" applyBorder="1" applyAlignment="1" applyProtection="1">
      <alignment horizontal="left" vertical="top"/>
      <protection locked="0"/>
    </xf>
    <xf numFmtId="0" fontId="41" fillId="13" borderId="46" xfId="0" applyFont="1" applyFill="1" applyBorder="1" applyAlignment="1">
      <alignment wrapText="1"/>
    </xf>
    <xf numFmtId="0" fontId="41" fillId="13" borderId="48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4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checked="Checked" fmlaLink="M36" lockText="1" noThreeD="1"/>
</file>

<file path=xl/ctrlProps/ctrlProp29.xml><?xml version="1.0" encoding="utf-8"?>
<formControlPr xmlns="http://schemas.microsoft.com/office/spreadsheetml/2009/9/main" objectType="CheckBox" checked="Checked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216</v>
      </c>
      <c r="C4" s="99" t="s">
        <v>217</v>
      </c>
      <c r="D4" s="99"/>
      <c r="E4" s="99"/>
      <c r="F4" s="99"/>
      <c r="G4" s="99" t="s">
        <v>218</v>
      </c>
      <c r="H4" s="99"/>
      <c r="I4" s="99" t="s">
        <v>219</v>
      </c>
      <c r="J4" s="99" t="s">
        <v>220</v>
      </c>
      <c r="K4" s="140"/>
      <c r="L4" s="140" t="s">
        <v>221</v>
      </c>
      <c r="M4" s="140"/>
      <c r="N4" s="140" t="s">
        <v>222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300</v>
      </c>
      <c r="F4" s="210" t="s">
        <v>68</v>
      </c>
      <c r="G4" s="210"/>
      <c r="H4" s="210" t="s">
        <v>69</v>
      </c>
      <c r="I4" s="210"/>
      <c r="J4" s="210" t="s">
        <v>301</v>
      </c>
      <c r="K4" s="210" t="s">
        <v>302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  <row r="5" spans="1:130">
      <c r="DA5" s="281" t="s">
        <v>60</v>
      </c>
      <c r="DB5" s="282">
        <v>45504</v>
      </c>
      <c r="DC5" s="283" t="s">
        <v>425</v>
      </c>
      <c r="DD5" s="284">
        <v>0</v>
      </c>
      <c r="DE5" s="284" t="e">
        <v>#VALUE!</v>
      </c>
      <c r="DF5" s="284">
        <v>0</v>
      </c>
      <c r="DG5" s="285" t="s">
        <v>426</v>
      </c>
      <c r="DH5" s="286">
        <v>45504</v>
      </c>
      <c r="DI5" s="287" t="e">
        <v>#VALUE!</v>
      </c>
      <c r="DJ5" s="288" t="s">
        <v>427</v>
      </c>
      <c r="DK5" s="289">
        <v>1</v>
      </c>
    </row>
    <row r="6" spans="1:130">
      <c r="DA6" s="281" t="s">
        <v>60</v>
      </c>
      <c r="DB6" s="282">
        <v>45565</v>
      </c>
      <c r="DC6" s="283" t="s">
        <v>428</v>
      </c>
      <c r="DD6" s="284">
        <v>0</v>
      </c>
      <c r="DE6" s="284" t="e">
        <v>#VALUE!</v>
      </c>
      <c r="DF6" s="284">
        <v>0</v>
      </c>
      <c r="DG6" s="285" t="s">
        <v>429</v>
      </c>
      <c r="DH6" s="286">
        <v>45565</v>
      </c>
      <c r="DI6" s="287" t="e">
        <v>#VALUE!</v>
      </c>
      <c r="DJ6" s="288" t="s">
        <v>430</v>
      </c>
      <c r="DK6" s="289">
        <v>2</v>
      </c>
    </row>
  </sheetData>
  <sheetProtection algorithmName="SHA-512" hashValue="P6sA+JzIZz+zmuCsJHxBJvmB9SEtSA2za5TOTvqQgiJ+60yXtV+YUyX+s+9rQImY9MqU4L0/9M/+z59fuSXpPg==" saltValue="tvfnS4EfAtZCoDpuHdsB1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324</v>
      </c>
      <c r="C4" s="222" t="s">
        <v>18</v>
      </c>
      <c r="D4" s="222"/>
      <c r="E4" s="222" t="s">
        <v>25</v>
      </c>
      <c r="F4" s="222" t="s">
        <v>325</v>
      </c>
      <c r="G4" s="222" t="s">
        <v>28</v>
      </c>
      <c r="H4" s="222" t="s">
        <v>326</v>
      </c>
      <c r="I4" s="222"/>
      <c r="J4" s="222" t="s">
        <v>327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B5" sqref="B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213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303</v>
      </c>
      <c r="B4" s="213" t="s">
        <v>304</v>
      </c>
      <c r="C4" s="290" t="s">
        <v>305</v>
      </c>
      <c r="D4" s="290"/>
      <c r="E4" s="290"/>
      <c r="F4" s="213" t="s">
        <v>306</v>
      </c>
      <c r="G4" s="213" t="s">
        <v>307</v>
      </c>
      <c r="H4" s="213" t="s">
        <v>308</v>
      </c>
      <c r="I4" s="213" t="s">
        <v>309</v>
      </c>
      <c r="J4" s="214" t="s">
        <v>310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233</v>
      </c>
      <c r="V1" s="95" t="s">
        <v>233</v>
      </c>
      <c r="W1" s="95" t="s">
        <v>234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224</v>
      </c>
      <c r="B4" s="107" t="s">
        <v>225</v>
      </c>
      <c r="C4" s="107"/>
      <c r="D4" s="107" t="s">
        <v>226</v>
      </c>
      <c r="E4" s="107"/>
      <c r="F4" s="107" t="s">
        <v>227</v>
      </c>
      <c r="G4" s="107"/>
      <c r="H4" s="107"/>
      <c r="I4" s="107" t="s">
        <v>228</v>
      </c>
      <c r="J4" s="157" t="s">
        <v>229</v>
      </c>
      <c r="K4" s="104" t="s">
        <v>230</v>
      </c>
      <c r="L4" s="104" t="s">
        <v>231</v>
      </c>
      <c r="M4" s="105" t="s">
        <v>232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264</v>
      </c>
      <c r="B4" s="186" t="s">
        <v>265</v>
      </c>
      <c r="C4" s="186" t="s">
        <v>266</v>
      </c>
      <c r="D4" s="291" t="s">
        <v>267</v>
      </c>
      <c r="E4" s="292"/>
      <c r="F4" s="187" t="s">
        <v>268</v>
      </c>
      <c r="G4" s="187" t="s">
        <v>269</v>
      </c>
      <c r="H4" s="188" t="s">
        <v>270</v>
      </c>
      <c r="I4" s="188" t="s">
        <v>271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255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334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235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255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235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255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249</v>
      </c>
      <c r="B4" s="104" t="s">
        <v>250</v>
      </c>
      <c r="C4" s="104" t="s">
        <v>251</v>
      </c>
      <c r="D4" s="104" t="s">
        <v>252</v>
      </c>
      <c r="E4" s="104" t="s">
        <v>253</v>
      </c>
      <c r="F4" s="104" t="s">
        <v>254</v>
      </c>
      <c r="G4" s="105" t="s">
        <v>240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255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257</v>
      </c>
      <c r="B4" s="180" t="s">
        <v>258</v>
      </c>
      <c r="C4" s="181"/>
      <c r="D4" s="182" t="s">
        <v>259</v>
      </c>
      <c r="E4" s="183" t="s">
        <v>260</v>
      </c>
      <c r="F4" s="184" t="s">
        <v>261</v>
      </c>
      <c r="G4" s="184" t="s">
        <v>262</v>
      </c>
      <c r="H4" s="185" t="s">
        <v>263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241</v>
      </c>
      <c r="B4" s="175" t="s">
        <v>242</v>
      </c>
      <c r="C4" s="174" t="s">
        <v>243</v>
      </c>
      <c r="D4" s="174" t="s">
        <v>244</v>
      </c>
      <c r="E4" s="174" t="s">
        <v>245</v>
      </c>
      <c r="F4" s="175" t="s">
        <v>246</v>
      </c>
      <c r="G4" s="175" t="s">
        <v>247</v>
      </c>
      <c r="H4" s="175" t="s">
        <v>248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255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272</v>
      </c>
      <c r="B4" s="194" t="s">
        <v>273</v>
      </c>
      <c r="C4" s="190"/>
      <c r="D4" s="190" t="s">
        <v>274</v>
      </c>
      <c r="E4" s="190"/>
      <c r="F4" s="190" t="s">
        <v>275</v>
      </c>
      <c r="G4" s="190"/>
      <c r="H4" s="190" t="s">
        <v>276</v>
      </c>
      <c r="I4" s="190"/>
      <c r="J4" s="190" t="s">
        <v>277</v>
      </c>
      <c r="K4" s="190"/>
      <c r="L4" s="189" t="s">
        <v>278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280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279</v>
      </c>
      <c r="B4" s="196" t="s">
        <v>236</v>
      </c>
      <c r="C4" s="164" t="s">
        <v>238</v>
      </c>
      <c r="D4" s="164" t="s">
        <v>237</v>
      </c>
      <c r="E4" s="164" t="s">
        <v>239</v>
      </c>
      <c r="F4" s="197" t="s">
        <v>240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236</v>
      </c>
      <c r="B4" s="164" t="s">
        <v>237</v>
      </c>
      <c r="C4" s="165" t="s">
        <v>238</v>
      </c>
      <c r="D4" s="165" t="s">
        <v>239</v>
      </c>
      <c r="E4" s="166" t="s">
        <v>240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255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299</v>
      </c>
      <c r="B4" s="203" t="s">
        <v>293</v>
      </c>
      <c r="C4" s="293" t="s">
        <v>294</v>
      </c>
      <c r="D4" s="293"/>
      <c r="E4" s="294" t="s">
        <v>295</v>
      </c>
      <c r="F4" s="294"/>
      <c r="G4" s="204" t="s">
        <v>296</v>
      </c>
      <c r="H4" s="205" t="s">
        <v>297</v>
      </c>
      <c r="I4" s="206" t="s">
        <v>298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320</v>
      </c>
      <c r="D4" s="220" t="s">
        <v>321</v>
      </c>
      <c r="E4" s="220"/>
      <c r="F4" s="220" t="s">
        <v>322</v>
      </c>
      <c r="G4" s="220" t="s">
        <v>323</v>
      </c>
      <c r="H4" s="221" t="s">
        <v>248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312</v>
      </c>
      <c r="B4" s="216" t="s">
        <v>313</v>
      </c>
      <c r="C4" s="216" t="s">
        <v>314</v>
      </c>
      <c r="D4" s="216" t="s">
        <v>315</v>
      </c>
      <c r="E4" s="216" t="s">
        <v>316</v>
      </c>
      <c r="F4" s="217" t="s">
        <v>317</v>
      </c>
      <c r="G4" s="216" t="s">
        <v>318</v>
      </c>
      <c r="H4" s="218" t="s">
        <v>319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213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287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281</v>
      </c>
      <c r="B4" s="199" t="s">
        <v>282</v>
      </c>
      <c r="C4" s="199" t="s">
        <v>283</v>
      </c>
      <c r="D4" s="199" t="s">
        <v>284</v>
      </c>
      <c r="E4" s="199" t="s">
        <v>285</v>
      </c>
      <c r="F4" s="199" t="s">
        <v>286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412</v>
      </c>
      <c r="B4" s="258" t="s">
        <v>242</v>
      </c>
      <c r="C4" s="259" t="s">
        <v>320</v>
      </c>
      <c r="D4" s="260"/>
      <c r="E4" s="259" t="s">
        <v>413</v>
      </c>
      <c r="F4" s="260"/>
      <c r="G4" s="258" t="s">
        <v>246</v>
      </c>
      <c r="H4" s="258" t="s">
        <v>247</v>
      </c>
      <c r="I4" s="259" t="s">
        <v>248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424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8xPi+AKt25eckNe6/cGAmuRpa66pbQiWOdHP+ER40mh4S8merZ2SMHXo0TZfWoyayWCt6rOOxl4xc0QGXNF0yg==" saltValue="KKcnxjaddGcE6Fq7WAVFN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213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332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sheetProtection algorithmName="SHA-512" hashValue="W2RBqBGonmn0t01h7bswwm+ZnaDcp6NQPU7t+B1dwXFYiF1rBhTkg7y0NbFrutSEv4gDiSCysjQ7rQc/4tYQng==" saltValue="czqtMIQt7YJKcnR22lLr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212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416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95" t="s">
        <v>117</v>
      </c>
      <c r="C4" s="295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288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290</v>
      </c>
      <c r="C4" s="296" t="s">
        <v>125</v>
      </c>
      <c r="D4" s="297"/>
      <c r="E4" s="200" t="s">
        <v>291</v>
      </c>
      <c r="F4" s="200" t="s">
        <v>292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98" t="s">
        <v>53</v>
      </c>
      <c r="I4" s="298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9" t="s">
        <v>53</v>
      </c>
      <c r="I4" s="299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328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329</v>
      </c>
      <c r="J4" s="232" t="s">
        <v>330</v>
      </c>
      <c r="K4" s="232"/>
      <c r="L4" s="232"/>
      <c r="M4" s="232" t="s">
        <v>11</v>
      </c>
      <c r="N4" s="232"/>
      <c r="O4" s="232"/>
      <c r="P4" s="234" t="s">
        <v>331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300" t="s">
        <v>147</v>
      </c>
      <c r="D4" s="300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211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340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342</v>
      </c>
      <c r="B3" s="59"/>
      <c r="C3" s="58"/>
      <c r="D3" s="58" t="s">
        <v>341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336</v>
      </c>
      <c r="C4" s="104" t="s">
        <v>33</v>
      </c>
      <c r="D4" s="104" t="s">
        <v>337</v>
      </c>
      <c r="E4" s="104" t="s">
        <v>338</v>
      </c>
      <c r="F4" s="104" t="s">
        <v>339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419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5" t="s">
        <v>418</v>
      </c>
      <c r="B3" s="59"/>
      <c r="C3" s="58"/>
      <c r="D3" s="58" t="s">
        <v>421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6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topLeftCell="A40" workbookViewId="0">
      <selection activeCell="H64" sqref="H64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01" t="s">
        <v>411</v>
      </c>
      <c r="O1" s="302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399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397</v>
      </c>
      <c r="M7" s="6" t="b">
        <v>1</v>
      </c>
      <c r="N7" s="249" t="s">
        <v>400</v>
      </c>
      <c r="O7" s="250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398</v>
      </c>
      <c r="M8" s="6" t="b">
        <v>1</v>
      </c>
      <c r="N8" s="249" t="s">
        <v>401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343</v>
      </c>
      <c r="M9" s="6" t="b">
        <v>1</v>
      </c>
      <c r="N9" s="249" t="s">
        <v>402</v>
      </c>
      <c r="O9" s="251" t="s">
        <v>422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344</v>
      </c>
      <c r="M10" s="6" t="b">
        <v>1</v>
      </c>
      <c r="N10" s="249" t="s">
        <v>403</v>
      </c>
      <c r="O10" s="250" t="s">
        <v>423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345</v>
      </c>
      <c r="M11" s="6" t="b">
        <v>1</v>
      </c>
      <c r="N11" s="249" t="s">
        <v>404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346</v>
      </c>
      <c r="M12" s="6" t="b">
        <v>0</v>
      </c>
      <c r="N12" s="249" t="s">
        <v>405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347</v>
      </c>
      <c r="M13" s="6" t="b">
        <v>0</v>
      </c>
      <c r="N13" s="249" t="s">
        <v>407</v>
      </c>
      <c r="O13" s="251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348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349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350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351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352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353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354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356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357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358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360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361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363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359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414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364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365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367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368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369</v>
      </c>
      <c r="M36" s="6" t="b">
        <v>1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370</v>
      </c>
      <c r="M37" s="6" t="b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371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372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373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374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375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376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377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378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379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380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381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382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383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384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385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386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387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388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389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390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391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392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393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394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395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396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408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418</v>
      </c>
      <c r="L65" s="6" t="s">
        <v>420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66"/>
      <c r="F67" s="267"/>
      <c r="G67" s="268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A6" sqref="A6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79" t="s">
        <v>415</v>
      </c>
      <c r="D3" s="277"/>
      <c r="E3" s="264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80" t="str">
        <f>+IF(ISBLANK(D4),"","GST No. :")</f>
        <v/>
      </c>
      <c r="D4" s="278"/>
      <c r="E4" s="265"/>
      <c r="F4" s="263" t="s">
        <v>431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69" t="s">
        <v>5</v>
      </c>
      <c r="B5" s="270" t="s">
        <v>7</v>
      </c>
      <c r="C5" s="271" t="s">
        <v>8</v>
      </c>
      <c r="D5" s="272" t="s">
        <v>9</v>
      </c>
      <c r="E5" s="272" t="s">
        <v>10</v>
      </c>
      <c r="F5" s="273" t="s">
        <v>11</v>
      </c>
      <c r="G5" s="270" t="s">
        <v>12</v>
      </c>
      <c r="H5" s="270" t="s">
        <v>13</v>
      </c>
      <c r="I5" s="270" t="s">
        <v>14</v>
      </c>
      <c r="J5" s="270" t="s">
        <v>15</v>
      </c>
      <c r="K5" s="274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cgyz7K8Mmq0CDdyWsvXKk94mvundoqq9b6G0y0RySNAGgH5TmGYZ06xXQmHkQ0OSPjVpEzo/29UiyKa97Ehn/A==" saltValue="7V5Fp0nv0WNDPNRkyzEoK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432</v>
      </c>
    </row>
    <row r="4" spans="1:15">
      <c r="O4" t="s">
        <v>433</v>
      </c>
    </row>
    <row r="6" spans="1:15">
      <c r="A6" s="243" t="s">
        <v>399</v>
      </c>
      <c r="B6" s="244">
        <v>29505</v>
      </c>
    </row>
    <row r="7" spans="1:15">
      <c r="A7" s="243" t="s">
        <v>400</v>
      </c>
      <c r="B7" s="244" t="s">
        <v>409</v>
      </c>
    </row>
    <row r="8" spans="1:15">
      <c r="A8" s="243" t="s">
        <v>401</v>
      </c>
      <c r="B8" s="244">
        <v>9173555942</v>
      </c>
    </row>
    <row r="9" spans="1:15">
      <c r="A9" s="243" t="s">
        <v>402</v>
      </c>
      <c r="B9" s="244" t="s">
        <v>422</v>
      </c>
    </row>
    <row r="10" spans="1:15">
      <c r="A10" s="243" t="s">
        <v>403</v>
      </c>
      <c r="B10" s="244" t="s">
        <v>423</v>
      </c>
    </row>
    <row r="11" spans="1:15">
      <c r="A11" s="243" t="s">
        <v>404</v>
      </c>
      <c r="B11" s="245">
        <v>45573</v>
      </c>
    </row>
    <row r="12" spans="1:15">
      <c r="A12" s="243" t="s">
        <v>405</v>
      </c>
      <c r="B12" s="245">
        <v>45809</v>
      </c>
    </row>
    <row r="13" spans="1:15">
      <c r="A13" s="243" t="s">
        <v>406</v>
      </c>
      <c r="B13" s="245" t="s">
        <v>410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2025-01-24T13:26:38Z</dcterms:modified>
</cp:coreProperties>
</file>