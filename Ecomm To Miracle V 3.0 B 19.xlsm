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3DC86A19-EF78-41D2-8175-E8CC28EAA018}" xr6:coauthVersionLast="47" xr6:coauthVersionMax="47" xr10:uidLastSave="{00000000-0000-0000-0000-000000000000}"/>
  <bookViews>
    <workbookView xWindow="-28920" yWindow="-120" windowWidth="29040" windowHeight="15840" tabRatio="798" activeTab="20" xr2:uid="{00000000-000D-0000-FFFF-FFFF00000000}"/>
  </bookViews>
  <sheets>
    <sheet name="MSH" sheetId="3" r:id="rId1"/>
    <sheet name="AMZ" sheetId="35" r:id="rId2"/>
    <sheet name="AMZ (2)" sheetId="10" r:id="rId3"/>
    <sheet name="FLC" sheetId="9" r:id="rId4"/>
    <sheet name="FLC (C)" sheetId="22" r:id="rId5"/>
    <sheet name="SND" sheetId="11" r:id="rId6"/>
    <sheet name="JIO" sheetId="17" r:id="rId7"/>
    <sheet name="JIO (2)" sheetId="19" r:id="rId8"/>
    <sheet name="GLR" sheetId="12" r:id="rId9"/>
    <sheet name="MYR" sheetId="20" state="hidden" r:id="rId10"/>
    <sheet name="MYR (2)" sheetId="24" state="hidden" r:id="rId11"/>
    <sheet name="NPTL" sheetId="26" r:id="rId12"/>
    <sheet name="MRW" sheetId="14" state="hidden" r:id="rId13"/>
    <sheet name="S101" sheetId="15" state="hidden" r:id="rId14"/>
    <sheet name="S101 (2)" sheetId="23" state="hidden" r:id="rId15"/>
    <sheet name="S101 (3)" sheetId="32" r:id="rId16"/>
    <sheet name="VMT" sheetId="25" state="hidden" r:id="rId17"/>
    <sheet name="UNI" sheetId="34" r:id="rId18"/>
    <sheet name="AMZ TR" sheetId="33" state="hidden" r:id="rId19"/>
    <sheet name="GSTR2B" sheetId="28" r:id="rId20"/>
    <sheet name="Help" sheetId="1" r:id="rId21"/>
    <sheet name="MasterMonth" sheetId="16" r:id="rId22"/>
    <sheet name="Registration" sheetId="31" state="hidden" r:id="rId23"/>
  </sheets>
  <functionGroups builtInGroupCount="19"/>
  <definedNames>
    <definedName name="_xlnm._FilterDatabase" localSheetId="1" hidden="1">AMZ!$A$4:$DZ$4</definedName>
    <definedName name="_xlnm._FilterDatabase" localSheetId="2" hidden="1">'AMZ (2)'!$A$4:$DZ$4</definedName>
    <definedName name="_xlnm._FilterDatabase" localSheetId="18" hidden="1">'AMZ TR'!$A$4:$DX$4</definedName>
    <definedName name="_xlnm._FilterDatabase" localSheetId="3" hidden="1">FLC!#REF!</definedName>
    <definedName name="_xlnm._FilterDatabase" localSheetId="4" hidden="1">'FLC (C)'!#REF!</definedName>
    <definedName name="_xlnm._FilterDatabase" localSheetId="19" hidden="1">GSTR2B!$A$4:$DZ$4</definedName>
    <definedName name="_xlnm._FilterDatabase" localSheetId="20" hidden="1">Help!$C$1:$C$7</definedName>
    <definedName name="_xlnm._FilterDatabase" localSheetId="6" hidden="1">JIO!$A$4:$DT$4</definedName>
    <definedName name="_xlnm._FilterDatabase" localSheetId="7" hidden="1">'JIO (2)'!$A$4:$DT$4</definedName>
    <definedName name="_xlnm._FilterDatabase" localSheetId="21" hidden="1">MasterMonth!$A$4:$P$4</definedName>
    <definedName name="_xlnm._FilterDatabase" localSheetId="0" hidden="1">MSH!$A$4:$DQ$4</definedName>
    <definedName name="_xlnm._FilterDatabase" localSheetId="11" hidden="1">NPTL!$A$4:$DZ$4</definedName>
    <definedName name="_xlnm._FilterDatabase" localSheetId="13" hidden="1">'S101'!$A$4:$DZ$4</definedName>
    <definedName name="_xlnm._FilterDatabase" localSheetId="14" hidden="1">'S101 (2)'!$A$4:$DZ$4</definedName>
    <definedName name="_xlnm._FilterDatabase" localSheetId="15" hidden="1">'S101 (3)'!$A$4:$DZ$4</definedName>
    <definedName name="_xlnm._FilterDatabase" localSheetId="5" hidden="1">SND!$DA$4:$DM$4</definedName>
    <definedName name="_xlnm._FilterDatabase" localSheetId="17" hidden="1">UNI!$A$4:$DT$4</definedName>
    <definedName name="_xlnm._FilterDatabase" localSheetId="16" hidden="1">VMT!$A$4:$DZ$4</definedName>
    <definedName name="_xlnm.Extract" localSheetId="21">MasterMonth!#REF!</definedName>
    <definedName name="MyRange">OFFSET(FLC!#REF!,0,0,COUNTA(FLC!$DJ:$DJ),7)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16" l="1"/>
  <c r="AD3" i="16"/>
  <c r="AC3" i="16"/>
  <c r="AB3" i="16"/>
  <c r="AA3" i="16"/>
  <c r="Z3" i="16"/>
  <c r="Y3" i="16"/>
  <c r="X3" i="16"/>
  <c r="W3" i="16" s="1"/>
  <c r="AH3" i="16" s="1"/>
  <c r="V3" i="16"/>
  <c r="U3" i="16"/>
  <c r="T3" i="16"/>
  <c r="S3" i="16"/>
  <c r="R3" i="16"/>
  <c r="E2" i="19"/>
  <c r="N3" i="16"/>
  <c r="DA3" i="32"/>
  <c r="DB3" i="32"/>
  <c r="DA3" i="17"/>
  <c r="DB3" i="35"/>
  <c r="DB3" i="17"/>
  <c r="E2" i="17"/>
  <c r="DA3" i="35"/>
  <c r="DE3" i="35"/>
  <c r="DE3" i="10"/>
  <c r="DA3" i="10"/>
  <c r="DM3" i="35"/>
  <c r="DL3" i="35"/>
  <c r="DK3" i="35"/>
  <c r="DJ3" i="35"/>
  <c r="DI3" i="35"/>
  <c r="DH3" i="35"/>
  <c r="DG3" i="35"/>
  <c r="DF3" i="35"/>
  <c r="DC3" i="35"/>
  <c r="AF3" i="16" l="1"/>
  <c r="I2" i="35"/>
  <c r="DA4" i="35"/>
  <c r="O2" i="35"/>
  <c r="DD3" i="35" s="1"/>
  <c r="F2" i="35"/>
  <c r="E2" i="35"/>
  <c r="N2" i="35" l="1"/>
  <c r="DB4" i="35"/>
  <c r="G2" i="35"/>
  <c r="H2" i="35" s="1"/>
  <c r="J2" i="35" s="1"/>
  <c r="J1" i="35" s="1"/>
  <c r="DM3" i="17"/>
  <c r="DL3" i="17"/>
  <c r="DK3" i="17"/>
  <c r="DJ3" i="17"/>
  <c r="DI3" i="17"/>
  <c r="DH3" i="17"/>
  <c r="DG3" i="17"/>
  <c r="DE3" i="17"/>
  <c r="H2" i="33"/>
  <c r="DS3" i="33"/>
  <c r="DM3" i="10"/>
  <c r="DL3" i="10"/>
  <c r="DJ3" i="10"/>
  <c r="DF3" i="10"/>
  <c r="DP3" i="10" s="1"/>
  <c r="DG3" i="10" s="1"/>
  <c r="E2" i="33"/>
  <c r="E2" i="26"/>
  <c r="DA3" i="26"/>
  <c r="DE3" i="26"/>
  <c r="DO3" i="35" l="1"/>
  <c r="AH1" i="35" s="1"/>
  <c r="DN3" i="35"/>
  <c r="I2" i="33"/>
  <c r="K2" i="33"/>
  <c r="DH3" i="10"/>
  <c r="DC3" i="10"/>
  <c r="E2" i="14"/>
  <c r="DA3" i="14"/>
  <c r="E2" i="3"/>
  <c r="E2" i="10"/>
  <c r="E2" i="22"/>
  <c r="E2" i="9"/>
  <c r="DA3" i="22"/>
  <c r="DA3" i="9"/>
  <c r="DA3" i="3"/>
  <c r="DA2" i="3"/>
  <c r="DJ3" i="3"/>
  <c r="AP1" i="1"/>
  <c r="DP3" i="33" l="1"/>
  <c r="DQ3" i="33" s="1"/>
  <c r="DM3" i="33"/>
  <c r="DK3" i="33"/>
  <c r="DJ3" i="33"/>
  <c r="DF3" i="33"/>
  <c r="DU3" i="33"/>
  <c r="DT3" i="33" s="1"/>
  <c r="DD3" i="33"/>
  <c r="DC3" i="33" s="1"/>
  <c r="DA3" i="33"/>
  <c r="DR3" i="33"/>
  <c r="G2" i="33" s="1"/>
  <c r="DE3" i="33"/>
  <c r="O2" i="16"/>
  <c r="P2" i="16"/>
  <c r="DA3" i="34"/>
  <c r="DH3" i="34"/>
  <c r="DB3" i="34"/>
  <c r="F2" i="34"/>
  <c r="DI3" i="34"/>
  <c r="DC3" i="34"/>
  <c r="DL3" i="34"/>
  <c r="DK3" i="34"/>
  <c r="DJ3" i="34" a="1"/>
  <c r="DJ3" i="34" s="1"/>
  <c r="DF3" i="34"/>
  <c r="DG3" i="34"/>
  <c r="DE3" i="34"/>
  <c r="O2" i="34"/>
  <c r="E2" i="34"/>
  <c r="DL3" i="3"/>
  <c r="O2" i="33"/>
  <c r="AH1" i="33"/>
  <c r="DK3" i="19"/>
  <c r="DL3" i="19"/>
  <c r="DH3" i="19"/>
  <c r="DM3" i="28"/>
  <c r="DQ3" i="28"/>
  <c r="DJ3" i="28"/>
  <c r="E2" i="28"/>
  <c r="DF3" i="32"/>
  <c r="DM3" i="32"/>
  <c r="DL3" i="32"/>
  <c r="DK3" i="32"/>
  <c r="DJ3" i="32"/>
  <c r="DI3" i="32"/>
  <c r="DH3" i="32"/>
  <c r="DG3" i="32"/>
  <c r="DE3" i="32"/>
  <c r="DN3" i="32" s="1"/>
  <c r="DG4" i="32"/>
  <c r="DB4" i="32"/>
  <c r="DA4" i="32"/>
  <c r="E2" i="32"/>
  <c r="GQ1" i="32"/>
  <c r="GN1" i="32"/>
  <c r="GM1" i="32"/>
  <c r="GK1" i="32"/>
  <c r="GJ1" i="32"/>
  <c r="GI1" i="32"/>
  <c r="GH1" i="32"/>
  <c r="GC1" i="32"/>
  <c r="GB1" i="32"/>
  <c r="GR1" i="32" s="1"/>
  <c r="F2" i="33" l="1"/>
  <c r="J2" i="33" s="1"/>
  <c r="L2" i="33" s="1"/>
  <c r="DD3" i="34"/>
  <c r="DN3" i="34" s="1"/>
  <c r="I2" i="34"/>
  <c r="G2" i="34"/>
  <c r="H2" i="34" s="1"/>
  <c r="G2" i="32"/>
  <c r="DH3" i="33"/>
  <c r="DL3" i="33"/>
  <c r="N2" i="33"/>
  <c r="DD3" i="32"/>
  <c r="I2" i="32"/>
  <c r="K2" i="32"/>
  <c r="GV1" i="32"/>
  <c r="GS1" i="32"/>
  <c r="GA1" i="32"/>
  <c r="GG1" i="32" s="1"/>
  <c r="GF1" i="32" s="1"/>
  <c r="F2" i="32"/>
  <c r="H2" i="32" s="1"/>
  <c r="N2" i="32"/>
  <c r="GE1" i="32"/>
  <c r="I2" i="3"/>
  <c r="N2" i="34" l="1"/>
  <c r="DO3" i="34"/>
  <c r="AH1" i="34" s="1"/>
  <c r="J2" i="34"/>
  <c r="J1" i="34" s="1"/>
  <c r="L1" i="33"/>
  <c r="J2" i="32"/>
  <c r="J1" i="32" s="1"/>
  <c r="BB1" i="1" l="1"/>
  <c r="BA1" i="1"/>
  <c r="AZ1" i="1"/>
  <c r="AY1" i="1"/>
  <c r="AX1" i="1"/>
  <c r="AW1" i="1"/>
  <c r="AV1" i="1"/>
  <c r="AU1" i="1"/>
  <c r="AR1" i="1"/>
  <c r="AQ1" i="1"/>
  <c r="AO1" i="1"/>
  <c r="AS1" i="1" l="1"/>
  <c r="AT1" i="1"/>
  <c r="BE1" i="1" s="1"/>
  <c r="BC1" i="1"/>
  <c r="DR3" i="28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O4" i="16"/>
  <c r="O3" i="16"/>
  <c r="I3" i="16"/>
  <c r="E3" i="16"/>
  <c r="P3" i="16" s="1"/>
  <c r="S2" i="16"/>
  <c r="Q2" i="16"/>
  <c r="DL3" i="28"/>
  <c r="DK3" i="28"/>
  <c r="DI3" i="28"/>
  <c r="DF3" i="28"/>
  <c r="DD3" i="28"/>
  <c r="DC3" i="28"/>
  <c r="DA3" i="28"/>
  <c r="O2" i="28"/>
  <c r="AH1" i="28"/>
  <c r="DM3" i="25"/>
  <c r="DL3" i="25"/>
  <c r="I2" i="25" s="1"/>
  <c r="DK3" i="25"/>
  <c r="DJ3" i="25"/>
  <c r="DI3" i="25"/>
  <c r="DH3" i="25"/>
  <c r="DG3" i="25"/>
  <c r="DE3" i="25"/>
  <c r="DB2" i="25"/>
  <c r="DB3" i="25" s="1"/>
  <c r="DB4" i="25" s="1"/>
  <c r="DA2" i="25"/>
  <c r="DA3" i="25" s="1"/>
  <c r="DA4" i="25" s="1"/>
  <c r="O2" i="25"/>
  <c r="E2" i="25"/>
  <c r="DG4" i="23"/>
  <c r="DM3" i="23"/>
  <c r="DL3" i="23"/>
  <c r="I2" i="23" s="1"/>
  <c r="DK3" i="23"/>
  <c r="DJ3" i="23"/>
  <c r="DI3" i="23"/>
  <c r="DH3" i="23"/>
  <c r="DG3" i="23"/>
  <c r="DE3" i="23"/>
  <c r="DN3" i="23" s="1"/>
  <c r="DB2" i="23"/>
  <c r="DB3" i="23" s="1"/>
  <c r="DB4" i="23" s="1"/>
  <c r="DA2" i="23"/>
  <c r="DA3" i="23" s="1"/>
  <c r="DA4" i="23" s="1"/>
  <c r="E2" i="23"/>
  <c r="GN1" i="23"/>
  <c r="GM1" i="23"/>
  <c r="GQ1" i="23" s="1"/>
  <c r="GK1" i="23"/>
  <c r="GJ1" i="23"/>
  <c r="GI1" i="23"/>
  <c r="GH1" i="23"/>
  <c r="GC1" i="23"/>
  <c r="GB1" i="23"/>
  <c r="DG4" i="15"/>
  <c r="DM3" i="15"/>
  <c r="DL3" i="15" s="1"/>
  <c r="DJ3" i="15"/>
  <c r="DI3" i="15"/>
  <c r="DG3" i="15"/>
  <c r="DF3" i="15"/>
  <c r="DE3" i="15"/>
  <c r="DN3" i="15" s="1"/>
  <c r="DC3" i="15"/>
  <c r="DH3" i="15"/>
  <c r="DB2" i="15"/>
  <c r="DB3" i="15" s="1"/>
  <c r="DB4" i="15" s="1"/>
  <c r="DA2" i="15"/>
  <c r="DA3" i="15" s="1"/>
  <c r="DA4" i="15" s="1"/>
  <c r="GN1" i="15"/>
  <c r="GM1" i="15"/>
  <c r="GQ1" i="15" s="1"/>
  <c r="GK1" i="15"/>
  <c r="GJ1" i="15"/>
  <c r="GI1" i="15"/>
  <c r="GH1" i="15"/>
  <c r="GC1" i="15"/>
  <c r="GB1" i="15"/>
  <c r="DG4" i="14"/>
  <c r="DB2" i="14"/>
  <c r="DB3" i="14" s="1"/>
  <c r="DB4" i="14" s="1"/>
  <c r="DC3" i="14"/>
  <c r="DM3" i="26"/>
  <c r="DL3" i="26"/>
  <c r="G2" i="26" s="1"/>
  <c r="DK3" i="26"/>
  <c r="DJ3" i="26"/>
  <c r="DI3" i="26"/>
  <c r="DH3" i="26"/>
  <c r="DG3" i="26"/>
  <c r="DB3" i="26"/>
  <c r="O2" i="26"/>
  <c r="F2" i="26"/>
  <c r="DG4" i="12"/>
  <c r="DE4" i="12"/>
  <c r="DM3" i="12"/>
  <c r="DL3" i="12"/>
  <c r="F2" i="12" s="1"/>
  <c r="DJ3" i="12"/>
  <c r="DI3" i="12"/>
  <c r="DH3" i="12"/>
  <c r="DG3" i="12"/>
  <c r="DF3" i="12"/>
  <c r="DE3" i="12"/>
  <c r="DN3" i="12" s="1"/>
  <c r="DO3" i="12" s="1"/>
  <c r="DC3" i="12"/>
  <c r="DB2" i="12"/>
  <c r="DB3" i="12" s="1"/>
  <c r="DB4" i="12" s="1"/>
  <c r="DA2" i="12"/>
  <c r="DA3" i="12" s="1"/>
  <c r="DA4" i="12" s="1"/>
  <c r="E2" i="12"/>
  <c r="DG4" i="24"/>
  <c r="DM3" i="24"/>
  <c r="DL3" i="24"/>
  <c r="G2" i="24" s="1"/>
  <c r="DK3" i="24"/>
  <c r="DJ3" i="24"/>
  <c r="DD3" i="24" s="1"/>
  <c r="DH3" i="24"/>
  <c r="DG3" i="24"/>
  <c r="DE3" i="24"/>
  <c r="DO3" i="24" s="1"/>
  <c r="DB2" i="24"/>
  <c r="DB3" i="24" s="1"/>
  <c r="DB4" i="24" s="1"/>
  <c r="DA2" i="24"/>
  <c r="DA3" i="24" s="1"/>
  <c r="DA4" i="24" s="1"/>
  <c r="F2" i="24"/>
  <c r="H2" i="24" s="1"/>
  <c r="E2" i="24"/>
  <c r="DG4" i="20"/>
  <c r="DL3" i="20"/>
  <c r="DM3" i="20" s="1"/>
  <c r="DK3" i="20"/>
  <c r="DJ3" i="20"/>
  <c r="DI3" i="20"/>
  <c r="DH3" i="20"/>
  <c r="DG3" i="20"/>
  <c r="DE3" i="20"/>
  <c r="DN3" i="20" s="1"/>
  <c r="DB2" i="20"/>
  <c r="DB3" i="20" s="1"/>
  <c r="DB4" i="20" s="1"/>
  <c r="DA2" i="20"/>
  <c r="DA3" i="20" s="1"/>
  <c r="DA4" i="20" s="1"/>
  <c r="E2" i="20"/>
  <c r="F2" i="19"/>
  <c r="DJ3" i="19"/>
  <c r="DG3" i="19"/>
  <c r="DF3" i="19"/>
  <c r="DE3" i="19"/>
  <c r="DB2" i="19"/>
  <c r="DB3" i="19" s="1"/>
  <c r="DB4" i="19" s="1"/>
  <c r="DA2" i="19"/>
  <c r="DA3" i="19" s="1"/>
  <c r="DA4" i="19" s="1"/>
  <c r="O2" i="19"/>
  <c r="I2" i="17"/>
  <c r="DB4" i="17"/>
  <c r="DA4" i="17"/>
  <c r="O2" i="17"/>
  <c r="DL3" i="11"/>
  <c r="F2" i="11" s="1"/>
  <c r="DJ3" i="11"/>
  <c r="DI3" i="11"/>
  <c r="DH3" i="11"/>
  <c r="DE3" i="11"/>
  <c r="DN3" i="11" s="1"/>
  <c r="DB2" i="11"/>
  <c r="DB3" i="11" s="1"/>
  <c r="DB4" i="11" s="1"/>
  <c r="E2" i="11"/>
  <c r="DM3" i="22"/>
  <c r="DL3" i="22"/>
  <c r="G2" i="22" s="1"/>
  <c r="DJ3" i="22"/>
  <c r="DH3" i="22"/>
  <c r="DG3" i="22"/>
  <c r="DE3" i="22"/>
  <c r="DB3" i="22"/>
  <c r="DM3" i="9"/>
  <c r="DL3" i="9"/>
  <c r="G2" i="9" s="1"/>
  <c r="DK3" i="9"/>
  <c r="DJ3" i="9"/>
  <c r="DI3" i="9"/>
  <c r="DP3" i="9" s="1"/>
  <c r="DH3" i="9"/>
  <c r="DG3" i="9"/>
  <c r="DE3" i="9"/>
  <c r="DB3" i="9"/>
  <c r="DB2" i="9"/>
  <c r="DA2" i="9"/>
  <c r="O2" i="9"/>
  <c r="DK3" i="10"/>
  <c r="DI3" i="10"/>
  <c r="DB2" i="10"/>
  <c r="DB3" i="10" s="1"/>
  <c r="DB4" i="10" s="1"/>
  <c r="DA2" i="10"/>
  <c r="DA4" i="10" s="1"/>
  <c r="O2" i="10"/>
  <c r="DD3" i="10" s="1"/>
  <c r="G2" i="3"/>
  <c r="DK3" i="3"/>
  <c r="DI3" i="3"/>
  <c r="DH3" i="3"/>
  <c r="DE3" i="3"/>
  <c r="DC3" i="3"/>
  <c r="DB2" i="3"/>
  <c r="DI3" i="22"/>
  <c r="DD3" i="9" l="1"/>
  <c r="DO3" i="9" s="1"/>
  <c r="DO3" i="3"/>
  <c r="DD3" i="23"/>
  <c r="F2" i="25"/>
  <c r="G2" i="25"/>
  <c r="Y2" i="16"/>
  <c r="Z2" i="16" s="1"/>
  <c r="I2" i="9"/>
  <c r="I2" i="26"/>
  <c r="GE1" i="15"/>
  <c r="G2" i="28"/>
  <c r="I2" i="10"/>
  <c r="G2" i="10"/>
  <c r="N2" i="23"/>
  <c r="DD3" i="20"/>
  <c r="N2" i="20" s="1"/>
  <c r="F2" i="17"/>
  <c r="DD3" i="3"/>
  <c r="N2" i="3" s="1"/>
  <c r="G2" i="17"/>
  <c r="DD3" i="11"/>
  <c r="N2" i="11" s="1"/>
  <c r="G2" i="12"/>
  <c r="G2" i="19"/>
  <c r="H2" i="19" s="1"/>
  <c r="J2" i="19" s="1"/>
  <c r="J1" i="19" s="1"/>
  <c r="I2" i="12"/>
  <c r="GV1" i="23"/>
  <c r="G2" i="11"/>
  <c r="H2" i="11" s="1"/>
  <c r="J2" i="11" s="1"/>
  <c r="J1" i="11" s="1"/>
  <c r="I2" i="15"/>
  <c r="G2" i="15"/>
  <c r="DD3" i="12"/>
  <c r="N2" i="12" s="1"/>
  <c r="DD3" i="26"/>
  <c r="N2" i="26" s="1"/>
  <c r="GV1" i="15"/>
  <c r="DD3" i="25"/>
  <c r="DO3" i="25" s="1"/>
  <c r="AH1" i="25" s="1"/>
  <c r="H2" i="12"/>
  <c r="J2" i="12" s="1"/>
  <c r="J1" i="12" s="1"/>
  <c r="I2" i="22"/>
  <c r="H2" i="25"/>
  <c r="N2" i="16"/>
  <c r="DA2" i="14"/>
  <c r="DA4" i="14" s="1"/>
  <c r="N2" i="24"/>
  <c r="DN3" i="24"/>
  <c r="F2" i="23"/>
  <c r="R2" i="16"/>
  <c r="T2" i="16" s="1"/>
  <c r="F2" i="3"/>
  <c r="H2" i="3" s="1"/>
  <c r="J2" i="3" s="1"/>
  <c r="J1" i="3" s="1"/>
  <c r="F2" i="10"/>
  <c r="DA2" i="11"/>
  <c r="DA3" i="11" s="1"/>
  <c r="DA4" i="11" s="1"/>
  <c r="J2" i="24"/>
  <c r="J1" i="24" s="1"/>
  <c r="H2" i="26"/>
  <c r="DD3" i="15"/>
  <c r="N2" i="15" s="1"/>
  <c r="G2" i="23"/>
  <c r="DD3" i="17"/>
  <c r="F2" i="9"/>
  <c r="H2" i="9" s="1"/>
  <c r="J2" i="9" s="1"/>
  <c r="J1" i="9" s="1"/>
  <c r="DD3" i="19"/>
  <c r="DN3" i="19" s="1"/>
  <c r="F2" i="15"/>
  <c r="DK3" i="15"/>
  <c r="GS1" i="23"/>
  <c r="GE1" i="23"/>
  <c r="DO3" i="11"/>
  <c r="I2" i="20"/>
  <c r="DM3" i="3"/>
  <c r="F2" i="22"/>
  <c r="H2" i="22" s="1"/>
  <c r="J2" i="22" s="1"/>
  <c r="J1" i="22" s="1"/>
  <c r="DG3" i="11"/>
  <c r="F2" i="20"/>
  <c r="I2" i="11"/>
  <c r="DM3" i="11"/>
  <c r="I2" i="19"/>
  <c r="DM3" i="19"/>
  <c r="G2" i="20"/>
  <c r="I2" i="24"/>
  <c r="GS1" i="15"/>
  <c r="J2" i="25"/>
  <c r="J1" i="25" s="1"/>
  <c r="DL3" i="14"/>
  <c r="DH3" i="14"/>
  <c r="DK3" i="14"/>
  <c r="DG3" i="14"/>
  <c r="DJ3" i="14"/>
  <c r="DF3" i="14"/>
  <c r="DM3" i="14"/>
  <c r="DI3" i="14"/>
  <c r="DE3" i="14"/>
  <c r="DO3" i="14" s="1"/>
  <c r="DB3" i="3"/>
  <c r="DG3" i="3"/>
  <c r="GA1" i="15"/>
  <c r="GG1" i="15" s="1"/>
  <c r="GF1" i="15" s="1"/>
  <c r="E2" i="15"/>
  <c r="GA1" i="23"/>
  <c r="GG1" i="23" s="1"/>
  <c r="GF1" i="23" s="1"/>
  <c r="GR1" i="15"/>
  <c r="GR1" i="23"/>
  <c r="DH3" i="28"/>
  <c r="F2" i="28"/>
  <c r="H2" i="28"/>
  <c r="I2" i="28"/>
  <c r="K2" i="28"/>
  <c r="N2" i="28"/>
  <c r="DD3" i="22"/>
  <c r="N2" i="17" l="1"/>
  <c r="DO3" i="17"/>
  <c r="N2" i="9"/>
  <c r="DN3" i="9"/>
  <c r="DN3" i="10"/>
  <c r="DO3" i="10"/>
  <c r="AH1" i="10" s="1"/>
  <c r="DN3" i="3"/>
  <c r="H2" i="15"/>
  <c r="N2" i="10"/>
  <c r="DN3" i="25"/>
  <c r="N2" i="25"/>
  <c r="H2" i="10"/>
  <c r="H2" i="17"/>
  <c r="J2" i="17" s="1"/>
  <c r="J1" i="17" s="1"/>
  <c r="AH1" i="17"/>
  <c r="N2" i="19"/>
  <c r="DN3" i="26"/>
  <c r="J2" i="26"/>
  <c r="J1" i="26" s="1"/>
  <c r="DO3" i="26"/>
  <c r="AH1" i="26" s="1"/>
  <c r="V2" i="16"/>
  <c r="X2" i="16" s="1"/>
  <c r="DO3" i="19"/>
  <c r="AH1" i="19" s="1"/>
  <c r="DN3" i="17"/>
  <c r="J2" i="15"/>
  <c r="J1" i="15" s="1"/>
  <c r="H2" i="23"/>
  <c r="J2" i="23" s="1"/>
  <c r="J1" i="23" s="1"/>
  <c r="H2" i="20"/>
  <c r="J2" i="20" s="1"/>
  <c r="J1" i="20" s="1"/>
  <c r="DN3" i="14"/>
  <c r="DD3" i="14"/>
  <c r="N2" i="14" s="1"/>
  <c r="F2" i="14"/>
  <c r="I2" i="14"/>
  <c r="G2" i="14"/>
  <c r="DN3" i="22"/>
  <c r="N2" i="22"/>
  <c r="DO3" i="22"/>
  <c r="J2" i="16" l="1"/>
  <c r="AH1" i="9"/>
  <c r="D3" i="16"/>
  <c r="J2" i="10"/>
  <c r="J1" i="10" s="1"/>
  <c r="H2" i="14"/>
  <c r="J2" i="28"/>
  <c r="L2" i="28" s="1"/>
  <c r="L1" i="28" s="1"/>
  <c r="K2" i="16" l="1"/>
  <c r="K1" i="16" s="1"/>
  <c r="J2" i="14"/>
  <c r="J1" i="1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<sst xmlns="http://schemas.openxmlformats.org/spreadsheetml/2006/main" count="2271" uniqueCount="914">
  <si>
    <t>Code</t>
  </si>
  <si>
    <t>State</t>
  </si>
  <si>
    <t>Maharashtra</t>
  </si>
  <si>
    <t>Andhra Pradesh</t>
  </si>
  <si>
    <t>AD</t>
  </si>
  <si>
    <t>Gujarat</t>
  </si>
  <si>
    <t>Arunachal Pradesh</t>
  </si>
  <si>
    <t>AR</t>
  </si>
  <si>
    <t>Jharkhand</t>
  </si>
  <si>
    <t>Assam</t>
  </si>
  <si>
    <t>AS</t>
  </si>
  <si>
    <t>Kerala</t>
  </si>
  <si>
    <t>Bihar</t>
  </si>
  <si>
    <t>BR</t>
  </si>
  <si>
    <t>Karnataka</t>
  </si>
  <si>
    <t>Delhi</t>
  </si>
  <si>
    <t>DL</t>
  </si>
  <si>
    <t>Madhya Pradesh</t>
  </si>
  <si>
    <t>Goa</t>
  </si>
  <si>
    <t>GA</t>
  </si>
  <si>
    <t>Rajasthan</t>
  </si>
  <si>
    <t>GJ</t>
  </si>
  <si>
    <t>ODISHA</t>
  </si>
  <si>
    <t>Haryana</t>
  </si>
  <si>
    <t>HR</t>
  </si>
  <si>
    <t>Uttar Pradesh</t>
  </si>
  <si>
    <t>Himachal Pradesh</t>
  </si>
  <si>
    <t>HP</t>
  </si>
  <si>
    <t>Tamil Nadu</t>
  </si>
  <si>
    <t>Jammu and Kashmir</t>
  </si>
  <si>
    <t>JK</t>
  </si>
  <si>
    <t>Telangana</t>
  </si>
  <si>
    <t>JH</t>
  </si>
  <si>
    <t>Punjab</t>
  </si>
  <si>
    <t>KA</t>
  </si>
  <si>
    <t>KL</t>
  </si>
  <si>
    <t>Puducherry</t>
  </si>
  <si>
    <t>West Bengal</t>
  </si>
  <si>
    <t>MP</t>
  </si>
  <si>
    <t>Manipur</t>
  </si>
  <si>
    <t>MH</t>
  </si>
  <si>
    <t>MN</t>
  </si>
  <si>
    <t>Meghalaya</t>
  </si>
  <si>
    <t>ML</t>
  </si>
  <si>
    <t>Mizoram</t>
  </si>
  <si>
    <t>MZ</t>
  </si>
  <si>
    <t>Chhattisgarh</t>
  </si>
  <si>
    <t>Nagaland</t>
  </si>
  <si>
    <t>NL</t>
  </si>
  <si>
    <t>Uttarakhand</t>
  </si>
  <si>
    <t>Odisha</t>
  </si>
  <si>
    <t>Pondicherry</t>
  </si>
  <si>
    <t>PY</t>
  </si>
  <si>
    <t>Tripura</t>
  </si>
  <si>
    <t>GST %</t>
  </si>
  <si>
    <t>HSN Code</t>
  </si>
  <si>
    <t>PB</t>
  </si>
  <si>
    <t>RJ</t>
  </si>
  <si>
    <t>Jammu And Kashmir</t>
  </si>
  <si>
    <t>Sikkim</t>
  </si>
  <si>
    <t>SK</t>
  </si>
  <si>
    <t>TN</t>
  </si>
  <si>
    <t>Dadra and Nagar Haveli</t>
  </si>
  <si>
    <t>Andaman and Nicobar Islands</t>
  </si>
  <si>
    <t>UP</t>
  </si>
  <si>
    <t>WB</t>
  </si>
  <si>
    <t>Chandigarh</t>
  </si>
  <si>
    <t>Tamilnadu</t>
  </si>
  <si>
    <t>AP</t>
  </si>
  <si>
    <t>JAMMU</t>
  </si>
  <si>
    <t>daman</t>
  </si>
  <si>
    <t>Our State</t>
  </si>
  <si>
    <t>Party Name</t>
  </si>
  <si>
    <t>Customer Name</t>
  </si>
  <si>
    <t>Party GST No.</t>
  </si>
  <si>
    <t>Bill Date</t>
  </si>
  <si>
    <t>Bill No</t>
  </si>
  <si>
    <t>HSN / Prodcut Name</t>
  </si>
  <si>
    <t>QTY</t>
  </si>
  <si>
    <t xml:space="preserve">Amount </t>
  </si>
  <si>
    <t>TCS</t>
  </si>
  <si>
    <t>Add</t>
  </si>
  <si>
    <t>W State</t>
  </si>
  <si>
    <t>Meesho</t>
  </si>
  <si>
    <t>Flipcart</t>
  </si>
  <si>
    <t/>
  </si>
  <si>
    <t>Amazon</t>
  </si>
  <si>
    <t xml:space="preserve">Sales Entry </t>
  </si>
  <si>
    <t>Sales Return</t>
  </si>
  <si>
    <t>Dadra &amp; Nagar Haveli &amp; Daman &amp; Diu</t>
  </si>
  <si>
    <t>Total Entry</t>
  </si>
  <si>
    <t>CTRL+SHIFT+C</t>
  </si>
  <si>
    <t>JAMMU   KASHMIR</t>
  </si>
  <si>
    <t>New Delhi</t>
  </si>
  <si>
    <t>ANDAMAN   NICOBAR ISLANDS</t>
  </si>
  <si>
    <t>CTRL+SHIFT+D</t>
  </si>
  <si>
    <t>Entry For Import</t>
  </si>
  <si>
    <t xml:space="preserve">Import Sales Entry </t>
  </si>
  <si>
    <t>Import Sales Ret</t>
  </si>
  <si>
    <t>Total Entry Import</t>
  </si>
  <si>
    <t>Net Sales Amt.</t>
  </si>
  <si>
    <t>OK</t>
  </si>
  <si>
    <t>Shop101</t>
  </si>
  <si>
    <t>Month Entry</t>
  </si>
  <si>
    <t xml:space="preserve">Wrong State </t>
  </si>
  <si>
    <t>TCS Amt</t>
  </si>
  <si>
    <t>Amount</t>
  </si>
  <si>
    <t>Reduce Entry</t>
  </si>
  <si>
    <t>LADAKH</t>
  </si>
  <si>
    <t>DADRA AND NAGAR HAVELI AND DAMAN AND DIU</t>
  </si>
  <si>
    <t>Ladakh</t>
  </si>
  <si>
    <t>month</t>
  </si>
  <si>
    <t>order_date</t>
  </si>
  <si>
    <t>identifier</t>
  </si>
  <si>
    <t>order_num</t>
  </si>
  <si>
    <t>sub_order_num</t>
  </si>
  <si>
    <t>quantity</t>
  </si>
  <si>
    <t>order_status</t>
  </si>
  <si>
    <t>manifesttime</t>
  </si>
  <si>
    <t>sup_name</t>
  </si>
  <si>
    <t>state</t>
  </si>
  <si>
    <t>pin</t>
  </si>
  <si>
    <t>reseller_state</t>
  </si>
  <si>
    <t>reseller_pin</t>
  </si>
  <si>
    <t>end_customer_state</t>
  </si>
  <si>
    <t>end_customer_pin</t>
  </si>
  <si>
    <t>gstin</t>
  </si>
  <si>
    <t>hsn_code</t>
  </si>
  <si>
    <t>gst_amount</t>
  </si>
  <si>
    <t>gst_rate</t>
  </si>
  <si>
    <t>meesho_price</t>
  </si>
  <si>
    <t>net_commission</t>
  </si>
  <si>
    <t>commission_gst</t>
  </si>
  <si>
    <t>adj</t>
  </si>
  <si>
    <t>shipping_charges_total</t>
  </si>
  <si>
    <t>gst</t>
  </si>
  <si>
    <t>taxable_shipping</t>
  </si>
  <si>
    <t>shipping_gst_18_percent</t>
  </si>
  <si>
    <t>meesho_price_plus_shipping_charges_total</t>
  </si>
  <si>
    <t>tcs_taxable_amount</t>
  </si>
  <si>
    <t>end_customer_state_new</t>
  </si>
  <si>
    <t>financial_year</t>
  </si>
  <si>
    <t>month_number</t>
  </si>
  <si>
    <t>supplier_id</t>
  </si>
  <si>
    <t>Sheet No.</t>
  </si>
  <si>
    <t>DADRA   NAGAR HAVELI</t>
  </si>
  <si>
    <t>CHANDIGARH</t>
  </si>
  <si>
    <t>AN</t>
  </si>
  <si>
    <t>CT</t>
  </si>
  <si>
    <t>Telengana</t>
  </si>
  <si>
    <t>LA</t>
  </si>
  <si>
    <t>DAMAN   DIU</t>
  </si>
  <si>
    <t>Andhrapradesh</t>
  </si>
  <si>
    <t>Seller Gstin</t>
  </si>
  <si>
    <t>Invoice Number</t>
  </si>
  <si>
    <t>Invoice Date</t>
  </si>
  <si>
    <t>Transaction Type</t>
  </si>
  <si>
    <t>Order Id</t>
  </si>
  <si>
    <t>Shipment Id</t>
  </si>
  <si>
    <t>Shipment Date</t>
  </si>
  <si>
    <t>Order Date</t>
  </si>
  <si>
    <t>Shipment Item Id</t>
  </si>
  <si>
    <t>Quantity</t>
  </si>
  <si>
    <t>Item Description</t>
  </si>
  <si>
    <t>Asin</t>
  </si>
  <si>
    <t>Hsn/sac</t>
  </si>
  <si>
    <t>Sku</t>
  </si>
  <si>
    <t>Product Tax Code</t>
  </si>
  <si>
    <t>Bill From City</t>
  </si>
  <si>
    <t>Bill From State</t>
  </si>
  <si>
    <t>Bill From Country</t>
  </si>
  <si>
    <t>Bill From Postal Code</t>
  </si>
  <si>
    <t>Ship From City</t>
  </si>
  <si>
    <t>Ship From State</t>
  </si>
  <si>
    <t>Ship From Country</t>
  </si>
  <si>
    <t>Ship From Postal Code</t>
  </si>
  <si>
    <t>Ship To City</t>
  </si>
  <si>
    <t>Ship To State</t>
  </si>
  <si>
    <t>Ship To Country</t>
  </si>
  <si>
    <t>Ship To Postal Code</t>
  </si>
  <si>
    <t>Invoice Amount</t>
  </si>
  <si>
    <t>Tax Exclusive Gross</t>
  </si>
  <si>
    <t>Total Tax Amount</t>
  </si>
  <si>
    <t>Cgst Rate</t>
  </si>
  <si>
    <t>Sgst Rate</t>
  </si>
  <si>
    <t>Utgst Rate</t>
  </si>
  <si>
    <t>Igst Rate</t>
  </si>
  <si>
    <t>Compensatory Cess Rate</t>
  </si>
  <si>
    <t>Principal Amount</t>
  </si>
  <si>
    <t>Principal Amount Basis</t>
  </si>
  <si>
    <t>Cgst Tax</t>
  </si>
  <si>
    <t>Sgst Tax</t>
  </si>
  <si>
    <t>Utgst Tax</t>
  </si>
  <si>
    <t>Igst Tax</t>
  </si>
  <si>
    <t>Compensatory Cess Tax</t>
  </si>
  <si>
    <t>Shipping Amount</t>
  </si>
  <si>
    <t>Shipping Amount Basis</t>
  </si>
  <si>
    <t>Shipping Cgst Tax</t>
  </si>
  <si>
    <t>Shipping Sgst Tax</t>
  </si>
  <si>
    <t>Shipping Utgst Tax</t>
  </si>
  <si>
    <t>Shipping Igst Tax</t>
  </si>
  <si>
    <t>Gift Wrap Amount</t>
  </si>
  <si>
    <t>Gift Wrap Amount Basis</t>
  </si>
  <si>
    <t>Gift Wrap Cgst Tax</t>
  </si>
  <si>
    <t>Gift Wrap Sgst Tax</t>
  </si>
  <si>
    <t>Gift Wrap Utgst Tax</t>
  </si>
  <si>
    <t>Gift Wrap Igst Tax</t>
  </si>
  <si>
    <t>Gift Wrap Compensatory Cess Tax</t>
  </si>
  <si>
    <t>Item Promo Discount</t>
  </si>
  <si>
    <t>Item Promo Discount Basis</t>
  </si>
  <si>
    <t>Shipping Promo Discount</t>
  </si>
  <si>
    <t>Shipping Promo Discount Basis</t>
  </si>
  <si>
    <t>Gift Wrap Promo Discount</t>
  </si>
  <si>
    <t>Gift Wrap Promo Discount Basis</t>
  </si>
  <si>
    <t>Tcs Cgst Rate</t>
  </si>
  <si>
    <t>Tcs Cgst Amount</t>
  </si>
  <si>
    <t>Tcs Sgst Rate</t>
  </si>
  <si>
    <t>Tcs Sgst Amount</t>
  </si>
  <si>
    <t>Tcs Utgst Rate</t>
  </si>
  <si>
    <t>Tcs Utgst Amount</t>
  </si>
  <si>
    <t>Tcs Igst Rate</t>
  </si>
  <si>
    <t>Tcs Igst Amount</t>
  </si>
  <si>
    <t>Warehouse Id</t>
  </si>
  <si>
    <t>Fulfillment Channel</t>
  </si>
  <si>
    <t>Payment Method Code</t>
  </si>
  <si>
    <t>Bill To City</t>
  </si>
  <si>
    <t>Bill To State</t>
  </si>
  <si>
    <t>Bill To Country</t>
  </si>
  <si>
    <t>Bill To Postalcode</t>
  </si>
  <si>
    <t>Customer Bill To Gstid</t>
  </si>
  <si>
    <t>Buyer Name</t>
  </si>
  <si>
    <t>Credit Note No</t>
  </si>
  <si>
    <t>Credit Note Date</t>
  </si>
  <si>
    <t>Irn Number</t>
  </si>
  <si>
    <t>Irn Filing Status</t>
  </si>
  <si>
    <t>Irn Date</t>
  </si>
  <si>
    <t>Irn Error Code</t>
  </si>
  <si>
    <t>Product Type</t>
  </si>
  <si>
    <t>HSN</t>
  </si>
  <si>
    <t>HSN+% / Product</t>
  </si>
  <si>
    <t>SnepDeal</t>
  </si>
  <si>
    <t>Jio</t>
  </si>
  <si>
    <t>GR</t>
  </si>
  <si>
    <t>Comman Product Name</t>
  </si>
  <si>
    <t>Alis</t>
  </si>
  <si>
    <t>Wrong</t>
  </si>
  <si>
    <t>Problaim Value</t>
  </si>
  <si>
    <t>Error</t>
  </si>
  <si>
    <t>Seller GSTIN</t>
  </si>
  <si>
    <t>Order ID</t>
  </si>
  <si>
    <t>Order Item ID</t>
  </si>
  <si>
    <t>Product Title/Description</t>
  </si>
  <si>
    <t>FSN</t>
  </si>
  <si>
    <t>SKU</t>
  </si>
  <si>
    <t>Event Type</t>
  </si>
  <si>
    <t>Event Sub Type</t>
  </si>
  <si>
    <t>Order Type</t>
  </si>
  <si>
    <t>Fulfilment Type</t>
  </si>
  <si>
    <t xml:space="preserve">Order Approval Date </t>
  </si>
  <si>
    <t>Item Quantity</t>
  </si>
  <si>
    <t>Order Shipped From (State)</t>
  </si>
  <si>
    <t>Price before discount</t>
  </si>
  <si>
    <t>Total Discount</t>
  </si>
  <si>
    <t xml:space="preserve">Seller Share </t>
  </si>
  <si>
    <t>Bank Offer Share</t>
  </si>
  <si>
    <t>Price after discount (Price before discount-Total discount)</t>
  </si>
  <si>
    <t>Shipping Charges</t>
  </si>
  <si>
    <t>Final Invoice Amount (Price after discount+Shipping Charges)</t>
  </si>
  <si>
    <t>Type of tax</t>
  </si>
  <si>
    <t>Taxable Value (Final Invoice Amount -Taxes)</t>
  </si>
  <si>
    <t>CST Amount</t>
  </si>
  <si>
    <t>VAT Rate</t>
  </si>
  <si>
    <t>VAT Amount</t>
  </si>
  <si>
    <t>Luxury Cess Rate</t>
  </si>
  <si>
    <t>Luxury Cess Amount</t>
  </si>
  <si>
    <t>IGST Rate</t>
  </si>
  <si>
    <t>IGST Amount</t>
  </si>
  <si>
    <t>CGST Rate</t>
  </si>
  <si>
    <t>CGST Amount</t>
  </si>
  <si>
    <t>SGST Rate (or UTGST as applicable)</t>
  </si>
  <si>
    <t>SGST Amount (Or UTGST as applicable)</t>
  </si>
  <si>
    <t>TCS IGST Rate</t>
  </si>
  <si>
    <t>TCS IGST Amount</t>
  </si>
  <si>
    <t>TCS CGST Rate</t>
  </si>
  <si>
    <t>TCS CGST Amount</t>
  </si>
  <si>
    <t>TCS SGST Rate</t>
  </si>
  <si>
    <t>TCS SGST Amount</t>
  </si>
  <si>
    <t>Total TCS Deducted</t>
  </si>
  <si>
    <t>Buyer Invoice ID</t>
  </si>
  <si>
    <t>Buyer Invoice Date</t>
  </si>
  <si>
    <t xml:space="preserve">Buyer Invoice Amount </t>
  </si>
  <si>
    <t>Customer's Billing Pincode</t>
  </si>
  <si>
    <t>Customer's Billing State</t>
  </si>
  <si>
    <t>Customer's Delivery Pincode</t>
  </si>
  <si>
    <t>Customer's Delivery State</t>
  </si>
  <si>
    <t>Usual Price</t>
  </si>
  <si>
    <t>Is Shopsy Order?</t>
  </si>
  <si>
    <t>CST Rate</t>
  </si>
  <si>
    <t>HSN+%</t>
  </si>
  <si>
    <t>Final Invoice Amount</t>
  </si>
  <si>
    <t>Type</t>
  </si>
  <si>
    <t>Shipment Number</t>
  </si>
  <si>
    <t>FSN / Product ID</t>
  </si>
  <si>
    <t>Order Status</t>
  </si>
  <si>
    <t xml:space="preserve">Inv. Type </t>
  </si>
  <si>
    <t>Product Name</t>
  </si>
  <si>
    <t>Right State</t>
  </si>
  <si>
    <t>TG</t>
  </si>
  <si>
    <t>UT</t>
  </si>
  <si>
    <t>CH</t>
  </si>
  <si>
    <t>Uttar Pradesd</t>
  </si>
  <si>
    <t>westbengal</t>
  </si>
  <si>
    <t xml:space="preserve">U  P </t>
  </si>
  <si>
    <t>Maharahstra</t>
  </si>
  <si>
    <t>Telanganga</t>
  </si>
  <si>
    <t>Madhya Prades</t>
  </si>
  <si>
    <t>Telangana india</t>
  </si>
  <si>
    <t>Andra Pradesh</t>
  </si>
  <si>
    <t>Rate</t>
  </si>
  <si>
    <t>Month</t>
  </si>
  <si>
    <r>
      <t xml:space="preserve">Note : </t>
    </r>
    <r>
      <rPr>
        <sz val="11"/>
        <color theme="1"/>
        <rFont val="Calibri"/>
        <family val="2"/>
        <scheme val="minor"/>
      </rPr>
      <t xml:space="preserve">Problaim Value માં wrong Value લખેલ નો હોય તો Check </t>
    </r>
    <r>
      <rPr>
        <b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Coloum</t>
    </r>
  </si>
  <si>
    <t>CG</t>
  </si>
  <si>
    <t>Lakshadweep Islands</t>
  </si>
  <si>
    <t>LD</t>
  </si>
  <si>
    <t>OD</t>
  </si>
  <si>
    <t>TS</t>
  </si>
  <si>
    <t>TR</t>
  </si>
  <si>
    <t>UK</t>
  </si>
  <si>
    <t>DD</t>
  </si>
  <si>
    <t xml:space="preserve">Kerala </t>
  </si>
  <si>
    <t>M.P.</t>
  </si>
  <si>
    <t xml:space="preserve">M. P. </t>
  </si>
  <si>
    <t>ORRISA</t>
  </si>
  <si>
    <t>ORRISHA</t>
  </si>
  <si>
    <t>U.P.</t>
  </si>
  <si>
    <t>U. P.</t>
  </si>
  <si>
    <t>TM</t>
  </si>
  <si>
    <t>A.P.</t>
  </si>
  <si>
    <t xml:space="preserve">A. P. </t>
  </si>
  <si>
    <t>PODECHERRY</t>
  </si>
  <si>
    <t>Chattisgarh</t>
  </si>
  <si>
    <t>Jammu &amp; Kashmir</t>
  </si>
  <si>
    <t>dadra</t>
  </si>
  <si>
    <t>diu</t>
  </si>
  <si>
    <t>div</t>
  </si>
  <si>
    <t>Daman &amp; Diu</t>
  </si>
  <si>
    <t>ANDAMAN</t>
  </si>
  <si>
    <t>Andaman &amp; Nicobar</t>
  </si>
  <si>
    <t>Uttar Prdesh</t>
  </si>
  <si>
    <t>Kerela</t>
  </si>
  <si>
    <t xml:space="preserve">Maharashtra </t>
  </si>
  <si>
    <t>U P.</t>
  </si>
  <si>
    <t>Andaman Nicobar Islands</t>
  </si>
  <si>
    <t>Andaman And Nicobar</t>
  </si>
  <si>
    <t>THE DADRA AND NAGAR HAVELI AND DAMAN AND DIU</t>
  </si>
  <si>
    <t>Karnatak</t>
  </si>
  <si>
    <t>Dombivali  E  Thane  Maharashtra</t>
  </si>
  <si>
    <t xml:space="preserve">ANDRA PRADESH   </t>
  </si>
  <si>
    <t>Uttarpradesh</t>
  </si>
  <si>
    <t>Visakhapatnam Andhra Pradesh</t>
  </si>
  <si>
    <t>Hariyana</t>
  </si>
  <si>
    <t>Maharastra</t>
  </si>
  <si>
    <t>Mahatashtra a</t>
  </si>
  <si>
    <t>TDS Rate</t>
  </si>
  <si>
    <t>TDS Amount</t>
  </si>
  <si>
    <t>Fulfillment Type</t>
  </si>
  <si>
    <t>Jio Sallers</t>
  </si>
  <si>
    <t>Cust Order No</t>
  </si>
  <si>
    <t>Cust Order Date</t>
  </si>
  <si>
    <t>FWD PO NO</t>
  </si>
  <si>
    <t>FWD PO Date</t>
  </si>
  <si>
    <t>Seller Invoice No</t>
  </si>
  <si>
    <t>Seller Invoice Date</t>
  </si>
  <si>
    <t>Cust Invoice No</t>
  </si>
  <si>
    <t>Cust Invoice Date</t>
  </si>
  <si>
    <t>JioCode</t>
  </si>
  <si>
    <t>Seller Style Code</t>
  </si>
  <si>
    <t>Seller SKU</t>
  </si>
  <si>
    <t>EAN</t>
  </si>
  <si>
    <t>Invoice Value</t>
  </si>
  <si>
    <t>CGST PERCENTAGE</t>
  </si>
  <si>
    <t>CGST AMOUNT</t>
  </si>
  <si>
    <t>SGST PERCENTAGE</t>
  </si>
  <si>
    <t>SGST AMOUNT</t>
  </si>
  <si>
    <t>IGST PERCENTAGE</t>
  </si>
  <si>
    <t>IGST AMOUNT</t>
  </si>
  <si>
    <t>Total Value</t>
  </si>
  <si>
    <t>Base Price</t>
  </si>
  <si>
    <t>Shipped QTY</t>
  </si>
  <si>
    <t>Total Price</t>
  </si>
  <si>
    <t>SELLER ID</t>
  </si>
  <si>
    <t>POB ID</t>
  </si>
  <si>
    <t>Seller Name</t>
  </si>
  <si>
    <t>GST filing month</t>
  </si>
  <si>
    <t>FILING TYPE</t>
  </si>
  <si>
    <t>Order invoice Date</t>
  </si>
  <si>
    <t>Order Invoice Id</t>
  </si>
  <si>
    <t>Invoice date (Credit note, Retuned/RTO/Cancelled orders)</t>
  </si>
  <si>
    <t>Invoice Id (Credit note, Retuned/RTO/Cancelled orders)</t>
  </si>
  <si>
    <t>Status for TCS filing</t>
  </si>
  <si>
    <t>Fulfillment Status</t>
  </si>
  <si>
    <t>Pruduct SKU</t>
  </si>
  <si>
    <t>L3</t>
  </si>
  <si>
    <t>Product name</t>
  </si>
  <si>
    <t>Supplier Name</t>
  </si>
  <si>
    <t>Seller Pin code</t>
  </si>
  <si>
    <t>Seller State</t>
  </si>
  <si>
    <t>Buyer Pincode</t>
  </si>
  <si>
    <t>Buyer city</t>
  </si>
  <si>
    <t>Buyer state</t>
  </si>
  <si>
    <t>Product HSN code</t>
  </si>
  <si>
    <t xml:space="preserve">Base amount for GST </t>
  </si>
  <si>
    <t>CGST</t>
  </si>
  <si>
    <t>SGST</t>
  </si>
  <si>
    <t>UTGST</t>
  </si>
  <si>
    <t>IGST</t>
  </si>
  <si>
    <t>Customer invoice value (GMV)</t>
  </si>
  <si>
    <t>Andaman &amp; Nicobar Islands</t>
  </si>
  <si>
    <t>Month Bill No.</t>
  </si>
  <si>
    <t>Myntra</t>
  </si>
  <si>
    <t>Date</t>
  </si>
  <si>
    <t>Sale Order Number</t>
  </si>
  <si>
    <t>Invoice number</t>
  </si>
  <si>
    <t>Channel entry</t>
  </si>
  <si>
    <t>Channel Ledger</t>
  </si>
  <si>
    <t>Product SKU Code</t>
  </si>
  <si>
    <t>Qty</t>
  </si>
  <si>
    <t>Unit Price</t>
  </si>
  <si>
    <t>Currency</t>
  </si>
  <si>
    <t>conversion rate</t>
  </si>
  <si>
    <t>Total</t>
  </si>
  <si>
    <t>Shipping Address Name</t>
  </si>
  <si>
    <t>Shipping Address Line 1</t>
  </si>
  <si>
    <t>Shipping Address Line 2</t>
  </si>
  <si>
    <t>Shipping Address City</t>
  </si>
  <si>
    <t>Shipping Address State</t>
  </si>
  <si>
    <t>Shipping Address Country</t>
  </si>
  <si>
    <t>Shipping Address Pincode</t>
  </si>
  <si>
    <t>Shipping Address Phone</t>
  </si>
  <si>
    <t>Shipping Provider</t>
  </si>
  <si>
    <t>AWB num</t>
  </si>
  <si>
    <t>Sales</t>
  </si>
  <si>
    <t>Sales Ledger</t>
  </si>
  <si>
    <t>SGST Rate</t>
  </si>
  <si>
    <t>UTGST Rate</t>
  </si>
  <si>
    <t>CESS</t>
  </si>
  <si>
    <t>CESS Rate</t>
  </si>
  <si>
    <t>Other charges</t>
  </si>
  <si>
    <t>Other charges Ledger</t>
  </si>
  <si>
    <t>Other charges1</t>
  </si>
  <si>
    <t>Other charges Ledger1</t>
  </si>
  <si>
    <t>Service tax</t>
  </si>
  <si>
    <t>ST Ledger</t>
  </si>
  <si>
    <t>Discount Ledger</t>
  </si>
  <si>
    <t>Discount Amount</t>
  </si>
  <si>
    <t>IMEI</t>
  </si>
  <si>
    <t>Godown</t>
  </si>
  <si>
    <t>Dispatch Date/Cancellation Date</t>
  </si>
  <si>
    <t>Narration</t>
  </si>
  <si>
    <t>Entity</t>
  </si>
  <si>
    <t xml:space="preserve">Voucher Type Name </t>
  </si>
  <si>
    <t>TIN NO</t>
  </si>
  <si>
    <t xml:space="preserve">Original Invoice Date </t>
  </si>
  <si>
    <t>Original Sale No</t>
  </si>
  <si>
    <t>Channel Invoice Created</t>
  </si>
  <si>
    <t>Channel State</t>
  </si>
  <si>
    <t>Customer GSTIN</t>
  </si>
  <si>
    <t>Channel_Party GSTIN</t>
  </si>
  <si>
    <t>Billing Party Code</t>
  </si>
  <si>
    <t>Tax Verification</t>
  </si>
  <si>
    <t>GST Registration Type</t>
  </si>
  <si>
    <t>TCS Amount</t>
  </si>
  <si>
    <t>Adjustment In Selling Price</t>
  </si>
  <si>
    <t>Adjustment In Discount</t>
  </si>
  <si>
    <t>Other charges Ledger2</t>
  </si>
  <si>
    <t>Other charges2</t>
  </si>
  <si>
    <t>Store Credit</t>
  </si>
  <si>
    <t>Prepaid Amount</t>
  </si>
  <si>
    <t>Tax On Other Charges</t>
  </si>
  <si>
    <t>Tax On Other Charges1</t>
  </si>
  <si>
    <t>Tax On Other Charges2</t>
  </si>
  <si>
    <t>IRN</t>
  </si>
  <si>
    <t>Acknowledgement Number</t>
  </si>
  <si>
    <t>Payment Method</t>
  </si>
  <si>
    <t>Billing Address Line 1</t>
  </si>
  <si>
    <t>Billing Address Line 2</t>
  </si>
  <si>
    <t>ISBN</t>
  </si>
  <si>
    <t>Bundle SKU Code Number</t>
  </si>
  <si>
    <t>s mastersheet</t>
  </si>
  <si>
    <t>Original Invoice ID</t>
  </si>
  <si>
    <t>TDS 194O Rate</t>
  </si>
  <si>
    <t>TDS 194O Amount</t>
  </si>
  <si>
    <t>cdn</t>
  </si>
  <si>
    <t>Net Sales Ret Amt.</t>
  </si>
  <si>
    <t>+++++++++</t>
  </si>
  <si>
    <t>HSN Code Req.</t>
  </si>
  <si>
    <t>StateHSN CODE</t>
  </si>
  <si>
    <t>Suborder Id</t>
  </si>
  <si>
    <t>Order status</t>
  </si>
  <si>
    <t>Payment Mode</t>
  </si>
  <si>
    <t>HSN Number</t>
  </si>
  <si>
    <t>Product Quantity</t>
  </si>
  <si>
    <t>Cancellation Reason</t>
  </si>
  <si>
    <t>Cancelled By</t>
  </si>
  <si>
    <t>Reseller Name</t>
  </si>
  <si>
    <t>Reseller State</t>
  </si>
  <si>
    <t>Reseller City</t>
  </si>
  <si>
    <t>Reseller Pincode</t>
  </si>
  <si>
    <t>Reseller GSTIN</t>
  </si>
  <si>
    <t>Wholesale price (Listed Price including Product GST)</t>
  </si>
  <si>
    <t>Shipping Charge</t>
  </si>
  <si>
    <t>Sales Amount (Wholesale Price + Shipping Charge)</t>
  </si>
  <si>
    <t>Product GST</t>
  </si>
  <si>
    <t>Sales Amount Excluding Product GST</t>
  </si>
  <si>
    <t>Commission %</t>
  </si>
  <si>
    <t>Shop101 commission to be deducted on Listed Price (excluding commision GST)</t>
  </si>
  <si>
    <t>IGST on Shipping</t>
  </si>
  <si>
    <t>CGST &amp; SGST on Shipping</t>
  </si>
  <si>
    <t>IGST on Commission</t>
  </si>
  <si>
    <t>CGST &amp; SGST on Commission</t>
  </si>
  <si>
    <t>TCS (IGST)</t>
  </si>
  <si>
    <t>TCS (CGST &amp; SGST )</t>
  </si>
  <si>
    <t>TDS</t>
  </si>
  <si>
    <t>Net Amount</t>
  </si>
  <si>
    <t>Payment Date</t>
  </si>
  <si>
    <t>Transaction Id</t>
  </si>
  <si>
    <t>Forward Shipping AWB</t>
  </si>
  <si>
    <t>Forward Shipping Courier Partner</t>
  </si>
  <si>
    <t>Reverse Shipping AWB</t>
  </si>
  <si>
    <t>Reverse Shipping Courier Partner</t>
  </si>
  <si>
    <t>Cancelled Date</t>
  </si>
  <si>
    <t>Picked Up Date</t>
  </si>
  <si>
    <t>Approved Date</t>
  </si>
  <si>
    <t>Delivered Date</t>
  </si>
  <si>
    <t>Returned Date</t>
  </si>
  <si>
    <t>Warehouse ID</t>
  </si>
  <si>
    <t>CNDN</t>
  </si>
  <si>
    <t>Document Type</t>
  </si>
  <si>
    <t>Document Sub Type</t>
  </si>
  <si>
    <t>Credit Note ID/ Debit Note ID</t>
  </si>
  <si>
    <t>Taxable Value</t>
  </si>
  <si>
    <t>Shipping_case</t>
  </si>
  <si>
    <t>store_id</t>
  </si>
  <si>
    <t>packet_id</t>
  </si>
  <si>
    <t>New_Parent_id</t>
  </si>
  <si>
    <t>order_id</t>
  </si>
  <si>
    <t>item_id</t>
  </si>
  <si>
    <t>sku_id</t>
  </si>
  <si>
    <t>pps_item_id</t>
  </si>
  <si>
    <t>item_status</t>
  </si>
  <si>
    <t>order_created_date</t>
  </si>
  <si>
    <t>order_packed_date</t>
  </si>
  <si>
    <t>order_shipped_date</t>
  </si>
  <si>
    <t>restocked_date</t>
  </si>
  <si>
    <t>order_rto_date</t>
  </si>
  <si>
    <t>gender</t>
  </si>
  <si>
    <t>seller_id</t>
  </si>
  <si>
    <t>seller_name</t>
  </si>
  <si>
    <t>seller_type</t>
  </si>
  <si>
    <t>master_category</t>
  </si>
  <si>
    <t>brand</t>
  </si>
  <si>
    <t>article_type</t>
  </si>
  <si>
    <t>payment_method</t>
  </si>
  <si>
    <t>tax_rate</t>
  </si>
  <si>
    <t>igst_rate</t>
  </si>
  <si>
    <t>cgst_rate</t>
  </si>
  <si>
    <t>sgst_rate</t>
  </si>
  <si>
    <t>pincode</t>
  </si>
  <si>
    <t>is_try_and_buy</t>
  </si>
  <si>
    <t>Customer_Delivery_State_Code</t>
  </si>
  <si>
    <t>warehouse_id</t>
  </si>
  <si>
    <t>warehouse_name</t>
  </si>
  <si>
    <t>address</t>
  </si>
  <si>
    <t>location</t>
  </si>
  <si>
    <t>igst_amt</t>
  </si>
  <si>
    <t>cgst_amt</t>
  </si>
  <si>
    <t>sgst_amt</t>
  </si>
  <si>
    <t>tax_amount</t>
  </si>
  <si>
    <t>loyalty_credit</t>
  </si>
  <si>
    <t>loyalty_Amount</t>
  </si>
  <si>
    <t>InvoiceAmount</t>
  </si>
  <si>
    <t>shipment_value</t>
  </si>
  <si>
    <t>platform_charges</t>
  </si>
  <si>
    <t>MRP</t>
  </si>
  <si>
    <t>shipping_charges</t>
  </si>
  <si>
    <t>gift_charges</t>
  </si>
  <si>
    <t>Discount</t>
  </si>
  <si>
    <t>cashback</t>
  </si>
  <si>
    <t>Tax_user_rec</t>
  </si>
  <si>
    <t>GiftCard</t>
  </si>
  <si>
    <t>wallet</t>
  </si>
  <si>
    <t>Vat_refund</t>
  </si>
  <si>
    <t>Mynts_Used</t>
  </si>
  <si>
    <t>Instant_Cashback</t>
  </si>
  <si>
    <t>Value_Shipping</t>
  </si>
  <si>
    <t>Net_Amount</t>
  </si>
  <si>
    <t>certificateNumber</t>
  </si>
  <si>
    <t>Seller_GSTIN</t>
  </si>
  <si>
    <t>starts_from</t>
  </si>
  <si>
    <t>ends_on</t>
  </si>
  <si>
    <t>Tax_Seller_GSTIN</t>
  </si>
  <si>
    <t>base_amount</t>
  </si>
  <si>
    <t>tds_rate</t>
  </si>
  <si>
    <t>tcs_amount</t>
  </si>
  <si>
    <t>tds_amount</t>
  </si>
  <si>
    <t>cgst_tcs_amount</t>
  </si>
  <si>
    <t>sgst_tcs_amount</t>
  </si>
  <si>
    <t>igst_tcs_amount</t>
  </si>
  <si>
    <t>CHHATISHGARH</t>
  </si>
  <si>
    <t>VMART</t>
  </si>
  <si>
    <t>vendorId</t>
  </si>
  <si>
    <t>eventType</t>
  </si>
  <si>
    <t>vendorName</t>
  </si>
  <si>
    <t>GSTIN</t>
  </si>
  <si>
    <t>invoiceId</t>
  </si>
  <si>
    <t>invoiceDate</t>
  </si>
  <si>
    <t>customerName</t>
  </si>
  <si>
    <t>customerState</t>
  </si>
  <si>
    <t>customerPincode</t>
  </si>
  <si>
    <t>vendorState</t>
  </si>
  <si>
    <t>vendorPincode</t>
  </si>
  <si>
    <t>salesType</t>
  </si>
  <si>
    <t>E-CommerceGSTIN</t>
  </si>
  <si>
    <t>E-CommerceName</t>
  </si>
  <si>
    <t>uniqueItemId</t>
  </si>
  <si>
    <t>vendorStyleCode</t>
  </si>
  <si>
    <t>orderId</t>
  </si>
  <si>
    <t>suborderId</t>
  </si>
  <si>
    <t>hsnCode</t>
  </si>
  <si>
    <t>productDescription</t>
  </si>
  <si>
    <t>totalGSTRate</t>
  </si>
  <si>
    <t>taxAmountForIGST</t>
  </si>
  <si>
    <t>taxAmountForCGST</t>
  </si>
  <si>
    <t>taxAmountForSGST</t>
  </si>
  <si>
    <t>itemTaxableAmount</t>
  </si>
  <si>
    <t>shippingTaxableAmount</t>
  </si>
  <si>
    <t>codTaxableAmount</t>
  </si>
  <si>
    <t>totalSupplyTaxableAmount</t>
  </si>
  <si>
    <t>tcsAmountForIGST</t>
  </si>
  <si>
    <t>tcsAmountForCGST</t>
  </si>
  <si>
    <t>tcsAmountForSGST</t>
  </si>
  <si>
    <t>invoiceValue</t>
  </si>
  <si>
    <t>taxAmount</t>
  </si>
  <si>
    <t>cessAmount</t>
  </si>
  <si>
    <t>tdsAmount</t>
  </si>
  <si>
    <t>Vendor ID</t>
  </si>
  <si>
    <t>Vendor Gst Number</t>
  </si>
  <si>
    <t>Mirraw GSTIN No</t>
  </si>
  <si>
    <t>Order Number</t>
  </si>
  <si>
    <t>Sales Invoice No</t>
  </si>
  <si>
    <t>Sales Invoice/Order Sane Date</t>
  </si>
  <si>
    <t>Description</t>
  </si>
  <si>
    <t>SKU Code</t>
  </si>
  <si>
    <t>Size</t>
  </si>
  <si>
    <t>Warehouse Order</t>
  </si>
  <si>
    <t>Sale Price</t>
  </si>
  <si>
    <t>Addon Product Price</t>
  </si>
  <si>
    <t>Total Sale Price</t>
  </si>
  <si>
    <t>Taxable value</t>
  </si>
  <si>
    <t>Rate of Tax</t>
  </si>
  <si>
    <t>Vendor State</t>
  </si>
  <si>
    <t>Order Approval Date</t>
  </si>
  <si>
    <t>Original Shipment Number</t>
  </si>
  <si>
    <t>Sale/Sale reversal TCS date</t>
  </si>
  <si>
    <t>Buyer Invoice Amount</t>
  </si>
  <si>
    <t>Sheet</t>
  </si>
  <si>
    <t>Order_id</t>
  </si>
  <si>
    <t>Order_Date</t>
  </si>
  <si>
    <t>Order_Date(MM/YYYY)</t>
  </si>
  <si>
    <t>IS_COMBO</t>
  </si>
  <si>
    <t>ISDROPSHIPMENTSELLER</t>
  </si>
  <si>
    <t>Marked_Status_Date</t>
  </si>
  <si>
    <t>Marked_Status_Date(MM/YYYY)</t>
  </si>
  <si>
    <t>Marked_Status</t>
  </si>
  <si>
    <t>Product_Price</t>
  </si>
  <si>
    <t>Shipping_Cost</t>
  </si>
  <si>
    <t>Cod_Charges</t>
  </si>
  <si>
    <t>Order_Amt</t>
  </si>
  <si>
    <t>Parent_Seller_Name</t>
  </si>
  <si>
    <t>Child_Seller_Name</t>
  </si>
  <si>
    <t>Description_OF_Good</t>
  </si>
  <si>
    <t>Product_Name</t>
  </si>
  <si>
    <t>Product_Qty</t>
  </si>
  <si>
    <t>Consignor_Name</t>
  </si>
  <si>
    <t>Consignor_GST</t>
  </si>
  <si>
    <t>Consignor_State_Name</t>
  </si>
  <si>
    <t>Consignee_State_Name</t>
  </si>
  <si>
    <t>Payment_mode</t>
  </si>
  <si>
    <t>Invoicenumber</t>
  </si>
  <si>
    <t>Invoicedate</t>
  </si>
  <si>
    <t>Invoice_Date(MM/YYYY)</t>
  </si>
  <si>
    <t>DEDUCTION_Liability</t>
  </si>
  <si>
    <t>HSNCODE</t>
  </si>
  <si>
    <t>IGST_Rate</t>
  </si>
  <si>
    <t>CGST_Rate</t>
  </si>
  <si>
    <t>SGST_rate</t>
  </si>
  <si>
    <t>KFC_Rate</t>
  </si>
  <si>
    <t>Total_GST_Rate</t>
  </si>
  <si>
    <t>Total_Taxable_Value</t>
  </si>
  <si>
    <t>Total_IGST_AMT</t>
  </si>
  <si>
    <t>Total_CGST_AMT</t>
  </si>
  <si>
    <t>Total_SGST_AMT</t>
  </si>
  <si>
    <t>Total_KFC</t>
  </si>
  <si>
    <t>TOTAL_INVOICE_VALUE</t>
  </si>
  <si>
    <t>TCS_AMT</t>
  </si>
  <si>
    <t>TCS_IGST_AMT</t>
  </si>
  <si>
    <t>TCS_CGST_AMT</t>
  </si>
  <si>
    <t>TCS_SGST_AMT</t>
  </si>
  <si>
    <t>TCS_Liablity</t>
  </si>
  <si>
    <t>module</t>
  </si>
  <si>
    <t>lastestpickedupdate</t>
  </si>
  <si>
    <t>latestpickedupdate_MM_YY</t>
  </si>
  <si>
    <t>currentstatename</t>
  </si>
  <si>
    <t>isrollback</t>
  </si>
  <si>
    <t>rollbackdate</t>
  </si>
  <si>
    <t>naaptol</t>
  </si>
  <si>
    <t>SheetNo.</t>
  </si>
  <si>
    <t>ProductType</t>
  </si>
  <si>
    <t>SkipR</t>
  </si>
  <si>
    <t>CustomerName</t>
  </si>
  <si>
    <t>HSN+%/Product</t>
  </si>
  <si>
    <t>PartyGSTNo.</t>
  </si>
  <si>
    <t>BillDate</t>
  </si>
  <si>
    <t>BillNo</t>
  </si>
  <si>
    <t>HSNCode</t>
  </si>
  <si>
    <t>GST%</t>
  </si>
  <si>
    <t>ProblaimValue</t>
  </si>
  <si>
    <t>SrNo.</t>
  </si>
  <si>
    <t>JAMMUANDKASHMIR</t>
  </si>
  <si>
    <t>MADHYAPRADESH</t>
  </si>
  <si>
    <t>ARUNACHALPRADESH</t>
  </si>
  <si>
    <t>HIMACHALPRADESH</t>
  </si>
  <si>
    <t>DADRAANDNAGARHAVELI</t>
  </si>
  <si>
    <t>LakshadweepIslands</t>
  </si>
  <si>
    <t>AndamanandNicobarIslands</t>
  </si>
  <si>
    <t>Reduce Entry %</t>
  </si>
  <si>
    <t>Import Sales Entry</t>
  </si>
  <si>
    <t>Party GSTIN</t>
  </si>
  <si>
    <t>Blank State</t>
  </si>
  <si>
    <t>creditinvoicedate</t>
  </si>
  <si>
    <t>creditinvoicenumber</t>
  </si>
  <si>
    <t>C:\Users\ADITYA\Desktop\Ecomm\SNEPDEAL.xlsx</t>
  </si>
  <si>
    <t>Transaction Date</t>
  </si>
  <si>
    <t>Sub Order No</t>
  </si>
  <si>
    <t>Customer State</t>
  </si>
  <si>
    <t>Seller GSTN</t>
  </si>
  <si>
    <t>Hsn Code</t>
  </si>
  <si>
    <t>Tax Rate</t>
  </si>
  <si>
    <t>Tax Type</t>
  </si>
  <si>
    <t>Tax Amount</t>
  </si>
  <si>
    <t>Comp Cess Rate</t>
  </si>
  <si>
    <t>Comp Cess</t>
  </si>
  <si>
    <t>Order Invoice Date</t>
  </si>
  <si>
    <t>Seller Code</t>
  </si>
  <si>
    <t>Hold Flag</t>
  </si>
  <si>
    <t>Taxable Amount</t>
  </si>
  <si>
    <t>C:\Users\ADITYA\Desktop\Ecomm\OLD FILE\statement\grow road b2b.xlsx</t>
  </si>
  <si>
    <t>C:\Users\ADITYA\Desktop\Ecomm\NAPTOL.xls</t>
  </si>
  <si>
    <t>C:\Users\ADITYA\Desktop\Ecomm\vmart retrn.xls</t>
  </si>
  <si>
    <t>tds_rate_change</t>
  </si>
  <si>
    <t>Amount &gt; B2CL</t>
  </si>
  <si>
    <t>B2CL Entry</t>
  </si>
  <si>
    <t>GSTIN of supplier</t>
  </si>
  <si>
    <t>Trade/Legal name of the supplier</t>
  </si>
  <si>
    <t>Place of supply</t>
  </si>
  <si>
    <t>Supply Attract Reverse Charge</t>
  </si>
  <si>
    <t>Taxable Value (₹)</t>
  </si>
  <si>
    <t>GSTR-1/IFF/GSTR-5 Filing Date</t>
  </si>
  <si>
    <t>ITC Availability</t>
  </si>
  <si>
    <t>Reason</t>
  </si>
  <si>
    <t>Applicable % of Tax Rate</t>
  </si>
  <si>
    <t>Source</t>
  </si>
  <si>
    <t>IRN Date</t>
  </si>
  <si>
    <t>Invoice type</t>
  </si>
  <si>
    <t>Invoice Value(₹)</t>
  </si>
  <si>
    <t>Integrated Tax(₹)</t>
  </si>
  <si>
    <t>Central Tax(₹)</t>
  </si>
  <si>
    <t>State/UT Tax(₹)</t>
  </si>
  <si>
    <t>Cess(₹)</t>
  </si>
  <si>
    <t>Regular</t>
  </si>
  <si>
    <t>Party State</t>
  </si>
  <si>
    <t>C/D</t>
  </si>
  <si>
    <t>Gst No.</t>
  </si>
  <si>
    <t xml:space="preserve">City </t>
  </si>
  <si>
    <t>Regular/Consumer</t>
  </si>
  <si>
    <t>Invoice Typ : GST/IGST</t>
  </si>
  <si>
    <t>Tax/Bill</t>
  </si>
  <si>
    <t xml:space="preserve">GST% </t>
  </si>
  <si>
    <t>Item Unit</t>
  </si>
  <si>
    <t>HSN NO.</t>
  </si>
  <si>
    <t>Vou.No.</t>
  </si>
  <si>
    <t>D</t>
  </si>
  <si>
    <t>HSN No.</t>
  </si>
  <si>
    <t>DO</t>
  </si>
  <si>
    <t>DJ</t>
  </si>
  <si>
    <t>DM</t>
  </si>
  <si>
    <t>C:\Users\ADITYA\Desktop\Ecomm\MYNTRA\MYNTRA GSTR REPORT PACKED.xlsx</t>
  </si>
  <si>
    <t>DI</t>
  </si>
  <si>
    <t>Product</t>
  </si>
  <si>
    <t>Tax Amt</t>
  </si>
  <si>
    <t>Vou. Type</t>
  </si>
  <si>
    <t xml:space="preserve">Purchase Entry </t>
  </si>
  <si>
    <t>GST Expences</t>
  </si>
  <si>
    <t>Pur CN</t>
  </si>
  <si>
    <t>Pur DN</t>
  </si>
  <si>
    <t>Glowroad</t>
  </si>
  <si>
    <t>Customer ID</t>
  </si>
  <si>
    <t>Mobile Number</t>
  </si>
  <si>
    <t>PC/Mac ID</t>
  </si>
  <si>
    <t>Expiry Date</t>
  </si>
  <si>
    <t>Com Name</t>
  </si>
  <si>
    <t>Registration Date</t>
  </si>
  <si>
    <t>Ecomm Excle Licance</t>
  </si>
  <si>
    <t>MSH</t>
  </si>
  <si>
    <t>AMZ</t>
  </si>
  <si>
    <t>FLC</t>
  </si>
  <si>
    <t>FLC (C)</t>
  </si>
  <si>
    <t>SND</t>
  </si>
  <si>
    <t>JIO</t>
  </si>
  <si>
    <t>JIO (2)</t>
  </si>
  <si>
    <t>MYR</t>
  </si>
  <si>
    <t>MYR (2)</t>
  </si>
  <si>
    <t>GLR</t>
  </si>
  <si>
    <t>NPTL</t>
  </si>
  <si>
    <t>MRW</t>
  </si>
  <si>
    <t>S101</t>
  </si>
  <si>
    <t>S101 (2)</t>
  </si>
  <si>
    <t>VMT</t>
  </si>
  <si>
    <t>GSTR2B</t>
  </si>
  <si>
    <t>MasterMonth</t>
  </si>
  <si>
    <t>Help</t>
  </si>
  <si>
    <t>C:\Users\ADITYA\Desktop\Ecomm\MTR_B2B-APRIL-2024-AEZJA41ENPVDN.xlsx</t>
  </si>
  <si>
    <t xml:space="preserve">Status </t>
  </si>
  <si>
    <t>Suborder Status</t>
  </si>
  <si>
    <t>GST Invoice Number</t>
  </si>
  <si>
    <t>GST Invoice Date</t>
  </si>
  <si>
    <t>Place of Supply</t>
  </si>
  <si>
    <t>GST Invoice Type</t>
  </si>
  <si>
    <t>Taxable Value of Invoice</t>
  </si>
  <si>
    <t>GST Invoice Amount</t>
  </si>
  <si>
    <t>GSTIN Flag</t>
  </si>
  <si>
    <t>Bill to State</t>
  </si>
  <si>
    <t>Bill to Address</t>
  </si>
  <si>
    <t>Bill to Pincode</t>
  </si>
  <si>
    <t>GST Returns Subsheet</t>
  </si>
  <si>
    <t>Bill to name</t>
  </si>
  <si>
    <t>Ship to Name</t>
  </si>
  <si>
    <t>Ship to State</t>
  </si>
  <si>
    <t>Ship to Address</t>
  </si>
  <si>
    <t>Ship to Pincode</t>
  </si>
  <si>
    <t>Ecommerce GSTIN</t>
  </si>
  <si>
    <t>Company Name :</t>
  </si>
  <si>
    <t>GST No.:</t>
  </si>
  <si>
    <t>S101 (3)</t>
  </si>
  <si>
    <t>GSTR-1/1A/IFF/GSTR-5 Period</t>
  </si>
  <si>
    <t>Gstin Of Receiver</t>
  </si>
  <si>
    <t>Ship From Fc</t>
  </si>
  <si>
    <t>Ship To Fc</t>
  </si>
  <si>
    <t>Igst Amount</t>
  </si>
  <si>
    <t>Sgst Amount</t>
  </si>
  <si>
    <t>Utgst Amount</t>
  </si>
  <si>
    <t>Cgst Amount</t>
  </si>
  <si>
    <t>Compensatory Cess Amount</t>
  </si>
  <si>
    <t>Gstin Of Supplier</t>
  </si>
  <si>
    <t>Saller State</t>
  </si>
  <si>
    <t>Buyer State</t>
  </si>
  <si>
    <t>GST No.</t>
  </si>
  <si>
    <t>AMZ TR</t>
  </si>
  <si>
    <t>Tex</t>
  </si>
  <si>
    <t>LAKSHADWEEP</t>
  </si>
  <si>
    <t>\\ADITYA-TECH\All Sharing\Ecom Setup\Devlop\ecomm statment\AJIO RETURN REPORT MONTH OF OCT 24.xlsx</t>
  </si>
  <si>
    <t>\\ADITYA-TECH\All Sharing\Ecom Setup\Devlop\ecomm statment\SHOP 101.xlsx</t>
  </si>
  <si>
    <t>UNI</t>
  </si>
  <si>
    <t>Uni Commarce</t>
  </si>
  <si>
    <t>Com State</t>
  </si>
  <si>
    <t>Ecom Name</t>
  </si>
  <si>
    <t>Gstin Of Saller</t>
  </si>
  <si>
    <t>Buyer Gst No.</t>
  </si>
  <si>
    <t>Saller Party Name</t>
  </si>
  <si>
    <t>Return</t>
  </si>
  <si>
    <t>Snepdeal</t>
  </si>
  <si>
    <t>C:\Users\ADITYA\Desktop\Ecomm\MYNTRA\MYNTRA JULY CUSTMER RETURN.xlsx</t>
  </si>
  <si>
    <t>C:\Users\ADITYA\Desktop\Ecomm\mirrow\csv\B2C-Sales Return Repor-May2024.xlsx</t>
  </si>
  <si>
    <t>Mirrow</t>
  </si>
  <si>
    <t>Ecomm Name</t>
  </si>
  <si>
    <t>Cust Name</t>
  </si>
  <si>
    <t>Ecomm Party</t>
  </si>
  <si>
    <t>Item Serial No.</t>
  </si>
  <si>
    <t>Shipping Cess Tax Amount</t>
  </si>
  <si>
    <t>Item Promo Discount Tax</t>
  </si>
  <si>
    <t>Shipping Promo Discount Tax</t>
  </si>
  <si>
    <t>Gift Wrap Promo Discount Tax</t>
  </si>
  <si>
    <t>FC_TRANSFER</t>
  </si>
  <si>
    <t>FC_REMOVAL</t>
  </si>
  <si>
    <t>\\ADITYA-TECH\All Sharing\Ecom Setup\Devlop\ecomm statment\uniqcommarch\GST Report-OCT 24.xlsx</t>
  </si>
  <si>
    <t xml:space="preserve">Total Error </t>
  </si>
  <si>
    <t>Fulfiller Name</t>
  </si>
  <si>
    <t>Offer Price</t>
  </si>
  <si>
    <t>Seller Coupon Amount</t>
  </si>
  <si>
    <t>Seller Coupon Code</t>
  </si>
  <si>
    <t>Ecomm Company</t>
  </si>
  <si>
    <t>\\ADITYA-TECH\All Sharing\Ecom Setup\Devlop\ecomm statment\flicart nov sky.xlsx</t>
  </si>
  <si>
    <t>Item Promo Tax</t>
  </si>
  <si>
    <t>Shipping Promo Tax</t>
  </si>
  <si>
    <t>Gift Wrap Promo Tax</t>
  </si>
  <si>
    <t>Shipping Cess Tax</t>
  </si>
  <si>
    <t>Customer Ship To Gstid</t>
  </si>
  <si>
    <t>\\ADITYA-TECH\All Sharing\Ecom Setup\Devlop\ecomm statment\jio\Invoice Report.xlsx</t>
  </si>
  <si>
    <t>AMZ (2)</t>
  </si>
  <si>
    <t>\\ADITYA-TECH\All Sharing\Ecom Setup\Devlop\ecomm statment\ForwardReports.xlsx</t>
  </si>
  <si>
    <t>\\ADITYA-TECH\All Sharing\Ecom Setup\Devlop\ecomm statment\amazon stock tranf full.xlsx</t>
  </si>
  <si>
    <t>\\ADITYA-TECH\All Sharing\Ecom Setup\Devlop\ecomm statment\GST_MTR_B2B_CUSTOM-A2HH06SYJIY2PZ-2024_11_25-2024_11_30 new.xlsx</t>
  </si>
  <si>
    <t>\\ADITYA-TECH\All Sharing\Ecom Setup\Devlop\ecomm statment\GST_STR_CUSTOM-A2HH06SYJIY2PZ-2024_11_01-2024_12_01.xlsx</t>
  </si>
  <si>
    <t>JAYDEEP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</si>
</sst>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2"/>
      <color rgb="FF000000"/>
      <name val="Segoe UI"/>
      <family val="2"/>
    </font>
    <font>
      <b/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sz val="12"/>
      <color indexed="8"/>
      <name val="Verdana"/>
      <family val="2"/>
    </font>
    <font>
      <sz val="12"/>
      <color indexed="8"/>
      <name val="Verdana"/>
      <family val="2"/>
    </font>
    <font>
      <b/>
      <sz val="10"/>
      <color indexed="8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2"/>
      <color indexed="8"/>
      <name val="Verdana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Verdana"/>
      <family val="2"/>
    </font>
    <font>
      <b/>
      <sz val="12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indexed="8"/>
      <name val="Verdana"/>
      <family val="2"/>
    </font>
    <font>
      <b/>
      <sz val="8"/>
      <color theme="1"/>
      <name val="Verdana"/>
      <family val="2"/>
    </font>
    <font>
      <b/>
      <sz val="9"/>
      <color theme="1"/>
      <name val="Verdana"/>
      <family val="2"/>
    </font>
    <font>
      <sz val="11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Verdana"/>
      <family val="2"/>
    </font>
    <font>
      <b/>
      <sz val="12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2"/>
      <color theme="1"/>
      <name val="Verdana"/>
      <family val="2"/>
    </font>
    <font>
      <i/>
      <sz val="11"/>
      <color theme="1"/>
      <name val="Verdana"/>
      <family val="2"/>
    </font>
    <font>
      <sz val="12"/>
      <color indexed="8"/>
      <name val="Verdana"/>
      <family val="2"/>
    </font>
    <font>
      <b/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2"/>
      <color indexed="8"/>
      <name val="Verdana"/>
      <family val="2"/>
    </font>
    <font>
      <sz val="14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9"/>
      <color rgb="FFFFFFFF"/>
      <name val="Arial"/>
      <family val="2"/>
    </font>
    <font>
      <b/>
      <u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7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1"/>
      <color rgb="FF000000"/>
      <name val="Calibri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color rgb="FF000000"/>
      <name val="Segoe UI"/>
      <family val="2"/>
    </font>
  </fonts>
  <fills count="6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2"/>
      </patternFill>
    </fill>
    <fill>
      <patternFill patternType="solid">
        <fgColor theme="8" tint="0.39997558519241921"/>
        <bgColor indexed="64"/>
      </patternFill>
    </fill>
    <fill>
      <patternFill patternType="darkGrid">
        <fgColor indexed="43"/>
        <bgColor indexed="43"/>
      </patternFill>
    </fill>
    <fill>
      <patternFill patternType="darkGrid">
        <fgColor indexed="42"/>
        <bgColor indexed="42"/>
      </patternFill>
    </fill>
    <fill>
      <patternFill patternType="darkGrid">
        <fgColor indexed="44"/>
        <bgColor indexed="4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037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9">
    <xf numFmtId="0" fontId="0" fillId="0" borderId="0"/>
    <xf numFmtId="0" fontId="2" fillId="0" borderId="0" applyFill="0" applyProtection="0"/>
    <xf numFmtId="0" fontId="2" fillId="0" borderId="0" applyFill="0" applyProtection="0"/>
    <xf numFmtId="0" fontId="5" fillId="0" borderId="0"/>
    <xf numFmtId="0" fontId="6" fillId="0" borderId="0" applyFill="0" applyProtection="0"/>
    <xf numFmtId="0" fontId="7" fillId="0" borderId="0" applyNumberFormat="0" applyFill="0" applyBorder="0" applyProtection="0">
      <alignment vertical="top" wrapText="1"/>
    </xf>
    <xf numFmtId="0" fontId="8" fillId="0" borderId="0" applyNumberFormat="0" applyFill="0" applyBorder="0" applyProtection="0">
      <alignment vertical="top" wrapText="1"/>
    </xf>
    <xf numFmtId="0" fontId="12" fillId="0" borderId="0" applyNumberFormat="0" applyFill="0" applyBorder="0" applyProtection="0">
      <alignment vertical="top" wrapText="1"/>
    </xf>
    <xf numFmtId="0" fontId="21" fillId="0" borderId="0" applyNumberFormat="0" applyFill="0" applyBorder="0" applyProtection="0">
      <alignment vertical="top" wrapText="1"/>
    </xf>
    <xf numFmtId="0" fontId="2" fillId="0" borderId="0" applyFill="0" applyProtection="0"/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0" fontId="7" fillId="0" borderId="0" applyNumberFormat="0" applyFill="0" applyBorder="0" applyProtection="0">
      <alignment vertical="top" wrapText="1"/>
    </xf>
    <xf numFmtId="9" fontId="24" fillId="0" borderId="0" applyFont="0" applyFill="0" applyBorder="0" applyAlignment="0" applyProtection="0"/>
    <xf numFmtId="0" fontId="33" fillId="0" borderId="0" applyNumberFormat="0" applyFill="0" applyBorder="0" applyProtection="0">
      <alignment vertical="top" wrapText="1"/>
    </xf>
    <xf numFmtId="0" fontId="37" fillId="0" borderId="0" applyNumberFormat="0" applyFill="0" applyBorder="0" applyProtection="0">
      <alignment vertical="top" wrapText="1"/>
    </xf>
    <xf numFmtId="0" fontId="40" fillId="0" borderId="0"/>
    <xf numFmtId="0" fontId="47" fillId="0" borderId="0"/>
    <xf numFmtId="0" fontId="48" fillId="0" borderId="0" applyNumberFormat="0" applyFill="0" applyBorder="0" applyAlignment="0" applyProtection="0"/>
    <xf numFmtId="0" fontId="49" fillId="0" borderId="50" applyNumberFormat="0" applyFill="0" applyAlignment="0" applyProtection="0"/>
    <xf numFmtId="0" fontId="50" fillId="0" borderId="51" applyNumberFormat="0" applyFill="0" applyAlignment="0" applyProtection="0"/>
    <xf numFmtId="0" fontId="51" fillId="0" borderId="52" applyNumberFormat="0" applyFill="0" applyAlignment="0" applyProtection="0"/>
    <xf numFmtId="0" fontId="51" fillId="0" borderId="0" applyNumberFormat="0" applyFill="0" applyBorder="0" applyAlignment="0" applyProtection="0"/>
    <xf numFmtId="0" fontId="52" fillId="32" borderId="0" applyNumberFormat="0" applyBorder="0" applyAlignment="0" applyProtection="0"/>
    <xf numFmtId="0" fontId="53" fillId="33" borderId="0" applyNumberFormat="0" applyBorder="0" applyAlignment="0" applyProtection="0"/>
    <xf numFmtId="0" fontId="54" fillId="34" borderId="0" applyNumberFormat="0" applyBorder="0" applyAlignment="0" applyProtection="0"/>
    <xf numFmtId="0" fontId="55" fillId="35" borderId="53" applyNumberFormat="0" applyAlignment="0" applyProtection="0"/>
    <xf numFmtId="0" fontId="56" fillId="36" borderId="54" applyNumberFormat="0" applyAlignment="0" applyProtection="0"/>
    <xf numFmtId="0" fontId="57" fillId="36" borderId="53" applyNumberFormat="0" applyAlignment="0" applyProtection="0"/>
    <xf numFmtId="0" fontId="58" fillId="0" borderId="55" applyNumberFormat="0" applyFill="0" applyAlignment="0" applyProtection="0"/>
    <xf numFmtId="0" fontId="59" fillId="37" borderId="56" applyNumberFormat="0" applyAlignment="0" applyProtection="0"/>
    <xf numFmtId="0" fontId="29" fillId="0" borderId="0" applyNumberFormat="0" applyFill="0" applyBorder="0" applyAlignment="0" applyProtection="0"/>
    <xf numFmtId="0" fontId="24" fillId="38" borderId="57" applyNumberFormat="0" applyFont="0" applyAlignment="0" applyProtection="0"/>
    <xf numFmtId="0" fontId="60" fillId="0" borderId="0" applyNumberFormat="0" applyFill="0" applyBorder="0" applyAlignment="0" applyProtection="0"/>
    <xf numFmtId="0" fontId="1" fillId="0" borderId="58" applyNumberFormat="0" applyFill="0" applyAlignment="0" applyProtection="0"/>
    <xf numFmtId="0" fontId="1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13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13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13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13" fillId="55" borderId="0" applyNumberFormat="0" applyBorder="0" applyAlignment="0" applyProtection="0"/>
    <xf numFmtId="0" fontId="24" fillId="56" borderId="0" applyNumberFormat="0" applyBorder="0" applyAlignment="0" applyProtection="0"/>
    <xf numFmtId="0" fontId="24" fillId="57" borderId="0" applyNumberFormat="0" applyBorder="0" applyAlignment="0" applyProtection="0"/>
    <xf numFmtId="0" fontId="24" fillId="58" borderId="0" applyNumberFormat="0" applyBorder="0" applyAlignment="0" applyProtection="0"/>
    <xf numFmtId="0" fontId="13" fillId="59" borderId="0" applyNumberFormat="0" applyBorder="0" applyAlignment="0" applyProtection="0"/>
    <xf numFmtId="0" fontId="24" fillId="60" borderId="0" applyNumberFormat="0" applyBorder="0" applyAlignment="0" applyProtection="0"/>
    <xf numFmtId="0" fontId="24" fillId="61" borderId="0" applyNumberFormat="0" applyBorder="0" applyAlignment="0" applyProtection="0"/>
    <xf numFmtId="0" fontId="24" fillId="62" borderId="0" applyNumberFormat="0" applyBorder="0" applyAlignment="0" applyProtection="0"/>
  </cellStyleXfs>
  <cellXfs count="402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4" borderId="0" xfId="0" applyFill="1"/>
    <xf numFmtId="0" fontId="0" fillId="0" borderId="0" xfId="0" applyAlignment="1">
      <alignment horizontal="left"/>
    </xf>
    <xf numFmtId="0" fontId="4" fillId="5" borderId="2" xfId="0" applyFont="1" applyFill="1" applyBorder="1" applyAlignment="1">
      <alignment horizontal="center"/>
    </xf>
    <xf numFmtId="0" fontId="0" fillId="6" borderId="3" xfId="0" applyFill="1" applyBorder="1"/>
    <xf numFmtId="164" fontId="0" fillId="6" borderId="3" xfId="0" applyNumberFormat="1" applyFill="1" applyBorder="1" applyAlignment="1">
      <alignment horizontal="right"/>
    </xf>
    <xf numFmtId="0" fontId="0" fillId="6" borderId="3" xfId="0" applyFill="1" applyBorder="1" applyAlignment="1">
      <alignment horizontal="right"/>
    </xf>
    <xf numFmtId="0" fontId="0" fillId="4" borderId="0" xfId="0" applyFill="1" applyAlignment="1">
      <alignment horizontal="center"/>
    </xf>
    <xf numFmtId="0" fontId="0" fillId="0" borderId="0" xfId="0" quotePrefix="1"/>
    <xf numFmtId="0" fontId="9" fillId="5" borderId="4" xfId="0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4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quotePrefix="1" applyProtection="1"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horizontal="center"/>
      <protection hidden="1"/>
    </xf>
    <xf numFmtId="0" fontId="13" fillId="0" borderId="0" xfId="0" applyFont="1" applyProtection="1">
      <protection hidden="1"/>
    </xf>
    <xf numFmtId="0" fontId="13" fillId="0" borderId="0" xfId="0" quotePrefix="1" applyFont="1" applyProtection="1">
      <protection hidden="1"/>
    </xf>
    <xf numFmtId="164" fontId="13" fillId="0" borderId="0" xfId="0" applyNumberFormat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4" fillId="5" borderId="1" xfId="0" quotePrefix="1" applyFont="1" applyFill="1" applyBorder="1" applyAlignment="1" applyProtection="1">
      <alignment horizontal="center"/>
      <protection locked="0"/>
    </xf>
    <xf numFmtId="0" fontId="4" fillId="5" borderId="7" xfId="0" quotePrefix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Alignment="1" applyProtection="1">
      <alignment horizontal="center" vertical="center"/>
      <protection locked="0"/>
    </xf>
    <xf numFmtId="0" fontId="1" fillId="13" borderId="1" xfId="0" applyFont="1" applyFill="1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 applyProtection="1">
      <alignment horizontal="center" vertical="center"/>
      <protection locked="0"/>
    </xf>
    <xf numFmtId="0" fontId="1" fillId="14" borderId="1" xfId="0" applyFont="1" applyFill="1" applyBorder="1" applyAlignment="1" applyProtection="1">
      <alignment horizontal="center" vertical="center"/>
      <protection locked="0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15" fillId="9" borderId="1" xfId="0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15" borderId="1" xfId="0" applyFont="1" applyFill="1" applyBorder="1" applyAlignment="1" applyProtection="1">
      <alignment horizontal="center" vertical="center"/>
      <protection locked="0"/>
    </xf>
    <xf numFmtId="0" fontId="15" fillId="6" borderId="1" xfId="0" applyFont="1" applyFill="1" applyBorder="1" applyAlignment="1" applyProtection="1">
      <alignment horizontal="right" vertical="center"/>
      <protection locked="0"/>
    </xf>
    <xf numFmtId="0" fontId="1" fillId="14" borderId="1" xfId="0" applyFont="1" applyFill="1" applyBorder="1" applyAlignment="1" applyProtection="1">
      <alignment horizontal="center" vertical="center" wrapText="1"/>
      <protection locked="0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1" fillId="13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/>
      <protection hidden="1"/>
    </xf>
    <xf numFmtId="0" fontId="1" fillId="10" borderId="1" xfId="0" applyFont="1" applyFill="1" applyBorder="1" applyAlignment="1" applyProtection="1">
      <alignment horizontal="center" vertical="center"/>
      <protection hidden="1"/>
    </xf>
    <xf numFmtId="0" fontId="1" fillId="14" borderId="1" xfId="0" applyFont="1" applyFill="1" applyBorder="1" applyAlignment="1" applyProtection="1">
      <alignment horizontal="center" vertical="center" wrapText="1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2" borderId="1" xfId="0" applyFont="1" applyFill="1" applyBorder="1" applyAlignment="1" applyProtection="1">
      <alignment horizontal="center" vertical="center"/>
      <protection hidden="1"/>
    </xf>
    <xf numFmtId="0" fontId="15" fillId="15" borderId="1" xfId="0" applyFont="1" applyFill="1" applyBorder="1" applyAlignment="1" applyProtection="1">
      <alignment horizontal="center" vertical="center"/>
      <protection hidden="1"/>
    </xf>
    <xf numFmtId="0" fontId="15" fillId="6" borderId="1" xfId="0" applyFont="1" applyFill="1" applyBorder="1" applyAlignment="1" applyProtection="1">
      <alignment horizontal="right" vertical="center"/>
      <protection hidden="1"/>
    </xf>
    <xf numFmtId="0" fontId="4" fillId="5" borderId="1" xfId="0" quotePrefix="1" applyFont="1" applyFill="1" applyBorder="1" applyAlignment="1" applyProtection="1">
      <alignment horizontal="center"/>
      <protection hidden="1"/>
    </xf>
    <xf numFmtId="0" fontId="4" fillId="5" borderId="1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164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right"/>
      <protection hidden="1"/>
    </xf>
    <xf numFmtId="1" fontId="13" fillId="0" borderId="0" xfId="0" applyNumberFormat="1" applyFont="1" applyProtection="1">
      <protection hidden="1"/>
    </xf>
    <xf numFmtId="0" fontId="13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0" fontId="0" fillId="6" borderId="3" xfId="0" applyFill="1" applyBorder="1" applyProtection="1">
      <protection locked="0"/>
    </xf>
    <xf numFmtId="0" fontId="0" fillId="6" borderId="3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2" fontId="0" fillId="0" borderId="0" xfId="0" applyNumberFormat="1"/>
    <xf numFmtId="0" fontId="4" fillId="5" borderId="1" xfId="0" applyFont="1" applyFill="1" applyBorder="1" applyAlignment="1" applyProtection="1">
      <alignment horizontal="center"/>
      <protection locked="0" hidden="1"/>
    </xf>
    <xf numFmtId="164" fontId="0" fillId="0" borderId="0" xfId="0" applyNumberFormat="1" applyProtection="1">
      <protection locked="0"/>
    </xf>
    <xf numFmtId="0" fontId="11" fillId="0" borderId="0" xfId="0" quotePrefix="1" applyFont="1" applyProtection="1">
      <protection locked="0"/>
    </xf>
    <xf numFmtId="0" fontId="11" fillId="0" borderId="0" xfId="0" applyFont="1" applyProtection="1">
      <protection locked="0"/>
    </xf>
    <xf numFmtId="164" fontId="0" fillId="0" borderId="0" xfId="0" applyNumberFormat="1" applyProtection="1">
      <protection hidden="1"/>
    </xf>
    <xf numFmtId="2" fontId="0" fillId="0" borderId="0" xfId="0" applyNumberFormat="1" applyProtection="1">
      <protection hidden="1"/>
    </xf>
    <xf numFmtId="2" fontId="15" fillId="6" borderId="1" xfId="0" applyNumberFormat="1" applyFont="1" applyFill="1" applyBorder="1" applyAlignment="1" applyProtection="1">
      <alignment horizontal="right" vertical="center"/>
      <protection hidden="1"/>
    </xf>
    <xf numFmtId="2" fontId="13" fillId="0" borderId="0" xfId="0" applyNumberFormat="1" applyFont="1" applyProtection="1">
      <protection hidden="1"/>
    </xf>
    <xf numFmtId="0" fontId="0" fillId="6" borderId="3" xfId="0" applyFill="1" applyBorder="1" applyAlignment="1" applyProtection="1">
      <alignment horizontal="center"/>
      <protection locked="0"/>
    </xf>
    <xf numFmtId="164" fontId="0" fillId="6" borderId="3" xfId="0" applyNumberFormat="1" applyFill="1" applyBorder="1" applyAlignment="1" applyProtection="1">
      <alignment horizontal="right"/>
      <protection locked="0"/>
    </xf>
    <xf numFmtId="0" fontId="0" fillId="6" borderId="3" xfId="0" applyFill="1" applyBorder="1" applyAlignment="1" applyProtection="1">
      <alignment horizontal="right"/>
      <protection locked="0"/>
    </xf>
    <xf numFmtId="0" fontId="17" fillId="0" borderId="0" xfId="0" applyFont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wrapText="1"/>
      <protection hidden="1"/>
    </xf>
    <xf numFmtId="164" fontId="13" fillId="0" borderId="0" xfId="0" applyNumberFormat="1" applyFont="1" applyAlignment="1" applyProtection="1">
      <alignment horizontal="right"/>
      <protection hidden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 applyProtection="1">
      <alignment horizontal="center" vertical="center"/>
      <protection locked="0"/>
    </xf>
    <xf numFmtId="0" fontId="0" fillId="5" borderId="1" xfId="0" applyFill="1" applyBorder="1"/>
    <xf numFmtId="0" fontId="16" fillId="0" borderId="0" xfId="0" applyFont="1" applyProtection="1">
      <protection locked="0" hidden="1"/>
    </xf>
    <xf numFmtId="0" fontId="18" fillId="0" borderId="13" xfId="0" applyFont="1" applyBorder="1" applyAlignment="1" applyProtection="1">
      <alignment horizontal="center" vertical="center"/>
      <protection locked="0"/>
    </xf>
    <xf numFmtId="0" fontId="19" fillId="0" borderId="13" xfId="0" applyFont="1" applyBorder="1" applyAlignment="1" applyProtection="1">
      <alignment horizontal="center"/>
      <protection hidden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27" fillId="0" borderId="0" xfId="0" applyNumberFormat="1" applyFont="1" applyAlignment="1">
      <alignment vertical="center"/>
    </xf>
    <xf numFmtId="0" fontId="13" fillId="0" borderId="0" xfId="0" quotePrefix="1" applyFont="1"/>
    <xf numFmtId="0" fontId="18" fillId="5" borderId="4" xfId="0" applyFont="1" applyFill="1" applyBorder="1" applyAlignment="1" applyProtection="1">
      <alignment horizontal="center" vertical="center"/>
      <protection hidden="1"/>
    </xf>
    <xf numFmtId="0" fontId="18" fillId="5" borderId="5" xfId="0" applyFont="1" applyFill="1" applyBorder="1" applyAlignment="1" applyProtection="1">
      <alignment horizontal="center" vertical="center"/>
      <protection hidden="1"/>
    </xf>
    <xf numFmtId="0" fontId="28" fillId="5" borderId="5" xfId="0" applyFont="1" applyFill="1" applyBorder="1" applyAlignment="1" applyProtection="1">
      <alignment horizontal="center" vertical="center"/>
      <protection hidden="1"/>
    </xf>
    <xf numFmtId="0" fontId="28" fillId="5" borderId="6" xfId="0" applyFont="1" applyFill="1" applyBorder="1" applyAlignment="1" applyProtection="1">
      <alignment horizontal="center" vertical="center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6" fillId="0" borderId="6" xfId="0" applyFont="1" applyBorder="1" applyAlignment="1" applyProtection="1">
      <alignment horizontal="center"/>
      <protection locked="0"/>
    </xf>
    <xf numFmtId="0" fontId="29" fillId="19" borderId="1" xfId="0" applyFont="1" applyFill="1" applyBorder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Protection="1">
      <protection hidden="1"/>
    </xf>
    <xf numFmtId="164" fontId="0" fillId="0" borderId="1" xfId="0" applyNumberFormat="1" applyBorder="1" applyProtection="1">
      <protection hidden="1"/>
    </xf>
    <xf numFmtId="0" fontId="0" fillId="0" borderId="1" xfId="0" quotePrefix="1" applyBorder="1" applyProtection="1">
      <protection hidden="1"/>
    </xf>
    <xf numFmtId="2" fontId="0" fillId="0" borderId="1" xfId="0" applyNumberFormat="1" applyBorder="1" applyProtection="1">
      <protection hidden="1"/>
    </xf>
    <xf numFmtId="165" fontId="0" fillId="0" borderId="1" xfId="0" quotePrefix="1" applyNumberFormat="1" applyBorder="1" applyProtection="1">
      <protection hidden="1"/>
    </xf>
    <xf numFmtId="165" fontId="0" fillId="0" borderId="0" xfId="0" applyNumberFormat="1" applyAlignment="1" applyProtection="1">
      <alignment horizontal="right"/>
      <protection hidden="1"/>
    </xf>
    <xf numFmtId="0" fontId="0" fillId="0" borderId="1" xfId="0" applyBorder="1" applyAlignment="1" applyProtection="1">
      <alignment horizontal="right"/>
      <protection hidden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5" borderId="1" xfId="0" applyNumberFormat="1" applyFill="1" applyBorder="1"/>
    <xf numFmtId="14" fontId="0" fillId="0" borderId="0" xfId="0" applyNumberFormat="1" applyAlignment="1">
      <alignment horizontal="right" vertical="center"/>
    </xf>
    <xf numFmtId="14" fontId="4" fillId="5" borderId="1" xfId="0" quotePrefix="1" applyNumberFormat="1" applyFont="1" applyFill="1" applyBorder="1" applyAlignment="1" applyProtection="1">
      <alignment horizontal="center"/>
      <protection locked="0"/>
    </xf>
    <xf numFmtId="14" fontId="0" fillId="6" borderId="3" xfId="0" applyNumberFormat="1" applyFill="1" applyBorder="1"/>
    <xf numFmtId="0" fontId="1" fillId="0" borderId="0" xfId="0" applyFont="1" applyAlignment="1">
      <alignment horizontal="left" vertical="center" wrapText="1"/>
    </xf>
    <xf numFmtId="0" fontId="0" fillId="0" borderId="0" xfId="0" applyAlignment="1" applyProtection="1">
      <alignment vertic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hidden="1"/>
    </xf>
    <xf numFmtId="0" fontId="5" fillId="7" borderId="1" xfId="3" applyFill="1" applyBorder="1" applyAlignment="1">
      <alignment vertical="center"/>
    </xf>
    <xf numFmtId="0" fontId="34" fillId="22" borderId="17" xfId="0" applyFont="1" applyFill="1" applyBorder="1" applyAlignment="1">
      <alignment horizontal="center"/>
    </xf>
    <xf numFmtId="0" fontId="29" fillId="0" borderId="0" xfId="0" quotePrefix="1" applyFont="1" applyProtection="1">
      <protection hidden="1"/>
    </xf>
    <xf numFmtId="0" fontId="29" fillId="0" borderId="0" xfId="0" quotePrefix="1" applyFont="1"/>
    <xf numFmtId="0" fontId="16" fillId="0" borderId="0" xfId="0" applyFont="1" applyProtection="1">
      <protection hidden="1"/>
    </xf>
    <xf numFmtId="0" fontId="16" fillId="0" borderId="0" xfId="0" quotePrefix="1" applyFont="1" applyProtection="1">
      <protection hidden="1"/>
    </xf>
    <xf numFmtId="164" fontId="16" fillId="0" borderId="0" xfId="0" applyNumberFormat="1" applyFont="1" applyProtection="1">
      <protection hidden="1"/>
    </xf>
    <xf numFmtId="0" fontId="16" fillId="0" borderId="0" xfId="0" applyFont="1" applyAlignment="1" applyProtection="1">
      <alignment horizontal="right"/>
      <protection hidden="1"/>
    </xf>
    <xf numFmtId="0" fontId="16" fillId="0" borderId="0" xfId="0" applyFont="1" applyAlignment="1" applyProtection="1">
      <alignment horizontal="center"/>
      <protection hidden="1"/>
    </xf>
    <xf numFmtId="1" fontId="16" fillId="0" borderId="0" xfId="0" applyNumberFormat="1" applyFont="1" applyProtection="1">
      <protection hidden="1"/>
    </xf>
    <xf numFmtId="2" fontId="16" fillId="0" borderId="0" xfId="0" applyNumberFormat="1" applyFont="1" applyProtection="1">
      <protection hidden="1"/>
    </xf>
    <xf numFmtId="0" fontId="0" fillId="23" borderId="1" xfId="0" applyFill="1" applyBorder="1"/>
    <xf numFmtId="0" fontId="16" fillId="0" borderId="0" xfId="0" applyFont="1"/>
    <xf numFmtId="164" fontId="35" fillId="7" borderId="1" xfId="0" applyNumberFormat="1" applyFont="1" applyFill="1" applyBorder="1" applyAlignment="1" applyProtection="1">
      <alignment horizontal="center"/>
      <protection locked="0" hidden="1"/>
    </xf>
    <xf numFmtId="0" fontId="35" fillId="7" borderId="1" xfId="0" applyFont="1" applyFill="1" applyBorder="1" applyAlignment="1" applyProtection="1">
      <alignment horizontal="center"/>
      <protection locked="0" hidden="1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" fillId="7" borderId="4" xfId="0" applyFont="1" applyFill="1" applyBorder="1"/>
    <xf numFmtId="0" fontId="1" fillId="7" borderId="5" xfId="0" applyFont="1" applyFill="1" applyBorder="1"/>
    <xf numFmtId="0" fontId="1" fillId="7" borderId="6" xfId="0" applyFont="1" applyFill="1" applyBorder="1"/>
    <xf numFmtId="0" fontId="11" fillId="20" borderId="20" xfId="0" applyFont="1" applyFill="1" applyBorder="1" applyProtection="1">
      <protection locked="0"/>
    </xf>
    <xf numFmtId="0" fontId="17" fillId="5" borderId="21" xfId="0" applyFont="1" applyFill="1" applyBorder="1" applyAlignment="1" applyProtection="1">
      <alignment horizontal="center" vertical="center"/>
      <protection hidden="1"/>
    </xf>
    <xf numFmtId="0" fontId="2" fillId="10" borderId="1" xfId="1" applyFill="1" applyBorder="1" applyProtection="1"/>
    <xf numFmtId="0" fontId="16" fillId="10" borderId="1" xfId="0" applyFont="1" applyFill="1" applyBorder="1" applyProtection="1">
      <protection locked="0"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6" fillId="4" borderId="1" xfId="0" applyFont="1" applyFill="1" applyBorder="1" applyAlignment="1" applyProtection="1">
      <alignment vertical="center"/>
      <protection hidden="1"/>
    </xf>
    <xf numFmtId="0" fontId="16" fillId="4" borderId="1" xfId="0" applyFont="1" applyFill="1" applyBorder="1" applyProtection="1">
      <protection hidden="1"/>
    </xf>
    <xf numFmtId="0" fontId="13" fillId="0" borderId="1" xfId="0" applyFont="1" applyBorder="1" applyAlignment="1" applyProtection="1">
      <alignment vertical="center"/>
      <protection hidden="1"/>
    </xf>
    <xf numFmtId="0" fontId="13" fillId="0" borderId="1" xfId="0" quotePrefix="1" applyFont="1" applyBorder="1" applyAlignment="1" applyProtection="1">
      <alignment vertical="center"/>
      <protection hidden="1"/>
    </xf>
    <xf numFmtId="164" fontId="13" fillId="0" borderId="1" xfId="0" applyNumberFormat="1" applyFont="1" applyBorder="1" applyAlignment="1" applyProtection="1">
      <alignment horizontal="center" vertical="center"/>
      <protection hidden="1"/>
    </xf>
    <xf numFmtId="0" fontId="13" fillId="0" borderId="1" xfId="0" applyFont="1" applyBorder="1" applyAlignment="1" applyProtection="1">
      <alignment horizontal="right" vertical="center"/>
      <protection hidden="1"/>
    </xf>
    <xf numFmtId="0" fontId="13" fillId="0" borderId="1" xfId="0" quotePrefix="1" applyFont="1" applyBorder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29" fillId="0" borderId="0" xfId="0" applyFont="1"/>
    <xf numFmtId="14" fontId="13" fillId="0" borderId="0" xfId="0" applyNumberFormat="1" applyFont="1" applyAlignment="1" applyProtection="1">
      <alignment horizontal="center"/>
      <protection hidden="1"/>
    </xf>
    <xf numFmtId="2" fontId="13" fillId="0" borderId="1" xfId="0" applyNumberFormat="1" applyFont="1" applyBorder="1" applyAlignment="1" applyProtection="1">
      <alignment horizontal="right" vertical="center"/>
      <protection hidden="1"/>
    </xf>
    <xf numFmtId="0" fontId="36" fillId="24" borderId="1" xfId="0" applyFont="1" applyFill="1" applyBorder="1" applyAlignment="1">
      <alignment horizontal="center" vertical="center" wrapText="1"/>
    </xf>
    <xf numFmtId="0" fontId="36" fillId="25" borderId="1" xfId="0" applyFont="1" applyFill="1" applyBorder="1" applyAlignment="1">
      <alignment horizontal="center" vertical="center" wrapText="1"/>
    </xf>
    <xf numFmtId="0" fontId="36" fillId="26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13" fillId="0" borderId="1" xfId="0" applyFont="1" applyBorder="1" applyProtection="1">
      <protection hidden="1"/>
    </xf>
    <xf numFmtId="164" fontId="13" fillId="0" borderId="1" xfId="0" applyNumberFormat="1" applyFont="1" applyBorder="1" applyAlignment="1" applyProtection="1">
      <alignment horizontal="center"/>
      <protection hidden="1"/>
    </xf>
    <xf numFmtId="0" fontId="13" fillId="0" borderId="1" xfId="0" applyFont="1" applyBorder="1" applyAlignment="1" applyProtection="1">
      <alignment horizontal="center"/>
      <protection hidden="1"/>
    </xf>
    <xf numFmtId="164" fontId="13" fillId="0" borderId="0" xfId="0" quotePrefix="1" applyNumberFormat="1" applyFont="1"/>
    <xf numFmtId="0" fontId="10" fillId="27" borderId="23" xfId="0" applyFont="1" applyFill="1" applyBorder="1" applyAlignment="1" applyProtection="1">
      <alignment horizontal="center" vertical="center"/>
      <protection locked="0"/>
    </xf>
    <xf numFmtId="0" fontId="10" fillId="27" borderId="24" xfId="0" applyFont="1" applyFill="1" applyBorder="1" applyAlignment="1" applyProtection="1">
      <alignment horizontal="center" vertical="center"/>
      <protection locked="0"/>
    </xf>
    <xf numFmtId="0" fontId="11" fillId="27" borderId="25" xfId="0" applyFont="1" applyFill="1" applyBorder="1" applyAlignment="1" applyProtection="1">
      <alignment horizontal="center" vertical="center"/>
      <protection hidden="1"/>
    </xf>
    <xf numFmtId="0" fontId="11" fillId="27" borderId="22" xfId="0" applyFont="1" applyFill="1" applyBorder="1" applyAlignment="1" applyProtection="1">
      <alignment horizontal="center" vertical="center"/>
      <protection hidden="1"/>
    </xf>
    <xf numFmtId="0" fontId="3" fillId="20" borderId="1" xfId="0" applyFont="1" applyFill="1" applyBorder="1" applyAlignment="1">
      <alignment vertical="center"/>
    </xf>
    <xf numFmtId="0" fontId="0" fillId="20" borderId="10" xfId="0" applyFill="1" applyBorder="1"/>
    <xf numFmtId="0" fontId="3" fillId="20" borderId="28" xfId="0" applyFont="1" applyFill="1" applyBorder="1" applyAlignment="1">
      <alignment vertical="center"/>
    </xf>
    <xf numFmtId="0" fontId="0" fillId="20" borderId="29" xfId="0" applyFill="1" applyBorder="1"/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28" borderId="1" xfId="0" applyFill="1" applyBorder="1" applyProtection="1">
      <protection locked="0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3" fillId="20" borderId="26" xfId="0" applyFont="1" applyFill="1" applyBorder="1" applyAlignment="1">
      <alignment horizontal="center" vertical="center"/>
    </xf>
    <xf numFmtId="0" fontId="3" fillId="20" borderId="8" xfId="0" applyFont="1" applyFill="1" applyBorder="1" applyAlignment="1">
      <alignment horizontal="center" vertical="center"/>
    </xf>
    <xf numFmtId="0" fontId="2" fillId="11" borderId="7" xfId="1" applyFill="1" applyBorder="1" applyProtection="1"/>
    <xf numFmtId="0" fontId="0" fillId="29" borderId="9" xfId="0" applyFill="1" applyBorder="1" applyAlignment="1">
      <alignment horizontal="center"/>
    </xf>
    <xf numFmtId="0" fontId="0" fillId="29" borderId="10" xfId="0" applyFill="1" applyBorder="1" applyAlignment="1">
      <alignment horizontal="center"/>
    </xf>
    <xf numFmtId="0" fontId="0" fillId="29" borderId="27" xfId="0" applyFill="1" applyBorder="1" applyAlignment="1">
      <alignment horizontal="center"/>
    </xf>
    <xf numFmtId="0" fontId="0" fillId="29" borderId="29" xfId="0" applyFill="1" applyBorder="1" applyAlignment="1">
      <alignment horizontal="center"/>
    </xf>
    <xf numFmtId="0" fontId="30" fillId="29" borderId="4" xfId="0" applyFont="1" applyFill="1" applyBorder="1" applyAlignment="1">
      <alignment horizontal="center" vertical="center"/>
    </xf>
    <xf numFmtId="0" fontId="30" fillId="29" borderId="6" xfId="0" applyFont="1" applyFill="1" applyBorder="1" applyAlignment="1">
      <alignment horizontal="center" vertical="center"/>
    </xf>
    <xf numFmtId="0" fontId="13" fillId="0" borderId="0" xfId="0" applyFont="1"/>
    <xf numFmtId="1" fontId="13" fillId="0" borderId="0" xfId="0" applyNumberFormat="1" applyFont="1" applyAlignment="1" applyProtection="1">
      <alignment horizontal="center"/>
      <protection hidden="1"/>
    </xf>
    <xf numFmtId="0" fontId="30" fillId="20" borderId="30" xfId="0" applyFont="1" applyFill="1" applyBorder="1" applyAlignment="1">
      <alignment horizontal="center" vertical="center"/>
    </xf>
    <xf numFmtId="0" fontId="30" fillId="20" borderId="5" xfId="0" applyFont="1" applyFill="1" applyBorder="1" applyAlignment="1">
      <alignment horizontal="center" vertical="center"/>
    </xf>
    <xf numFmtId="0" fontId="38" fillId="20" borderId="5" xfId="0" applyFont="1" applyFill="1" applyBorder="1" applyAlignment="1">
      <alignment horizontal="center" vertical="center"/>
    </xf>
    <xf numFmtId="0" fontId="38" fillId="20" borderId="6" xfId="0" applyFont="1" applyFill="1" applyBorder="1" applyAlignment="1">
      <alignment horizontal="center" vertical="center"/>
    </xf>
    <xf numFmtId="0" fontId="2" fillId="2" borderId="31" xfId="1" applyFill="1" applyBorder="1" applyProtection="1"/>
    <xf numFmtId="0" fontId="0" fillId="2" borderId="0" xfId="0" applyFill="1"/>
    <xf numFmtId="0" fontId="0" fillId="2" borderId="32" xfId="0" applyFill="1" applyBorder="1"/>
    <xf numFmtId="0" fontId="2" fillId="10" borderId="28" xfId="1" applyFill="1" applyBorder="1" applyProtection="1"/>
    <xf numFmtId="0" fontId="2" fillId="11" borderId="25" xfId="1" applyFill="1" applyBorder="1" applyProtection="1"/>
    <xf numFmtId="0" fontId="30" fillId="17" borderId="4" xfId="0" applyFont="1" applyFill="1" applyBorder="1" applyAlignment="1">
      <alignment horizontal="center" vertical="center"/>
    </xf>
    <xf numFmtId="0" fontId="30" fillId="17" borderId="34" xfId="0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0" fontId="13" fillId="0" borderId="0" xfId="0" quotePrefix="1" applyFont="1" applyAlignment="1" applyProtection="1">
      <alignment horizontal="center"/>
      <protection locked="0" hidden="1"/>
    </xf>
    <xf numFmtId="2" fontId="13" fillId="0" borderId="0" xfId="0" quotePrefix="1" applyNumberFormat="1" applyFont="1" applyProtection="1">
      <protection hidden="1"/>
    </xf>
    <xf numFmtId="14" fontId="0" fillId="0" borderId="0" xfId="0" applyNumberFormat="1" applyProtection="1">
      <protection locked="0"/>
    </xf>
    <xf numFmtId="0" fontId="13" fillId="0" borderId="0" xfId="0" quotePrefix="1" applyFont="1" applyAlignment="1" applyProtection="1">
      <alignment horizontal="center"/>
      <protection hidden="1"/>
    </xf>
    <xf numFmtId="0" fontId="39" fillId="7" borderId="4" xfId="0" applyFont="1" applyFill="1" applyBorder="1"/>
    <xf numFmtId="0" fontId="39" fillId="7" borderId="5" xfId="0" applyFont="1" applyFill="1" applyBorder="1"/>
    <xf numFmtId="0" fontId="39" fillId="7" borderId="6" xfId="0" applyFont="1" applyFill="1" applyBorder="1"/>
    <xf numFmtId="0" fontId="0" fillId="30" borderId="4" xfId="0" applyFill="1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10" borderId="1" xfId="0" applyFill="1" applyBorder="1" applyProtection="1">
      <protection locked="0"/>
    </xf>
    <xf numFmtId="0" fontId="1" fillId="21" borderId="1" xfId="0" applyFont="1" applyFill="1" applyBorder="1" applyAlignment="1" applyProtection="1">
      <alignment horizontal="center"/>
      <protection locked="0"/>
    </xf>
    <xf numFmtId="0" fontId="35" fillId="7" borderId="1" xfId="0" quotePrefix="1" applyFont="1" applyFill="1" applyBorder="1" applyAlignment="1" applyProtection="1">
      <alignment horizontal="center"/>
      <protection locked="0" hidden="1"/>
    </xf>
    <xf numFmtId="0" fontId="1" fillId="27" borderId="24" xfId="0" applyFont="1" applyFill="1" applyBorder="1" applyAlignment="1" applyProtection="1">
      <alignment horizontal="center"/>
      <protection locked="0"/>
    </xf>
    <xf numFmtId="0" fontId="0" fillId="27" borderId="22" xfId="0" applyFill="1" applyBorder="1" applyAlignment="1" applyProtection="1">
      <alignment horizontal="center"/>
      <protection locked="0"/>
    </xf>
    <xf numFmtId="0" fontId="10" fillId="9" borderId="36" xfId="0" applyFont="1" applyFill="1" applyBorder="1" applyAlignment="1" applyProtection="1">
      <alignment horizontal="center" vertical="center"/>
      <protection hidden="1"/>
    </xf>
    <xf numFmtId="0" fontId="10" fillId="11" borderId="36" xfId="0" applyFont="1" applyFill="1" applyBorder="1" applyAlignment="1" applyProtection="1">
      <alignment horizontal="center" vertical="center"/>
      <protection hidden="1"/>
    </xf>
    <xf numFmtId="0" fontId="10" fillId="14" borderId="36" xfId="0" applyFont="1" applyFill="1" applyBorder="1" applyAlignment="1" applyProtection="1">
      <alignment horizontal="center" vertical="center"/>
      <protection hidden="1"/>
    </xf>
    <xf numFmtId="0" fontId="10" fillId="14" borderId="37" xfId="0" applyFont="1" applyFill="1" applyBorder="1" applyAlignment="1" applyProtection="1">
      <alignment horizontal="center" vertical="center"/>
      <protection hidden="1"/>
    </xf>
    <xf numFmtId="0" fontId="11" fillId="10" borderId="12" xfId="0" applyFont="1" applyFill="1" applyBorder="1" applyAlignment="1" applyProtection="1">
      <alignment horizontal="center" vertical="center"/>
      <protection hidden="1"/>
    </xf>
    <xf numFmtId="0" fontId="11" fillId="2" borderId="12" xfId="0" applyFont="1" applyFill="1" applyBorder="1" applyAlignment="1" applyProtection="1">
      <alignment horizontal="center" vertical="center"/>
      <protection hidden="1"/>
    </xf>
    <xf numFmtId="2" fontId="15" fillId="18" borderId="12" xfId="0" applyNumberFormat="1" applyFont="1" applyFill="1" applyBorder="1" applyAlignment="1" applyProtection="1">
      <alignment horizontal="right" vertical="center"/>
      <protection hidden="1"/>
    </xf>
    <xf numFmtId="1" fontId="15" fillId="18" borderId="12" xfId="0" applyNumberFormat="1" applyFont="1" applyFill="1" applyBorder="1" applyAlignment="1" applyProtection="1">
      <alignment horizontal="center" vertical="center"/>
      <protection hidden="1"/>
    </xf>
    <xf numFmtId="164" fontId="13" fillId="0" borderId="0" xfId="0" applyNumberFormat="1" applyFont="1" applyAlignment="1" applyProtection="1">
      <alignment horizontal="center"/>
      <protection locked="0" hidden="1"/>
    </xf>
    <xf numFmtId="0" fontId="36" fillId="7" borderId="4" xfId="0" applyFont="1" applyFill="1" applyBorder="1"/>
    <xf numFmtId="0" fontId="36" fillId="7" borderId="5" xfId="0" applyFont="1" applyFill="1" applyBorder="1"/>
    <xf numFmtId="0" fontId="36" fillId="7" borderId="6" xfId="0" applyFont="1" applyFill="1" applyBorder="1"/>
    <xf numFmtId="0" fontId="2" fillId="10" borderId="1" xfId="1" applyFill="1" applyBorder="1" applyProtection="1">
      <protection locked="0"/>
    </xf>
    <xf numFmtId="0" fontId="2" fillId="11" borderId="7" xfId="1" applyFill="1" applyBorder="1" applyProtection="1">
      <protection locked="0"/>
    </xf>
    <xf numFmtId="0" fontId="0" fillId="29" borderId="9" xfId="0" applyFill="1" applyBorder="1" applyAlignment="1" applyProtection="1">
      <alignment horizontal="center"/>
      <protection locked="0"/>
    </xf>
    <xf numFmtId="0" fontId="0" fillId="29" borderId="10" xfId="0" applyFill="1" applyBorder="1" applyAlignment="1" applyProtection="1">
      <alignment horizontal="center"/>
      <protection locked="0"/>
    </xf>
    <xf numFmtId="0" fontId="3" fillId="20" borderId="8" xfId="0" applyFont="1" applyFill="1" applyBorder="1" applyAlignment="1" applyProtection="1">
      <alignment horizontal="center" vertical="center"/>
      <protection locked="0"/>
    </xf>
    <xf numFmtId="0" fontId="3" fillId="20" borderId="1" xfId="0" applyFont="1" applyFill="1" applyBorder="1" applyAlignment="1" applyProtection="1">
      <alignment vertical="center"/>
      <protection locked="0"/>
    </xf>
    <xf numFmtId="0" fontId="0" fillId="20" borderId="10" xfId="0" applyFill="1" applyBorder="1" applyProtection="1">
      <protection locked="0"/>
    </xf>
    <xf numFmtId="0" fontId="0" fillId="2" borderId="31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32" xfId="0" applyFill="1" applyBorder="1" applyProtection="1">
      <protection locked="0"/>
    </xf>
    <xf numFmtId="0" fontId="13" fillId="0" borderId="1" xfId="0" applyFont="1" applyBorder="1" applyAlignment="1" applyProtection="1">
      <alignment vertical="center"/>
      <protection locked="0" hidden="1"/>
    </xf>
    <xf numFmtId="0" fontId="13" fillId="0" borderId="1" xfId="0" quotePrefix="1" applyFont="1" applyBorder="1" applyAlignment="1" applyProtection="1">
      <alignment vertical="center"/>
      <protection locked="0" hidden="1"/>
    </xf>
    <xf numFmtId="164" fontId="13" fillId="0" borderId="1" xfId="0" applyNumberFormat="1" applyFont="1" applyBorder="1" applyAlignment="1" applyProtection="1">
      <alignment horizontal="center" vertical="center"/>
      <protection locked="0" hidden="1"/>
    </xf>
    <xf numFmtId="0" fontId="13" fillId="0" borderId="1" xfId="0" applyFont="1" applyBorder="1" applyAlignment="1" applyProtection="1">
      <alignment horizontal="right" vertical="center"/>
      <protection locked="0" hidden="1"/>
    </xf>
    <xf numFmtId="0" fontId="13" fillId="0" borderId="1" xfId="0" quotePrefix="1" applyFont="1" applyBorder="1" applyAlignment="1" applyProtection="1">
      <alignment horizontal="center" vertical="center"/>
      <protection locked="0" hidden="1"/>
    </xf>
    <xf numFmtId="2" fontId="13" fillId="0" borderId="1" xfId="0" applyNumberFormat="1" applyFont="1" applyBorder="1" applyAlignment="1" applyProtection="1">
      <alignment horizontal="right" vertical="center"/>
      <protection locked="0" hidden="1"/>
    </xf>
    <xf numFmtId="0" fontId="0" fillId="29" borderId="11" xfId="0" applyFill="1" applyBorder="1" applyAlignment="1" applyProtection="1">
      <alignment horizontal="center"/>
      <protection locked="0"/>
    </xf>
    <xf numFmtId="0" fontId="0" fillId="29" borderId="16" xfId="0" applyFill="1" applyBorder="1" applyAlignment="1" applyProtection="1">
      <alignment horizontal="center"/>
      <protection locked="0"/>
    </xf>
    <xf numFmtId="0" fontId="2" fillId="11" borderId="1" xfId="1" applyFill="1" applyBorder="1" applyProtection="1">
      <protection locked="0"/>
    </xf>
    <xf numFmtId="0" fontId="0" fillId="0" borderId="28" xfId="0" applyBorder="1" applyAlignment="1" applyProtection="1">
      <alignment horizontal="center"/>
      <protection locked="0"/>
    </xf>
    <xf numFmtId="0" fontId="3" fillId="20" borderId="9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31" xfId="1" applyFill="1" applyBorder="1" applyProtection="1">
      <protection locked="0"/>
    </xf>
    <xf numFmtId="0" fontId="0" fillId="20" borderId="9" xfId="0" applyFill="1" applyBorder="1" applyAlignment="1" applyProtection="1">
      <alignment horizontal="center"/>
      <protection locked="0"/>
    </xf>
    <xf numFmtId="0" fontId="2" fillId="20" borderId="1" xfId="1" applyFill="1" applyBorder="1" applyProtection="1">
      <protection locked="0"/>
    </xf>
    <xf numFmtId="0" fontId="0" fillId="20" borderId="1" xfId="0" applyFill="1" applyBorder="1" applyProtection="1">
      <protection locked="0"/>
    </xf>
    <xf numFmtId="0" fontId="0" fillId="20" borderId="11" xfId="0" applyFill="1" applyBorder="1" applyAlignment="1" applyProtection="1">
      <alignment horizontal="center"/>
      <protection locked="0"/>
    </xf>
    <xf numFmtId="0" fontId="0" fillId="20" borderId="12" xfId="0" applyFill="1" applyBorder="1" applyProtection="1">
      <protection locked="0"/>
    </xf>
    <xf numFmtId="0" fontId="0" fillId="20" borderId="16" xfId="0" applyFill="1" applyBorder="1" applyProtection="1">
      <protection locked="0"/>
    </xf>
    <xf numFmtId="0" fontId="2" fillId="2" borderId="15" xfId="1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4" fillId="0" borderId="0" xfId="1" applyFont="1" applyFill="1" applyProtection="1">
      <protection locked="0"/>
    </xf>
    <xf numFmtId="0" fontId="2" fillId="0" borderId="0" xfId="1" applyFill="1" applyProtection="1">
      <protection locked="0"/>
    </xf>
    <xf numFmtId="0" fontId="2" fillId="10" borderId="1" xfId="2" applyFill="1" applyBorder="1" applyProtection="1">
      <protection locked="0"/>
    </xf>
    <xf numFmtId="0" fontId="3" fillId="10" borderId="1" xfId="0" applyFont="1" applyFill="1" applyBorder="1" applyAlignment="1" applyProtection="1">
      <alignment vertical="center"/>
      <protection locked="0"/>
    </xf>
    <xf numFmtId="0" fontId="3" fillId="11" borderId="1" xfId="0" applyFont="1" applyFill="1" applyBorder="1" applyAlignment="1" applyProtection="1">
      <alignment vertic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0" fontId="1" fillId="0" borderId="0" xfId="0" applyFont="1" applyAlignment="1" applyProtection="1">
      <alignment horizontal="center"/>
      <protection hidden="1"/>
    </xf>
    <xf numFmtId="0" fontId="1" fillId="10" borderId="38" xfId="0" applyFont="1" applyFill="1" applyBorder="1" applyAlignment="1" applyProtection="1">
      <alignment horizontal="right" vertical="center"/>
      <protection hidden="1"/>
    </xf>
    <xf numFmtId="2" fontId="15" fillId="6" borderId="39" xfId="0" applyNumberFormat="1" applyFont="1" applyFill="1" applyBorder="1" applyAlignment="1" applyProtection="1">
      <alignment horizontal="right" vertical="center"/>
      <protection hidden="1"/>
    </xf>
    <xf numFmtId="0" fontId="10" fillId="14" borderId="35" xfId="0" applyFont="1" applyFill="1" applyBorder="1" applyAlignment="1" applyProtection="1">
      <alignment horizontal="center" vertical="center"/>
      <protection hidden="1"/>
    </xf>
    <xf numFmtId="0" fontId="11" fillId="16" borderId="11" xfId="0" applyFont="1" applyFill="1" applyBorder="1" applyAlignment="1" applyProtection="1">
      <alignment horizontal="center" vertical="center"/>
      <protection hidden="1"/>
    </xf>
    <xf numFmtId="10" fontId="0" fillId="16" borderId="12" xfId="13" applyNumberFormat="1" applyFont="1" applyFill="1" applyBorder="1" applyAlignment="1" applyProtection="1">
      <alignment horizontal="center"/>
      <protection hidden="1"/>
    </xf>
    <xf numFmtId="1" fontId="0" fillId="13" borderId="16" xfId="13" applyNumberFormat="1" applyFont="1" applyFill="1" applyBorder="1" applyAlignment="1" applyProtection="1">
      <alignment horizontal="center" vertical="center"/>
      <protection locked="0"/>
    </xf>
    <xf numFmtId="0" fontId="41" fillId="31" borderId="1" xfId="0" applyFont="1" applyFill="1" applyBorder="1" applyAlignment="1">
      <alignment horizontal="center" vertical="center" wrapText="1"/>
    </xf>
    <xf numFmtId="0" fontId="29" fillId="0" borderId="0" xfId="0" applyFont="1" applyAlignment="1" applyProtection="1">
      <alignment horizontal="center"/>
      <protection hidden="1"/>
    </xf>
    <xf numFmtId="0" fontId="29" fillId="0" borderId="0" xfId="0" quotePrefix="1" applyFont="1" applyAlignment="1" applyProtection="1">
      <alignment horizontal="center"/>
      <protection hidden="1"/>
    </xf>
    <xf numFmtId="0" fontId="38" fillId="7" borderId="1" xfId="0" applyFont="1" applyFill="1" applyBorder="1" applyAlignment="1">
      <alignment horizontal="center"/>
    </xf>
    <xf numFmtId="0" fontId="38" fillId="7" borderId="1" xfId="0" quotePrefix="1" applyFont="1" applyFill="1" applyBorder="1" applyAlignment="1">
      <alignment horizontal="center"/>
    </xf>
    <xf numFmtId="0" fontId="0" fillId="30" borderId="1" xfId="0" applyFill="1" applyBorder="1" applyAlignment="1">
      <alignment horizontal="center" vertical="center"/>
    </xf>
    <xf numFmtId="0" fontId="13" fillId="0" borderId="0" xfId="0" applyFont="1" applyAlignment="1" applyProtection="1">
      <alignment horizontal="left"/>
      <protection hidden="1"/>
    </xf>
    <xf numFmtId="0" fontId="29" fillId="19" borderId="1" xfId="0" applyFont="1" applyFill="1" applyBorder="1" applyAlignment="1">
      <alignment horizontal="center"/>
    </xf>
    <xf numFmtId="2" fontId="29" fillId="0" borderId="0" xfId="0" applyNumberFormat="1" applyFont="1" applyAlignment="1" applyProtection="1">
      <alignment horizontal="center"/>
      <protection hidden="1"/>
    </xf>
    <xf numFmtId="0" fontId="4" fillId="20" borderId="0" xfId="0" quotePrefix="1" applyFont="1" applyFill="1" applyAlignment="1" applyProtection="1">
      <alignment horizontal="center"/>
      <protection locked="0"/>
    </xf>
    <xf numFmtId="0" fontId="42" fillId="20" borderId="40" xfId="0" applyFont="1" applyFill="1" applyBorder="1" applyAlignment="1">
      <alignment horizontal="center" vertical="center"/>
    </xf>
    <xf numFmtId="0" fontId="15" fillId="20" borderId="41" xfId="0" applyFont="1" applyFill="1" applyBorder="1" applyAlignment="1" applyProtection="1">
      <alignment horizontal="center" vertical="center"/>
      <protection locked="0"/>
    </xf>
    <xf numFmtId="0" fontId="0" fillId="20" borderId="41" xfId="0" applyFill="1" applyBorder="1" applyAlignment="1">
      <alignment horizontal="right" vertical="center"/>
    </xf>
    <xf numFmtId="0" fontId="0" fillId="20" borderId="42" xfId="0" applyFill="1" applyBorder="1" applyAlignment="1" applyProtection="1">
      <alignment horizontal="center" vertical="center"/>
      <protection locked="0"/>
    </xf>
    <xf numFmtId="0" fontId="1" fillId="12" borderId="35" xfId="0" applyFont="1" applyFill="1" applyBorder="1" applyAlignment="1" applyProtection="1">
      <alignment horizontal="center" vertical="center"/>
      <protection hidden="1"/>
    </xf>
    <xf numFmtId="0" fontId="1" fillId="13" borderId="36" xfId="0" applyFont="1" applyFill="1" applyBorder="1" applyAlignment="1" applyProtection="1">
      <alignment horizontal="center" vertical="center"/>
      <protection hidden="1"/>
    </xf>
    <xf numFmtId="0" fontId="1" fillId="11" borderId="36" xfId="0" applyFont="1" applyFill="1" applyBorder="1" applyAlignment="1" applyProtection="1">
      <alignment horizontal="center" vertical="center"/>
      <protection hidden="1"/>
    </xf>
    <xf numFmtId="0" fontId="1" fillId="7" borderId="36" xfId="0" applyFont="1" applyFill="1" applyBorder="1" applyAlignment="1" applyProtection="1">
      <alignment horizontal="center" vertical="center"/>
      <protection hidden="1"/>
    </xf>
    <xf numFmtId="0" fontId="1" fillId="23" borderId="36" xfId="0" applyFont="1" applyFill="1" applyBorder="1" applyAlignment="1" applyProtection="1">
      <alignment horizontal="center" vertical="center"/>
      <protection hidden="1"/>
    </xf>
    <xf numFmtId="0" fontId="1" fillId="14" borderId="36" xfId="0" applyFont="1" applyFill="1" applyBorder="1" applyAlignment="1" applyProtection="1">
      <alignment horizontal="center" vertical="center"/>
      <protection hidden="1"/>
    </xf>
    <xf numFmtId="0" fontId="1" fillId="10" borderId="36" xfId="0" applyFont="1" applyFill="1" applyBorder="1" applyAlignment="1" applyProtection="1">
      <alignment horizontal="center" vertical="center"/>
      <protection hidden="1"/>
    </xf>
    <xf numFmtId="0" fontId="1" fillId="14" borderId="37" xfId="0" applyFont="1" applyFill="1" applyBorder="1" applyAlignment="1" applyProtection="1">
      <alignment horizontal="center" vertical="center" wrapText="1"/>
      <protection hidden="1"/>
    </xf>
    <xf numFmtId="0" fontId="4" fillId="20" borderId="31" xfId="0" quotePrefix="1" applyFont="1" applyFill="1" applyBorder="1" applyAlignment="1" applyProtection="1">
      <alignment horizontal="center"/>
      <protection locked="0"/>
    </xf>
    <xf numFmtId="0" fontId="4" fillId="20" borderId="32" xfId="0" quotePrefix="1" applyFont="1" applyFill="1" applyBorder="1" applyAlignment="1" applyProtection="1">
      <alignment horizontal="center"/>
      <protection locked="0"/>
    </xf>
    <xf numFmtId="0" fontId="15" fillId="9" borderId="43" xfId="0" applyFont="1" applyFill="1" applyBorder="1" applyAlignment="1" applyProtection="1">
      <alignment horizontal="center" vertical="center"/>
      <protection hidden="1"/>
    </xf>
    <xf numFmtId="0" fontId="15" fillId="3" borderId="3" xfId="0" applyFont="1" applyFill="1" applyBorder="1" applyAlignment="1" applyProtection="1">
      <alignment horizontal="center" vertical="center"/>
      <protection hidden="1"/>
    </xf>
    <xf numFmtId="0" fontId="15" fillId="2" borderId="3" xfId="0" applyFont="1" applyFill="1" applyBorder="1" applyAlignment="1" applyProtection="1">
      <alignment horizontal="center" vertical="center"/>
      <protection hidden="1"/>
    </xf>
    <xf numFmtId="0" fontId="15" fillId="20" borderId="3" xfId="0" applyFont="1" applyFill="1" applyBorder="1" applyAlignment="1" applyProtection="1">
      <alignment horizontal="center" vertical="center"/>
      <protection hidden="1"/>
    </xf>
    <xf numFmtId="0" fontId="15" fillId="27" borderId="3" xfId="0" applyFont="1" applyFill="1" applyBorder="1" applyAlignment="1" applyProtection="1">
      <alignment horizontal="center" vertical="center"/>
      <protection hidden="1"/>
    </xf>
    <xf numFmtId="0" fontId="15" fillId="15" borderId="3" xfId="0" applyFont="1" applyFill="1" applyBorder="1" applyAlignment="1" applyProtection="1">
      <alignment horizontal="center" vertical="center"/>
      <protection hidden="1"/>
    </xf>
    <xf numFmtId="0" fontId="15" fillId="6" borderId="3" xfId="0" applyFont="1" applyFill="1" applyBorder="1" applyAlignment="1" applyProtection="1">
      <alignment horizontal="center" vertical="center"/>
      <protection hidden="1"/>
    </xf>
    <xf numFmtId="0" fontId="15" fillId="15" borderId="44" xfId="0" applyFont="1" applyFill="1" applyBorder="1" applyAlignment="1" applyProtection="1">
      <alignment horizontal="center" vertical="center"/>
      <protection hidden="1"/>
    </xf>
    <xf numFmtId="0" fontId="41" fillId="31" borderId="28" xfId="0" applyFont="1" applyFill="1" applyBorder="1" applyAlignment="1">
      <alignment horizontal="center" vertical="center" wrapText="1"/>
    </xf>
    <xf numFmtId="0" fontId="0" fillId="6" borderId="33" xfId="0" applyFill="1" applyBorder="1"/>
    <xf numFmtId="0" fontId="0" fillId="6" borderId="33" xfId="0" quotePrefix="1" applyFill="1" applyBorder="1" applyProtection="1">
      <protection locked="0"/>
    </xf>
    <xf numFmtId="0" fontId="0" fillId="0" borderId="42" xfId="0" applyBorder="1" applyAlignment="1">
      <alignment horizontal="center" vertical="center"/>
    </xf>
    <xf numFmtId="0" fontId="4" fillId="5" borderId="45" xfId="0" quotePrefix="1" applyFont="1" applyFill="1" applyBorder="1" applyAlignment="1" applyProtection="1">
      <alignment horizontal="center"/>
      <protection locked="0"/>
    </xf>
    <xf numFmtId="0" fontId="19" fillId="0" borderId="13" xfId="0" applyFont="1" applyBorder="1" applyAlignment="1" applyProtection="1">
      <alignment horizontal="center" vertical="center"/>
      <protection hidden="1"/>
    </xf>
    <xf numFmtId="0" fontId="0" fillId="9" borderId="1" xfId="0" applyFill="1" applyBorder="1" applyProtection="1">
      <protection locked="0" hidden="1"/>
    </xf>
    <xf numFmtId="0" fontId="0" fillId="9" borderId="1" xfId="0" applyFill="1" applyBorder="1" applyAlignment="1" applyProtection="1">
      <alignment horizontal="center"/>
      <protection locked="0" hidden="1"/>
    </xf>
    <xf numFmtId="14" fontId="0" fillId="9" borderId="1" xfId="0" applyNumberFormat="1" applyFill="1" applyBorder="1" applyAlignment="1" applyProtection="1">
      <alignment horizontal="center"/>
      <protection locked="0" hidden="1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0" fillId="11" borderId="31" xfId="0" applyFill="1" applyBorder="1" applyProtection="1">
      <protection locked="0"/>
    </xf>
    <xf numFmtId="0" fontId="0" fillId="11" borderId="32" xfId="0" applyFill="1" applyBorder="1"/>
    <xf numFmtId="0" fontId="0" fillId="11" borderId="32" xfId="0" applyFill="1" applyBorder="1" applyProtection="1">
      <protection locked="0"/>
    </xf>
    <xf numFmtId="0" fontId="0" fillId="0" borderId="0" xfId="0" applyProtection="1">
      <protection locked="0" hidden="1"/>
    </xf>
    <xf numFmtId="0" fontId="0" fillId="9" borderId="9" xfId="0" applyFill="1" applyBorder="1" applyAlignment="1" applyProtection="1">
      <alignment vertical="center"/>
      <protection locked="0" hidden="1"/>
    </xf>
    <xf numFmtId="0" fontId="0" fillId="29" borderId="10" xfId="0" applyFill="1" applyBorder="1" applyAlignment="1" applyProtection="1">
      <alignment horizontal="center" vertical="center"/>
      <protection locked="0"/>
    </xf>
    <xf numFmtId="14" fontId="0" fillId="29" borderId="10" xfId="0" applyNumberFormat="1" applyFill="1" applyBorder="1" applyAlignment="1" applyProtection="1">
      <alignment horizontal="center" vertical="center"/>
      <protection locked="0"/>
    </xf>
    <xf numFmtId="0" fontId="0" fillId="9" borderId="11" xfId="0" applyFill="1" applyBorder="1" applyAlignment="1" applyProtection="1">
      <alignment vertical="center"/>
      <protection locked="0" hidden="1"/>
    </xf>
    <xf numFmtId="0" fontId="15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 hidden="1"/>
    </xf>
    <xf numFmtId="14" fontId="0" fillId="29" borderId="16" xfId="0" applyNumberFormat="1" applyFill="1" applyBorder="1" applyAlignment="1" applyProtection="1">
      <alignment horizontal="center" vertical="center"/>
      <protection locked="0"/>
    </xf>
    <xf numFmtId="2" fontId="0" fillId="0" borderId="1" xfId="0" quotePrefix="1" applyNumberFormat="1" applyBorder="1" applyProtection="1">
      <protection hidden="1"/>
    </xf>
    <xf numFmtId="2" fontId="0" fillId="0" borderId="0" xfId="0" applyNumberFormat="1" applyProtection="1">
      <protection locked="0"/>
    </xf>
    <xf numFmtId="2" fontId="1" fillId="21" borderId="1" xfId="0" applyNumberFormat="1" applyFont="1" applyFill="1" applyBorder="1" applyAlignment="1" applyProtection="1">
      <alignment horizontal="center"/>
      <protection locked="0"/>
    </xf>
    <xf numFmtId="14" fontId="1" fillId="21" borderId="1" xfId="0" applyNumberFormat="1" applyFont="1" applyFill="1" applyBorder="1" applyAlignment="1" applyProtection="1">
      <alignment horizontal="center"/>
      <protection locked="0"/>
    </xf>
    <xf numFmtId="0" fontId="10" fillId="8" borderId="46" xfId="0" applyFont="1" applyFill="1" applyBorder="1" applyAlignment="1" applyProtection="1">
      <alignment horizontal="center" vertical="center"/>
      <protection hidden="1"/>
    </xf>
    <xf numFmtId="0" fontId="11" fillId="7" borderId="47" xfId="0" applyFont="1" applyFill="1" applyBorder="1" applyAlignment="1" applyProtection="1">
      <alignment horizontal="center" vertical="center"/>
      <protection hidden="1"/>
    </xf>
    <xf numFmtId="0" fontId="10" fillId="8" borderId="40" xfId="0" applyFont="1" applyFill="1" applyBorder="1" applyAlignment="1" applyProtection="1">
      <alignment horizontal="center" vertical="center"/>
      <protection locked="0"/>
    </xf>
    <xf numFmtId="0" fontId="10" fillId="0" borderId="41" xfId="0" applyFont="1" applyBorder="1" applyAlignment="1" applyProtection="1">
      <alignment vertical="center"/>
      <protection locked="0"/>
    </xf>
    <xf numFmtId="0" fontId="11" fillId="0" borderId="42" xfId="0" applyFont="1" applyBorder="1" applyProtection="1">
      <protection locked="0"/>
    </xf>
    <xf numFmtId="0" fontId="11" fillId="7" borderId="15" xfId="0" applyFont="1" applyFill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vertical="center"/>
      <protection locked="0"/>
    </xf>
    <xf numFmtId="0" fontId="11" fillId="0" borderId="19" xfId="0" applyFont="1" applyBorder="1" applyProtection="1">
      <protection locked="0"/>
    </xf>
    <xf numFmtId="0" fontId="10" fillId="4" borderId="48" xfId="0" applyFont="1" applyFill="1" applyBorder="1" applyAlignment="1" applyProtection="1">
      <alignment horizontal="center" vertical="center"/>
      <protection locked="0"/>
    </xf>
    <xf numFmtId="0" fontId="11" fillId="4" borderId="49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left"/>
      <protection hidden="1"/>
    </xf>
    <xf numFmtId="0" fontId="1" fillId="6" borderId="33" xfId="0" applyFont="1" applyFill="1" applyBorder="1"/>
    <xf numFmtId="0" fontId="1" fillId="6" borderId="13" xfId="0" applyFont="1" applyFill="1" applyBorder="1" applyProtection="1">
      <protection locked="0"/>
    </xf>
    <xf numFmtId="0" fontId="0" fillId="6" borderId="33" xfId="0" applyFill="1" applyBorder="1" applyAlignment="1" applyProtection="1">
      <alignment horizontal="left" vertical="center"/>
      <protection locked="0"/>
    </xf>
    <xf numFmtId="0" fontId="0" fillId="6" borderId="33" xfId="0" applyFill="1" applyBorder="1" applyAlignment="1">
      <alignment horizontal="left"/>
    </xf>
    <xf numFmtId="0" fontId="0" fillId="6" borderId="14" xfId="0" applyFill="1" applyBorder="1" applyAlignment="1">
      <alignment horizontal="center" vertical="center"/>
    </xf>
    <xf numFmtId="0" fontId="46" fillId="6" borderId="33" xfId="0" applyFont="1" applyFill="1" applyBorder="1" applyAlignment="1">
      <alignment horizontal="center" vertical="center"/>
    </xf>
    <xf numFmtId="0" fontId="46" fillId="6" borderId="33" xfId="0" applyFont="1" applyFill="1" applyBorder="1" applyAlignment="1">
      <alignment horizontal="left" vertical="center"/>
    </xf>
    <xf numFmtId="0" fontId="45" fillId="6" borderId="13" xfId="0" applyFont="1" applyFill="1" applyBorder="1" applyAlignment="1">
      <alignment horizontal="right" vertical="center"/>
    </xf>
    <xf numFmtId="0" fontId="45" fillId="6" borderId="13" xfId="0" applyFont="1" applyFill="1" applyBorder="1" applyAlignment="1" applyProtection="1">
      <alignment horizontal="right" vertical="center"/>
      <protection locked="0"/>
    </xf>
    <xf numFmtId="0" fontId="16" fillId="0" borderId="0" xfId="0" quotePrefix="1" applyFont="1" applyAlignment="1" applyProtection="1">
      <alignment horizontal="center"/>
      <protection hidden="1"/>
    </xf>
    <xf numFmtId="1" fontId="16" fillId="0" borderId="0" xfId="0" applyNumberFormat="1" applyFont="1" applyAlignment="1" applyProtection="1">
      <alignment horizontal="center"/>
      <protection hidden="1"/>
    </xf>
    <xf numFmtId="164" fontId="16" fillId="0" borderId="0" xfId="0" applyNumberFormat="1" applyFont="1" applyAlignment="1" applyProtection="1">
      <alignment horizontal="center"/>
      <protection hidden="1"/>
    </xf>
    <xf numFmtId="0" fontId="13" fillId="8" borderId="0" xfId="0" applyFont="1" applyFill="1"/>
    <xf numFmtId="2" fontId="13" fillId="4" borderId="0" xfId="0" applyNumberFormat="1" applyFont="1" applyFill="1" applyAlignment="1" applyProtection="1">
      <alignment horizontal="right"/>
      <protection locked="0" hidden="1"/>
    </xf>
    <xf numFmtId="0" fontId="11" fillId="27" borderId="22" xfId="0" applyFont="1" applyFill="1" applyBorder="1" applyAlignment="1" applyProtection="1">
      <alignment horizontal="left" vertical="center"/>
      <protection hidden="1"/>
    </xf>
    <xf numFmtId="0" fontId="0" fillId="27" borderId="1" xfId="0" applyFill="1" applyBorder="1"/>
    <xf numFmtId="0" fontId="29" fillId="0" borderId="0" xfId="0" quotePrefix="1" applyFont="1" applyAlignment="1">
      <alignment horizontal="center"/>
    </xf>
    <xf numFmtId="0" fontId="38" fillId="7" borderId="1" xfId="0" applyFont="1" applyFill="1" applyBorder="1" applyAlignment="1">
      <alignment horizontal="center" vertical="center"/>
    </xf>
    <xf numFmtId="0" fontId="38" fillId="7" borderId="1" xfId="0" applyFont="1" applyFill="1" applyBorder="1" applyAlignment="1">
      <alignment vertical="center"/>
    </xf>
    <xf numFmtId="0" fontId="38" fillId="7" borderId="1" xfId="0" quotePrefix="1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 applyProtection="1">
      <alignment horizontal="center" vertical="center"/>
      <protection locked="0" hidden="1"/>
    </xf>
    <xf numFmtId="164" fontId="13" fillId="0" borderId="0" xfId="0" applyNumberFormat="1" applyFont="1" applyAlignment="1" applyProtection="1">
      <alignment horizontal="center" vertical="center"/>
      <protection hidden="1"/>
    </xf>
    <xf numFmtId="1" fontId="13" fillId="0" borderId="0" xfId="0" applyNumberFormat="1" applyFont="1" applyAlignment="1" applyProtection="1">
      <alignment horizontal="center" vertical="center"/>
      <protection hidden="1"/>
    </xf>
    <xf numFmtId="0" fontId="0" fillId="0" borderId="1" xfId="0" quotePrefix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164" fontId="0" fillId="0" borderId="1" xfId="0" applyNumberFormat="1" applyBorder="1" applyAlignment="1" applyProtection="1">
      <alignment horizontal="center" vertical="center"/>
      <protection hidden="1"/>
    </xf>
    <xf numFmtId="14" fontId="0" fillId="0" borderId="1" xfId="0" applyNumberFormat="1" applyBorder="1" applyAlignment="1" applyProtection="1">
      <alignment horizontal="center" vertical="center"/>
      <protection hidden="1"/>
    </xf>
    <xf numFmtId="0" fontId="0" fillId="6" borderId="3" xfId="0" applyFill="1" applyBorder="1" applyProtection="1">
      <protection hidden="1"/>
    </xf>
    <xf numFmtId="14" fontId="10" fillId="27" borderId="24" xfId="0" applyNumberFormat="1" applyFont="1" applyFill="1" applyBorder="1" applyAlignment="1" applyProtection="1">
      <alignment horizontal="center" vertical="center"/>
      <protection locked="0"/>
    </xf>
    <xf numFmtId="14" fontId="11" fillId="27" borderId="22" xfId="0" applyNumberFormat="1" applyFont="1" applyFill="1" applyBorder="1" applyAlignment="1" applyProtection="1">
      <alignment horizontal="center" vertical="center"/>
      <protection hidden="1"/>
    </xf>
    <xf numFmtId="14" fontId="17" fillId="13" borderId="21" xfId="0" applyNumberFormat="1" applyFont="1" applyFill="1" applyBorder="1" applyAlignment="1" applyProtection="1">
      <alignment horizontal="center" vertical="center"/>
      <protection hidden="1"/>
    </xf>
    <xf numFmtId="14" fontId="35" fillId="7" borderId="1" xfId="0" applyNumberFormat="1" applyFont="1" applyFill="1" applyBorder="1" applyAlignment="1" applyProtection="1">
      <alignment horizontal="center"/>
      <protection locked="0" hidden="1"/>
    </xf>
    <xf numFmtId="14" fontId="23" fillId="0" borderId="0" xfId="0" applyNumberFormat="1" applyFont="1" applyAlignment="1" applyProtection="1">
      <alignment wrapText="1"/>
      <protection hidden="1"/>
    </xf>
    <xf numFmtId="0" fontId="32" fillId="21" borderId="2" xfId="0" applyFont="1" applyFill="1" applyBorder="1" applyAlignment="1" applyProtection="1">
      <alignment horizontal="center" vertical="center"/>
      <protection hidden="1"/>
    </xf>
    <xf numFmtId="0" fontId="31" fillId="20" borderId="2" xfId="0" applyFont="1" applyFill="1" applyBorder="1" applyAlignment="1" applyProtection="1">
      <alignment horizontal="center" vertical="center"/>
      <protection hidden="1"/>
    </xf>
    <xf numFmtId="0" fontId="28" fillId="5" borderId="59" xfId="0" applyFont="1" applyFill="1" applyBorder="1" applyAlignment="1" applyProtection="1">
      <alignment horizontal="center" vertical="center"/>
      <protection hidden="1"/>
    </xf>
    <xf numFmtId="0" fontId="28" fillId="5" borderId="34" xfId="0" applyFont="1" applyFill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/>
    </xf>
    <xf numFmtId="2" fontId="13" fillId="0" borderId="0" xfId="0" quotePrefix="1" applyNumberFormat="1" applyFont="1"/>
    <xf numFmtId="0" fontId="0" fillId="0" borderId="0" xfId="0" applyAlignment="1">
      <alignment vertical="top" wrapText="1"/>
    </xf>
    <xf numFmtId="0" fontId="0" fillId="7" borderId="1" xfId="0" applyFill="1" applyBorder="1" applyProtection="1">
      <protection locked="0"/>
    </xf>
    <xf numFmtId="164" fontId="0" fillId="5" borderId="1" xfId="0" applyNumberFormat="1" applyFill="1" applyBorder="1"/>
    <xf numFmtId="0" fontId="1" fillId="5" borderId="35" xfId="0" applyFont="1" applyFill="1" applyBorder="1" applyAlignment="1" applyProtection="1">
      <alignment horizontal="center"/>
      <protection locked="0"/>
    </xf>
    <xf numFmtId="0" fontId="1" fillId="5" borderId="37" xfId="0" applyFont="1" applyFill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 applyProtection="1">
      <alignment horizontal="left"/>
      <protection locked="0"/>
    </xf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6" xfId="0" applyBorder="1" applyAlignment="1" applyProtection="1">
      <alignment horizontal="left"/>
      <protection locked="0"/>
    </xf>
    <xf numFmtId="0" fontId="18" fillId="0" borderId="13" xfId="0" applyFont="1" applyBorder="1" applyAlignment="1" applyProtection="1">
      <alignment horizontal="center" vertical="center"/>
      <protection hidden="1"/>
    </xf>
    <xf numFmtId="0" fontId="18" fillId="0" borderId="14" xfId="0" applyFont="1" applyBorder="1" applyAlignment="1" applyProtection="1">
      <alignment horizontal="center" vertical="center"/>
      <protection hidden="1"/>
    </xf>
    <xf numFmtId="0" fontId="20" fillId="2" borderId="13" xfId="0" applyFont="1" applyFill="1" applyBorder="1" applyAlignment="1">
      <alignment horizontal="center"/>
    </xf>
    <xf numFmtId="0" fontId="20" fillId="2" borderId="33" xfId="0" applyFont="1" applyFill="1" applyBorder="1" applyAlignment="1">
      <alignment horizontal="center"/>
    </xf>
    <xf numFmtId="0" fontId="20" fillId="2" borderId="14" xfId="0" applyFont="1" applyFill="1" applyBorder="1" applyAlignment="1">
      <alignment horizontal="center"/>
    </xf>
    <xf numFmtId="0" fontId="44" fillId="11" borderId="40" xfId="0" applyFont="1" applyFill="1" applyBorder="1" applyAlignment="1" applyProtection="1">
      <alignment horizontal="center" vertical="center"/>
      <protection locked="0"/>
    </xf>
    <xf numFmtId="0" fontId="44" fillId="11" borderId="42" xfId="0" applyFont="1" applyFill="1" applyBorder="1" applyAlignment="1" applyProtection="1">
      <alignment horizontal="center" vertical="center"/>
      <protection locked="0"/>
    </xf>
  </cellXfs>
  <cellStyles count="59">
    <cellStyle name="20% - Accent1" xfId="36" builtinId="30" customBuiltin="1"/>
    <cellStyle name="20% - Accent2" xfId="40" builtinId="34" customBuiltin="1"/>
    <cellStyle name="20% - Accent3" xfId="44" builtinId="38" customBuiltin="1"/>
    <cellStyle name="20% - Accent4" xfId="48" builtinId="42" customBuiltin="1"/>
    <cellStyle name="20% - Accent5" xfId="52" builtinId="46" customBuiltin="1"/>
    <cellStyle name="20% - Accent6" xfId="56" builtinId="50" customBuiltin="1"/>
    <cellStyle name="40% - Accent1" xfId="37" builtinId="31" customBuiltin="1"/>
    <cellStyle name="40% - Accent2" xfId="41" builtinId="35" customBuiltin="1"/>
    <cellStyle name="40% - Accent3" xfId="45" builtinId="39" customBuiltin="1"/>
    <cellStyle name="40% - Accent4" xfId="49" builtinId="43" customBuiltin="1"/>
    <cellStyle name="40% - Accent5" xfId="53" builtinId="47" customBuiltin="1"/>
    <cellStyle name="40% - Accent6" xfId="57" builtinId="51" customBuiltin="1"/>
    <cellStyle name="60% - Accent1" xfId="38" builtinId="32" customBuiltin="1"/>
    <cellStyle name="60% - Accent2" xfId="42" builtinId="36" customBuiltin="1"/>
    <cellStyle name="60% - Accent3" xfId="46" builtinId="40" customBuiltin="1"/>
    <cellStyle name="60% - Accent4" xfId="50" builtinId="44" customBuiltin="1"/>
    <cellStyle name="60% - Accent5" xfId="54" builtinId="48" customBuiltin="1"/>
    <cellStyle name="60% - Accent6" xfId="58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7" builtinId="41" customBuiltin="1"/>
    <cellStyle name="Accent5" xfId="51" builtinId="45" customBuiltin="1"/>
    <cellStyle name="Accent6" xfId="55" builtinId="49" customBuiltin="1"/>
    <cellStyle name="Bad" xfId="24" builtinId="27" customBuiltin="1"/>
    <cellStyle name="Calculation" xfId="28" builtinId="22" customBuiltin="1"/>
    <cellStyle name="Check Cell" xfId="30" builtinId="23" customBuiltin="1"/>
    <cellStyle name="Explanatory Text" xfId="33" builtinId="53" customBuiltin="1"/>
    <cellStyle name="Good" xfId="23" builtinId="26" customBuiltin="1"/>
    <cellStyle name="Heading 1" xfId="19" builtinId="16" customBuiltin="1"/>
    <cellStyle name="Heading 2" xfId="20" builtinId="17" customBuiltin="1"/>
    <cellStyle name="Heading 3" xfId="21" builtinId="18" customBuiltin="1"/>
    <cellStyle name="Heading 4" xfId="22" builtinId="19" customBuiltin="1"/>
    <cellStyle name="Input" xfId="26" builtinId="20" customBuiltin="1"/>
    <cellStyle name="Linked Cell" xfId="29" builtinId="24" customBuiltin="1"/>
    <cellStyle name="Neutral" xfId="25" builtinId="28" customBuiltin="1"/>
    <cellStyle name="Normal" xfId="0" builtinId="0"/>
    <cellStyle name="Normal 10" xfId="14" xr:uid="{00000000-0005-0000-0000-000001000000}"/>
    <cellStyle name="Normal 11" xfId="15" xr:uid="{00000000-0005-0000-0000-000002000000}"/>
    <cellStyle name="Normal 12" xfId="16" xr:uid="{00000000-0005-0000-0000-000003000000}"/>
    <cellStyle name="Normal 13" xfId="17" xr:uid="{1C140225-72E4-406D-9CF6-8FEBEE9322E3}"/>
    <cellStyle name="Normal 2" xfId="2" xr:uid="{00000000-0005-0000-0000-000004000000}"/>
    <cellStyle name="Normal 3" xfId="1" xr:uid="{00000000-0005-0000-0000-000005000000}"/>
    <cellStyle name="Normal 4" xfId="3" xr:uid="{00000000-0005-0000-0000-000006000000}"/>
    <cellStyle name="Normal 5" xfId="4" xr:uid="{00000000-0005-0000-0000-000007000000}"/>
    <cellStyle name="Normal 5 2" xfId="9" xr:uid="{00000000-0005-0000-0000-000008000000}"/>
    <cellStyle name="Normal 6" xfId="5" xr:uid="{00000000-0005-0000-0000-000009000000}"/>
    <cellStyle name="Normal 7" xfId="6" xr:uid="{00000000-0005-0000-0000-00000A000000}"/>
    <cellStyle name="Normal 7 2" xfId="10" xr:uid="{00000000-0005-0000-0000-00000B000000}"/>
    <cellStyle name="Normal 8" xfId="7" xr:uid="{00000000-0005-0000-0000-00000C000000}"/>
    <cellStyle name="Normal 8 2" xfId="11" xr:uid="{00000000-0005-0000-0000-00000D000000}"/>
    <cellStyle name="Normal 9" xfId="8" xr:uid="{00000000-0005-0000-0000-00000E000000}"/>
    <cellStyle name="Normal 9 2" xfId="12" xr:uid="{00000000-0005-0000-0000-00000F000000}"/>
    <cellStyle name="Note" xfId="32" builtinId="10" customBuiltin="1"/>
    <cellStyle name="Output" xfId="27" builtinId="21" customBuiltin="1"/>
    <cellStyle name="Percent" xfId="13" builtinId="5"/>
    <cellStyle name="Title" xfId="18" builtinId="15" customBuiltin="1"/>
    <cellStyle name="Total" xfId="34" builtinId="25" customBuiltin="1"/>
    <cellStyle name="Warning Text" xfId="31" builtinId="11" customBuiltin="1"/>
  </cellStyles>
  <dxfs count="28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checked="Checked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checked="Checked" fmlaLink="M15" lockText="1" noThreeD="1"/>
</file>

<file path=xl/ctrlProps/ctrlProp8.xml><?xml version="1.0" encoding="utf-8"?>
<formControlPr xmlns="http://schemas.microsoft.com/office/spreadsheetml/2009/9/main" objectType="CheckBox" checked="Checked" fmlaLink="M16" lockText="1" noThreeD="1"/>
</file>

<file path=xl/ctrlProps/ctrlProp9.xml><?xml version="1.0" encoding="utf-8"?>
<formControlPr xmlns="http://schemas.microsoft.com/office/spreadsheetml/2009/9/main" objectType="CheckBox" checked="Checked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checked="Checked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checked="Checked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checked="Checked" fmlaLink="M28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200024</xdr:colOff>
      <xdr:row>0</xdr:row>
      <xdr:rowOff>95251</xdr:rowOff>
    </xdr:from>
    <xdr:to>
      <xdr:col>2</xdr:col>
      <xdr:colOff>1066799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62249" y="95251"/>
          <a:ext cx="866775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95250</xdr:rowOff>
    </xdr:from>
    <xdr:to>
      <xdr:col>12</xdr:col>
      <xdr:colOff>771525</xdr:colOff>
      <xdr:row>0</xdr:row>
      <xdr:rowOff>390525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363825" y="95250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95250</xdr:rowOff>
    </xdr:from>
    <xdr:to>
      <xdr:col>3</xdr:col>
      <xdr:colOff>1133475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1950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3DCAC5C-266F-49A8-9B6B-534927014518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7512299-5B8D-493A-AD86-317BDD3C9635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90FD175-CB55-47BF-8440-CB30E330182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85726</xdr:rowOff>
    </xdr:from>
    <xdr:to>
      <xdr:col>2</xdr:col>
      <xdr:colOff>1095375</xdr:colOff>
      <xdr:row>0</xdr:row>
      <xdr:rowOff>409576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9375" y="85726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114300</xdr:colOff>
      <xdr:row>0</xdr:row>
      <xdr:rowOff>85725</xdr:rowOff>
    </xdr:from>
    <xdr:to>
      <xdr:col>3</xdr:col>
      <xdr:colOff>1095375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686175" y="85725"/>
          <a:ext cx="9810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76200</xdr:colOff>
      <xdr:row>0</xdr:row>
      <xdr:rowOff>85725</xdr:rowOff>
    </xdr:from>
    <xdr:to>
      <xdr:col>3</xdr:col>
      <xdr:colOff>1133475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61950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743200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536382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66675</xdr:colOff>
      <xdr:row>0</xdr:row>
      <xdr:rowOff>104775</xdr:rowOff>
    </xdr:from>
    <xdr:to>
      <xdr:col>3</xdr:col>
      <xdr:colOff>1123950</xdr:colOff>
      <xdr:row>0</xdr:row>
      <xdr:rowOff>428625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581400" y="10477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95250</xdr:rowOff>
    </xdr:from>
    <xdr:to>
      <xdr:col>3</xdr:col>
      <xdr:colOff>1104900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562350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4135100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57150</xdr:colOff>
      <xdr:row>0</xdr:row>
      <xdr:rowOff>95250</xdr:rowOff>
    </xdr:from>
    <xdr:to>
      <xdr:col>3</xdr:col>
      <xdr:colOff>1114425</xdr:colOff>
      <xdr:row>0</xdr:row>
      <xdr:rowOff>419100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3571875" y="95250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0</xdr:row>
      <xdr:rowOff>95251</xdr:rowOff>
    </xdr:from>
    <xdr:to>
      <xdr:col>2</xdr:col>
      <xdr:colOff>1038225</xdr:colOff>
      <xdr:row>0</xdr:row>
      <xdr:rowOff>419101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625E3BA4-A401-40FD-8627-9E3C73AD4BFE}"/>
            </a:ext>
          </a:extLst>
        </xdr:cNvPr>
        <xdr:cNvSpPr/>
      </xdr:nvSpPr>
      <xdr:spPr>
        <a:xfrm>
          <a:off x="2524125" y="95251"/>
          <a:ext cx="857250" cy="32385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12</xdr:col>
      <xdr:colOff>76200</xdr:colOff>
      <xdr:row>0</xdr:row>
      <xdr:rowOff>66675</xdr:rowOff>
    </xdr:from>
    <xdr:to>
      <xdr:col>12</xdr:col>
      <xdr:colOff>771525</xdr:colOff>
      <xdr:row>0</xdr:row>
      <xdr:rowOff>361950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732AA79F-16A3-4F03-8B50-A5AF6C27D37D}"/>
            </a:ext>
          </a:extLst>
        </xdr:cNvPr>
        <xdr:cNvSpPr/>
      </xdr:nvSpPr>
      <xdr:spPr>
        <a:xfrm>
          <a:off x="14811375" y="66675"/>
          <a:ext cx="695325" cy="29527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3</xdr:col>
      <xdr:colOff>47625</xdr:colOff>
      <xdr:row>0</xdr:row>
      <xdr:rowOff>85725</xdr:rowOff>
    </xdr:from>
    <xdr:to>
      <xdr:col>3</xdr:col>
      <xdr:colOff>1104900</xdr:colOff>
      <xdr:row>0</xdr:row>
      <xdr:rowOff>409575</xdr:rowOff>
    </xdr:to>
    <xdr:sp macro="[0]!Get_Data_From_File" textlink="">
      <xdr:nvSpPr>
        <xdr:cNvPr id="4" name="Rounded Rectangle 1">
          <a:extLst>
            <a:ext uri="{FF2B5EF4-FFF2-40B4-BE49-F238E27FC236}">
              <a16:creationId xmlns:a16="http://schemas.microsoft.com/office/drawing/2014/main" id="{0D6E577A-613F-46B6-9384-D1E8AE2488E7}"/>
            </a:ext>
          </a:extLst>
        </xdr:cNvPr>
        <xdr:cNvSpPr/>
      </xdr:nvSpPr>
      <xdr:spPr>
        <a:xfrm>
          <a:off x="3562350" y="85725"/>
          <a:ext cx="1057275" cy="32385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Import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2" name="Rounded Rectangle 3">
          <a:extLst>
            <a:ext uri="{FF2B5EF4-FFF2-40B4-BE49-F238E27FC236}">
              <a16:creationId xmlns:a16="http://schemas.microsoft.com/office/drawing/2014/main" id="{D31E19F3-4A9C-443A-B432-28FD3A9B8E9D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PurchaseTrnferExportAndCreateFiles" textlink="">
      <xdr:nvSpPr>
        <xdr:cNvPr id="3" name="Rounded Rectangle 1">
          <a:extLst>
            <a:ext uri="{FF2B5EF4-FFF2-40B4-BE49-F238E27FC236}">
              <a16:creationId xmlns:a16="http://schemas.microsoft.com/office/drawing/2014/main" id="{8C308A6D-7787-4544-BB63-A23471BD428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Get_Data_From_File" textlink="">
      <xdr:nvSpPr>
        <xdr:cNvPr id="6" name="Rounded Rectangle 1">
          <a:extLst>
            <a:ext uri="{FF2B5EF4-FFF2-40B4-BE49-F238E27FC236}">
              <a16:creationId xmlns:a16="http://schemas.microsoft.com/office/drawing/2014/main" id="{E51DFE75-D99C-43D4-BD79-610BFDD8BC06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7" name="Rounded Rectangle 1">
          <a:extLst>
            <a:ext uri="{FF2B5EF4-FFF2-40B4-BE49-F238E27FC236}">
              <a16:creationId xmlns:a16="http://schemas.microsoft.com/office/drawing/2014/main" id="{05A8CD93-8C61-48EF-94DA-B584984EB3AC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66675</xdr:rowOff>
    </xdr:from>
    <xdr:to>
      <xdr:col>2</xdr:col>
      <xdr:colOff>1093725</xdr:colOff>
      <xdr:row>1</xdr:row>
      <xdr:rowOff>390675</xdr:rowOff>
    </xdr:to>
    <xdr:sp macro="[0]!_xludf.clear" textlink="">
      <xdr:nvSpPr>
        <xdr:cNvPr id="3" name="Rounded Rectangle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/>
        </xdr:cNvSpPr>
      </xdr:nvSpPr>
      <xdr:spPr>
        <a:xfrm>
          <a:off x="2428875" y="542925"/>
          <a:ext cx="1008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Clear</a:t>
          </a:r>
        </a:p>
      </xdr:txBody>
    </xdr:sp>
    <xdr:clientData/>
  </xdr:twoCellAnchor>
  <xdr:twoCellAnchor>
    <xdr:from>
      <xdr:col>1</xdr:col>
      <xdr:colOff>76200</xdr:colOff>
      <xdr:row>1</xdr:row>
      <xdr:rowOff>57150</xdr:rowOff>
    </xdr:from>
    <xdr:to>
      <xdr:col>1</xdr:col>
      <xdr:colOff>1084200</xdr:colOff>
      <xdr:row>1</xdr:row>
      <xdr:rowOff>381150</xdr:rowOff>
    </xdr:to>
    <xdr:sp macro="[0]!export_Sepratesheeet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/>
        </xdr:cNvSpPr>
      </xdr:nvSpPr>
      <xdr:spPr>
        <a:xfrm>
          <a:off x="1247775" y="533400"/>
          <a:ext cx="1008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 Export</a:t>
          </a:r>
        </a:p>
      </xdr:txBody>
    </xdr:sp>
    <xdr:clientData/>
  </xdr:twoCellAnchor>
  <xdr:twoCellAnchor>
    <xdr:from>
      <xdr:col>3</xdr:col>
      <xdr:colOff>114300</xdr:colOff>
      <xdr:row>0</xdr:row>
      <xdr:rowOff>295275</xdr:rowOff>
    </xdr:from>
    <xdr:to>
      <xdr:col>3</xdr:col>
      <xdr:colOff>1122300</xdr:colOff>
      <xdr:row>1</xdr:row>
      <xdr:rowOff>143025</xdr:rowOff>
    </xdr:to>
    <xdr:sp macro="[0]!VouTypeUpdate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/>
        </xdr:cNvSpPr>
      </xdr:nvSpPr>
      <xdr:spPr>
        <a:xfrm>
          <a:off x="3629025" y="295275"/>
          <a:ext cx="10080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Vou Type</a:t>
          </a:r>
        </a:p>
      </xdr:txBody>
    </xdr:sp>
    <xdr:clientData/>
  </xdr:twoCellAnchor>
  <xdr:twoCellAnchor>
    <xdr:from>
      <xdr:col>0</xdr:col>
      <xdr:colOff>95250</xdr:colOff>
      <xdr:row>0</xdr:row>
      <xdr:rowOff>76200</xdr:rowOff>
    </xdr:from>
    <xdr:to>
      <xdr:col>0</xdr:col>
      <xdr:colOff>1103250</xdr:colOff>
      <xdr:row>0</xdr:row>
      <xdr:rowOff>400200</xdr:rowOff>
    </xdr:to>
    <xdr:sp macro="[0]!OpenCompListBtn_Click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/>
        </xdr:cNvSpPr>
      </xdr:nvSpPr>
      <xdr:spPr>
        <a:xfrm>
          <a:off x="95250" y="76200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Company</a:t>
          </a:r>
          <a:r>
            <a:rPr lang="en-US" sz="1100" b="1" baseline="0">
              <a:solidFill>
                <a:schemeClr val="tx1"/>
              </a:solidFill>
            </a:rPr>
            <a:t> List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85725</xdr:colOff>
      <xdr:row>0</xdr:row>
      <xdr:rowOff>66675</xdr:rowOff>
    </xdr:from>
    <xdr:to>
      <xdr:col>1</xdr:col>
      <xdr:colOff>1093725</xdr:colOff>
      <xdr:row>0</xdr:row>
      <xdr:rowOff>390675</xdr:rowOff>
    </xdr:to>
    <xdr:sp macro="[0]!ImportGSTR2BDATA" textlink="">
      <xdr:nvSpPr>
        <xdr:cNvPr id="8" name="Rounded Rectangle 1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>
          <a:spLocks/>
        </xdr:cNvSpPr>
      </xdr:nvSpPr>
      <xdr:spPr>
        <a:xfrm>
          <a:off x="1257300" y="66675"/>
          <a:ext cx="1008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Data</a:t>
          </a:r>
          <a:r>
            <a:rPr lang="en-US" sz="1100" b="1" baseline="0">
              <a:solidFill>
                <a:schemeClr val="tx1"/>
              </a:solidFill>
            </a:rPr>
            <a:t> Import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95250</xdr:colOff>
      <xdr:row>0</xdr:row>
      <xdr:rowOff>76200</xdr:rowOff>
    </xdr:from>
    <xdr:to>
      <xdr:col>2</xdr:col>
      <xdr:colOff>1103250</xdr:colOff>
      <xdr:row>0</xdr:row>
      <xdr:rowOff>400200</xdr:rowOff>
    </xdr:to>
    <xdr:sp macro="[0]!Dat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/>
        </xdr:cNvSpPr>
      </xdr:nvSpPr>
      <xdr:spPr>
        <a:xfrm>
          <a:off x="2438400" y="76200"/>
          <a:ext cx="1008000" cy="32400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Process</a:t>
          </a:r>
        </a:p>
      </xdr:txBody>
    </xdr:sp>
    <xdr:clientData/>
  </xdr:twoCellAnchor>
  <xdr:twoCellAnchor>
    <xdr:from>
      <xdr:col>0</xdr:col>
      <xdr:colOff>104775</xdr:colOff>
      <xdr:row>1</xdr:row>
      <xdr:rowOff>28575</xdr:rowOff>
    </xdr:from>
    <xdr:to>
      <xdr:col>0</xdr:col>
      <xdr:colOff>1112775</xdr:colOff>
      <xdr:row>1</xdr:row>
      <xdr:rowOff>352575</xdr:rowOff>
    </xdr:to>
    <xdr:sp macro="[0]!AddAccount" textlink="">
      <xdr:nvSpPr>
        <xdr:cNvPr id="6" name="Rounded Rectangle 1">
          <a:extLst>
            <a:ext uri="{FF2B5EF4-FFF2-40B4-BE49-F238E27FC236}">
              <a16:creationId xmlns:a16="http://schemas.microsoft.com/office/drawing/2014/main" id="{5F397524-FA93-4C0B-B1EA-46A582F104D0}"/>
            </a:ext>
          </a:extLst>
        </xdr:cNvPr>
        <xdr:cNvSpPr>
          <a:spLocks/>
        </xdr:cNvSpPr>
      </xdr:nvSpPr>
      <xdr:spPr>
        <a:xfrm>
          <a:off x="104775" y="504825"/>
          <a:ext cx="1008000" cy="3240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Account</a:t>
          </a:r>
          <a:r>
            <a:rPr lang="en-US" sz="1100" b="1" baseline="0">
              <a:solidFill>
                <a:schemeClr val="tx1"/>
              </a:solidFill>
            </a:rPr>
            <a:t> Add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704849</xdr:colOff>
      <xdr:row>5</xdr:row>
      <xdr:rowOff>209550</xdr:rowOff>
    </xdr:from>
    <xdr:to>
      <xdr:col>9</xdr:col>
      <xdr:colOff>409574</xdr:colOff>
      <xdr:row>7</xdr:row>
      <xdr:rowOff>38100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2706349" y="1390650"/>
          <a:ext cx="1247775" cy="276225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lvl="0" algn="ctr"/>
          <a:r>
            <a:rPr lang="en-IN" sz="11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CheckMacIDOnOpe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>
          <a:spLocks/>
        </xdr:cNvSpPr>
      </xdr:nvSpPr>
      <xdr:spPr>
        <a:xfrm>
          <a:off x="1706880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8</xdr:row>
          <xdr:rowOff>0</xdr:rowOff>
        </xdr:from>
        <xdr:to>
          <xdr:col>9</xdr:col>
          <xdr:colOff>419100</xdr:colOff>
          <xdr:row>8</xdr:row>
          <xdr:rowOff>209550</xdr:rowOff>
        </xdr:to>
        <xdr:sp macro="" textlink="">
          <xdr:nvSpPr>
            <xdr:cNvPr id="25689" name="MSH_CheckBox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14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9</xdr:row>
          <xdr:rowOff>0</xdr:rowOff>
        </xdr:from>
        <xdr:to>
          <xdr:col>9</xdr:col>
          <xdr:colOff>419100</xdr:colOff>
          <xdr:row>9</xdr:row>
          <xdr:rowOff>209550</xdr:rowOff>
        </xdr:to>
        <xdr:sp macro="" textlink="">
          <xdr:nvSpPr>
            <xdr:cNvPr id="25690" name="AMZ_CheckBox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14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10</xdr:row>
          <xdr:rowOff>0</xdr:rowOff>
        </xdr:from>
        <xdr:to>
          <xdr:col>9</xdr:col>
          <xdr:colOff>419100</xdr:colOff>
          <xdr:row>10</xdr:row>
          <xdr:rowOff>209550</xdr:rowOff>
        </xdr:to>
        <xdr:sp macro="" textlink="">
          <xdr:nvSpPr>
            <xdr:cNvPr id="25691" name="AMZ (2)_CheckBox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14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11</xdr:row>
          <xdr:rowOff>0</xdr:rowOff>
        </xdr:from>
        <xdr:to>
          <xdr:col>9</xdr:col>
          <xdr:colOff>419100</xdr:colOff>
          <xdr:row>11</xdr:row>
          <xdr:rowOff>209550</xdr:rowOff>
        </xdr:to>
        <xdr:sp macro="" textlink="">
          <xdr:nvSpPr>
            <xdr:cNvPr id="25692" name="FLC_CheckBox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14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12</xdr:row>
          <xdr:rowOff>0</xdr:rowOff>
        </xdr:from>
        <xdr:to>
          <xdr:col>9</xdr:col>
          <xdr:colOff>419100</xdr:colOff>
          <xdr:row>12</xdr:row>
          <xdr:rowOff>209550</xdr:rowOff>
        </xdr:to>
        <xdr:sp macro="" textlink="">
          <xdr:nvSpPr>
            <xdr:cNvPr id="25693" name="FLC (C)_CheckBox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14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FLC 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13</xdr:row>
          <xdr:rowOff>0</xdr:rowOff>
        </xdr:from>
        <xdr:to>
          <xdr:col>9</xdr:col>
          <xdr:colOff>419100</xdr:colOff>
          <xdr:row>13</xdr:row>
          <xdr:rowOff>209550</xdr:rowOff>
        </xdr:to>
        <xdr:sp macro="" textlink="">
          <xdr:nvSpPr>
            <xdr:cNvPr id="25694" name="SND_CheckBox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14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14</xdr:row>
          <xdr:rowOff>0</xdr:rowOff>
        </xdr:from>
        <xdr:to>
          <xdr:col>9</xdr:col>
          <xdr:colOff>419100</xdr:colOff>
          <xdr:row>14</xdr:row>
          <xdr:rowOff>209550</xdr:rowOff>
        </xdr:to>
        <xdr:sp macro="" textlink="">
          <xdr:nvSpPr>
            <xdr:cNvPr id="25695" name="JIO_CheckBox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14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15</xdr:row>
          <xdr:rowOff>0</xdr:rowOff>
        </xdr:from>
        <xdr:to>
          <xdr:col>9</xdr:col>
          <xdr:colOff>419100</xdr:colOff>
          <xdr:row>15</xdr:row>
          <xdr:rowOff>209550</xdr:rowOff>
        </xdr:to>
        <xdr:sp macro="" textlink="">
          <xdr:nvSpPr>
            <xdr:cNvPr id="25696" name="JIO (2)_CheckBox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14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JIO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16</xdr:row>
          <xdr:rowOff>0</xdr:rowOff>
        </xdr:from>
        <xdr:to>
          <xdr:col>9</xdr:col>
          <xdr:colOff>419100</xdr:colOff>
          <xdr:row>16</xdr:row>
          <xdr:rowOff>209550</xdr:rowOff>
        </xdr:to>
        <xdr:sp macro="" textlink="">
          <xdr:nvSpPr>
            <xdr:cNvPr id="25697" name="GLR_CheckBox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14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GLR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17</xdr:row>
          <xdr:rowOff>0</xdr:rowOff>
        </xdr:from>
        <xdr:to>
          <xdr:col>9</xdr:col>
          <xdr:colOff>419100</xdr:colOff>
          <xdr:row>17</xdr:row>
          <xdr:rowOff>209550</xdr:rowOff>
        </xdr:to>
        <xdr:sp macro="" textlink="">
          <xdr:nvSpPr>
            <xdr:cNvPr id="25698" name="MYR_CheckBox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14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18</xdr:row>
          <xdr:rowOff>0</xdr:rowOff>
        </xdr:from>
        <xdr:to>
          <xdr:col>9</xdr:col>
          <xdr:colOff>419100</xdr:colOff>
          <xdr:row>18</xdr:row>
          <xdr:rowOff>209550</xdr:rowOff>
        </xdr:to>
        <xdr:sp macro="" textlink="">
          <xdr:nvSpPr>
            <xdr:cNvPr id="25699" name="MYR (2)_CheckBox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14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MYR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19</xdr:row>
          <xdr:rowOff>0</xdr:rowOff>
        </xdr:from>
        <xdr:to>
          <xdr:col>9</xdr:col>
          <xdr:colOff>419100</xdr:colOff>
          <xdr:row>19</xdr:row>
          <xdr:rowOff>209550</xdr:rowOff>
        </xdr:to>
        <xdr:sp macro="" textlink="">
          <xdr:nvSpPr>
            <xdr:cNvPr id="25700" name="NPTL_CheckBox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14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NPTL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20</xdr:row>
          <xdr:rowOff>0</xdr:rowOff>
        </xdr:from>
        <xdr:to>
          <xdr:col>9</xdr:col>
          <xdr:colOff>419100</xdr:colOff>
          <xdr:row>20</xdr:row>
          <xdr:rowOff>209550</xdr:rowOff>
        </xdr:to>
        <xdr:sp macro="" textlink="">
          <xdr:nvSpPr>
            <xdr:cNvPr id="25701" name="MRW_CheckBox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14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MRW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21</xdr:row>
          <xdr:rowOff>0</xdr:rowOff>
        </xdr:from>
        <xdr:to>
          <xdr:col>9</xdr:col>
          <xdr:colOff>419100</xdr:colOff>
          <xdr:row>21</xdr:row>
          <xdr:rowOff>209550</xdr:rowOff>
        </xdr:to>
        <xdr:sp macro="" textlink="">
          <xdr:nvSpPr>
            <xdr:cNvPr id="25702" name="S101_CheckBox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14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22</xdr:row>
          <xdr:rowOff>0</xdr:rowOff>
        </xdr:from>
        <xdr:to>
          <xdr:col>9</xdr:col>
          <xdr:colOff>419100</xdr:colOff>
          <xdr:row>22</xdr:row>
          <xdr:rowOff>209550</xdr:rowOff>
        </xdr:to>
        <xdr:sp macro="" textlink="">
          <xdr:nvSpPr>
            <xdr:cNvPr id="25703" name="S101 (2)_CheckBox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14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23</xdr:row>
          <xdr:rowOff>0</xdr:rowOff>
        </xdr:from>
        <xdr:to>
          <xdr:col>9</xdr:col>
          <xdr:colOff>419100</xdr:colOff>
          <xdr:row>23</xdr:row>
          <xdr:rowOff>209550</xdr:rowOff>
        </xdr:to>
        <xdr:sp macro="" textlink="">
          <xdr:nvSpPr>
            <xdr:cNvPr id="25704" name="S101 (3)_CheckBox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14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S101 (3)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24</xdr:row>
          <xdr:rowOff>0</xdr:rowOff>
        </xdr:from>
        <xdr:to>
          <xdr:col>9</xdr:col>
          <xdr:colOff>419100</xdr:colOff>
          <xdr:row>24</xdr:row>
          <xdr:rowOff>209550</xdr:rowOff>
        </xdr:to>
        <xdr:sp macro="" textlink="">
          <xdr:nvSpPr>
            <xdr:cNvPr id="25705" name="VMT_CheckBox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14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VMT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25</xdr:row>
          <xdr:rowOff>0</xdr:rowOff>
        </xdr:from>
        <xdr:to>
          <xdr:col>9</xdr:col>
          <xdr:colOff>419100</xdr:colOff>
          <xdr:row>25</xdr:row>
          <xdr:rowOff>209550</xdr:rowOff>
        </xdr:to>
        <xdr:sp macro="" textlink="">
          <xdr:nvSpPr>
            <xdr:cNvPr id="25706" name="UNI_CheckBox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14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26</xdr:row>
          <xdr:rowOff>0</xdr:rowOff>
        </xdr:from>
        <xdr:to>
          <xdr:col>9</xdr:col>
          <xdr:colOff>419100</xdr:colOff>
          <xdr:row>26</xdr:row>
          <xdr:rowOff>209550</xdr:rowOff>
        </xdr:to>
        <xdr:sp macro="" textlink="">
          <xdr:nvSpPr>
            <xdr:cNvPr id="25707" name="AMZ TR_CheckBox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14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AMZ TR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27</xdr:row>
          <xdr:rowOff>0</xdr:rowOff>
        </xdr:from>
        <xdr:to>
          <xdr:col>9</xdr:col>
          <xdr:colOff>419100</xdr:colOff>
          <xdr:row>27</xdr:row>
          <xdr:rowOff>209550</xdr:rowOff>
        </xdr:to>
        <xdr:sp macro="" textlink="">
          <xdr:nvSpPr>
            <xdr:cNvPr id="25708" name="GSTR2B_CheckBox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14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GSTR2B</a:t>
              </a:r>
            </a:p>
          </xdr:txBody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0</xdr:row>
      <xdr:rowOff>47625</xdr:rowOff>
    </xdr:from>
    <xdr:to>
      <xdr:col>12</xdr:col>
      <xdr:colOff>1228725</xdr:colOff>
      <xdr:row>1</xdr:row>
      <xdr:rowOff>142874</xdr:rowOff>
    </xdr:to>
    <xdr:sp macro="[0]!MasterMonth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4458950" y="47625"/>
          <a:ext cx="1171575" cy="2857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Import All Data</a:t>
          </a:r>
        </a:p>
      </xdr:txBody>
    </xdr:sp>
    <xdr:clientData/>
  </xdr:twoCellAnchor>
  <xdr:twoCellAnchor>
    <xdr:from>
      <xdr:col>12</xdr:col>
      <xdr:colOff>123825</xdr:colOff>
      <xdr:row>2</xdr:row>
      <xdr:rowOff>66675</xdr:rowOff>
    </xdr:from>
    <xdr:to>
      <xdr:col>12</xdr:col>
      <xdr:colOff>1143000</xdr:colOff>
      <xdr:row>2</xdr:row>
      <xdr:rowOff>352424</xdr:rowOff>
    </xdr:to>
    <xdr:sp macro="[0]!clearmonthms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4268450" y="466725"/>
          <a:ext cx="1019175" cy="285749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Clear</a:t>
          </a:r>
        </a:p>
      </xdr:txBody>
    </xdr:sp>
    <xdr:clientData/>
  </xdr:twoCellAnchor>
  <xdr:twoCellAnchor>
    <xdr:from>
      <xdr:col>10</xdr:col>
      <xdr:colOff>47625</xdr:colOff>
      <xdr:row>2</xdr:row>
      <xdr:rowOff>47625</xdr:rowOff>
    </xdr:from>
    <xdr:to>
      <xdr:col>10</xdr:col>
      <xdr:colOff>1143000</xdr:colOff>
      <xdr:row>2</xdr:row>
      <xdr:rowOff>333374</xdr:rowOff>
    </xdr:to>
    <xdr:sp macro="[0]!Export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12049125" y="438150"/>
          <a:ext cx="1095375" cy="285749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Export</a:t>
          </a:r>
          <a:r>
            <a:rPr lang="en-US" sz="1100" baseline="0">
              <a:solidFill>
                <a:schemeClr val="tx1"/>
              </a:solidFill>
            </a:rPr>
            <a:t> Data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47625</xdr:colOff>
      <xdr:row>2</xdr:row>
      <xdr:rowOff>57150</xdr:rowOff>
    </xdr:from>
    <xdr:to>
      <xdr:col>11</xdr:col>
      <xdr:colOff>1171574</xdr:colOff>
      <xdr:row>2</xdr:row>
      <xdr:rowOff>342899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12992100" y="457200"/>
          <a:ext cx="1123949" cy="28574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All</a:t>
          </a:r>
          <a:r>
            <a:rPr lang="en-US" sz="1100" b="1" baseline="0">
              <a:solidFill>
                <a:sysClr val="windowText" lastClr="000000"/>
              </a:solidFill>
            </a:rPr>
            <a:t> Data Clear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0</xdr:row>
      <xdr:rowOff>38100</xdr:rowOff>
    </xdr:from>
    <xdr:to>
      <xdr:col>11</xdr:col>
      <xdr:colOff>1190625</xdr:colOff>
      <xdr:row>1</xdr:row>
      <xdr:rowOff>133349</xdr:rowOff>
    </xdr:to>
    <xdr:sp macro="[0]!entrysummary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13154025" y="38100"/>
          <a:ext cx="1171575" cy="2857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Entry</a:t>
          </a:r>
          <a:r>
            <a:rPr lang="en-US" sz="1100" baseline="0">
              <a:solidFill>
                <a:schemeClr val="tx1"/>
              </a:solidFill>
            </a:rPr>
            <a:t> Summary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17</xdr:row>
      <xdr:rowOff>38100</xdr:rowOff>
    </xdr:from>
    <xdr:to>
      <xdr:col>1</xdr:col>
      <xdr:colOff>1762125</xdr:colOff>
      <xdr:row>18</xdr:row>
      <xdr:rowOff>171600</xdr:rowOff>
    </xdr:to>
    <xdr:sp macro="[0]!Registration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>
          <a:spLocks/>
        </xdr:cNvSpPr>
      </xdr:nvSpPr>
      <xdr:spPr>
        <a:xfrm>
          <a:off x="1343025" y="3276600"/>
          <a:ext cx="1638300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DO4"/>
  <sheetViews>
    <sheetView showRuler="0" workbookViewId="0">
      <selection activeCell="E10" sqref="E10"/>
    </sheetView>
  </sheetViews>
  <sheetFormatPr defaultRowHeight="15" x14ac:dyDescent="0.25"/>
  <cols>
    <col min="1" max="13" width="17.7109375" style="16" customWidth="1"/>
    <col min="14" max="14" width="23.140625" style="16" customWidth="1"/>
    <col min="15" max="15" width="17.85546875" style="16" bestFit="1" customWidth="1"/>
    <col min="16" max="16" width="17.28515625" style="16" bestFit="1" customWidth="1"/>
    <col min="17" max="17" width="17.85546875" style="16" bestFit="1" customWidth="1"/>
    <col min="18" max="18" width="19.42578125" style="16" bestFit="1" customWidth="1"/>
    <col min="19" max="19" width="13.7109375" style="16" bestFit="1" customWidth="1"/>
    <col min="20" max="21" width="20.85546875" style="16" bestFit="1" customWidth="1"/>
    <col min="22" max="22" width="16.7109375" style="16" bestFit="1" customWidth="1"/>
    <col min="23" max="24" width="21.85546875" style="16" bestFit="1" customWidth="1"/>
    <col min="25" max="25" width="8.5703125" style="16" bestFit="1" customWidth="1"/>
    <col min="26" max="26" width="18.42578125" style="16" bestFit="1" customWidth="1"/>
    <col min="27" max="27" width="23.42578125" style="16" bestFit="1" customWidth="1"/>
    <col min="28" max="28" width="40.7109375" style="16" bestFit="1" customWidth="1"/>
    <col min="29" max="29" width="23.42578125" style="16" bestFit="1" customWidth="1"/>
    <col min="30" max="30" width="24.42578125" style="16" bestFit="1" customWidth="1"/>
    <col min="31" max="31" width="19.140625" style="16" bestFit="1" customWidth="1"/>
    <col min="32" max="32" width="24.42578125" style="16" bestFit="1" customWidth="1"/>
    <col min="33" max="33" width="18.140625" style="16" customWidth="1"/>
    <col min="34" max="34" width="15" style="16" bestFit="1" customWidth="1"/>
    <col min="35" max="35" width="11" style="16" bestFit="1" customWidth="1"/>
    <col min="36" max="36" width="9.5703125" style="16" bestFit="1" customWidth="1"/>
    <col min="37" max="39" width="9.140625" style="16"/>
    <col min="40" max="40" width="9.5703125" style="16" bestFit="1" customWidth="1"/>
    <col min="41" max="41" width="10.28515625" style="16" bestFit="1" customWidth="1"/>
    <col min="42" max="100" width="9.140625" style="16"/>
    <col min="101" max="101" width="16.7109375" style="16" customWidth="1"/>
    <col min="102" max="102" width="14.140625" style="16" customWidth="1"/>
    <col min="103" max="104" width="9.140625" style="16"/>
    <col min="105" max="105" width="19.140625" style="16" customWidth="1"/>
    <col min="106" max="106" width="15" style="16" customWidth="1"/>
    <col min="107" max="107" width="24.140625" style="16" customWidth="1"/>
    <col min="108" max="108" width="33.42578125" style="16" customWidth="1"/>
    <col min="109" max="109" width="22" style="16" customWidth="1"/>
    <col min="110" max="110" width="17.140625" style="16" customWidth="1"/>
    <col min="111" max="111" width="19.7109375" style="16" customWidth="1"/>
    <col min="112" max="112" width="18" style="16" customWidth="1"/>
    <col min="113" max="113" width="22.42578125" style="16" customWidth="1"/>
    <col min="114" max="115" width="9.140625" style="16"/>
    <col min="116" max="116" width="19.140625" style="16" bestFit="1" customWidth="1"/>
    <col min="117" max="117" width="9.5703125" style="16" bestFit="1" customWidth="1"/>
    <col min="118" max="118" width="17.85546875" style="16" customWidth="1"/>
    <col min="119" max="119" width="19.5703125" style="16" customWidth="1"/>
    <col min="120" max="121" width="9.140625" style="16" customWidth="1"/>
    <col min="122" max="16384" width="9.140625" style="16"/>
  </cols>
  <sheetData>
    <row r="1" spans="1:119" ht="39" customHeight="1" thickBot="1" x14ac:dyDescent="0.3">
      <c r="A1" s="80" t="s">
        <v>144</v>
      </c>
      <c r="B1" s="81">
        <v>1</v>
      </c>
      <c r="C1" s="19"/>
      <c r="D1" s="19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8"/>
      <c r="L1" s="18"/>
      <c r="M1" s="18"/>
      <c r="N1" s="84" t="s">
        <v>247</v>
      </c>
      <c r="O1" s="395" t="s">
        <v>237</v>
      </c>
      <c r="P1" s="396"/>
      <c r="AB1" s="16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L1" s="20"/>
      <c r="BZ1" s="21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s="17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72">
        <f>+SUM(DL:DL)</f>
        <v>0</v>
      </c>
      <c r="J2" s="52">
        <f>+E2-H2</f>
        <v>0</v>
      </c>
      <c r="K2" s="30"/>
      <c r="L2" s="30"/>
      <c r="M2" s="31" t="s">
        <v>91</v>
      </c>
      <c r="N2" s="85">
        <f>+IF(O2=2,COUNTIF(DD:DE,"+++++++++")-2,(COUNTIF(DD:DE,"+++++++++")-1)+(COUNTIF(DL:DL,"Error in Amount")))</f>
        <v>0</v>
      </c>
      <c r="O2" s="94">
        <v>1</v>
      </c>
      <c r="P2" s="95" t="s">
        <v>298</v>
      </c>
      <c r="S2" s="2"/>
      <c r="AD2" s="86" t="s">
        <v>328</v>
      </c>
      <c r="AE2" s="86" t="s">
        <v>797</v>
      </c>
      <c r="AF2" s="86" t="s">
        <v>794</v>
      </c>
      <c r="AG2" s="86">
        <v>116</v>
      </c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DA2" s="91">
        <f>+A3</f>
        <v>0</v>
      </c>
      <c r="DB2" s="91" t="str">
        <f>+B3</f>
        <v>Meesho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373"/>
      <c r="B3" s="63" t="s">
        <v>83</v>
      </c>
      <c r="C3" s="62"/>
      <c r="D3" s="62" t="s">
        <v>909</v>
      </c>
      <c r="E3" s="74"/>
      <c r="F3" s="62"/>
      <c r="G3" s="75"/>
      <c r="H3" s="76"/>
      <c r="I3" s="62"/>
      <c r="J3" s="62"/>
      <c r="K3" s="62"/>
      <c r="L3" s="62"/>
      <c r="M3" s="62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DA3" s="26">
        <f>+IF(ISBLANK(AI3),J3,I3)</f>
        <v>0</v>
      </c>
      <c r="DB3" s="26" t="str">
        <f>+$B$3</f>
        <v>Meesho</v>
      </c>
      <c r="DC3" s="26">
        <f>IF(ISBLANK(AI3),G3,F3)</f>
        <v>0</v>
      </c>
      <c r="DD3" s="57" t="str">
        <f>+CONCATENATE(DJ3,"%",," ","(",DI3,")")</f>
        <v>0% ()</v>
      </c>
      <c r="DE3" s="26" t="str">
        <f>IFERROR(IF(ISBLANK(AI3),VLOOKUP(TRIM(AD3),Help!$A$2:$B$250,2,0),VLOOKUP(TRIM(AF3),Help!$A$2:$B$250,2,0)),"+++++++++")</f>
        <v>+++++++++</v>
      </c>
      <c r="DF3" s="27" t="s">
        <v>85</v>
      </c>
      <c r="DG3" s="79" t="e">
        <f>+VALUE(B3)</f>
        <v>#VALUE!</v>
      </c>
      <c r="DH3" s="26" t="str">
        <f>+D3</f>
        <v>\\ADITYA-TECH\All Sharing\Ecom Setup\Devlop\ecomm statment\ForwardReports.xlsx</v>
      </c>
      <c r="DI3" s="26" t="str">
        <f>IF(OR(ISBLANK(Q3), ISBLANK(N3)), "", IF(ISBLANK(AI3), Q3, N3))</f>
        <v/>
      </c>
      <c r="DJ3" s="26">
        <f>VALUE(IF(ISBLANK(AI3),S3,P3))</f>
        <v>0</v>
      </c>
      <c r="DK3" s="26">
        <f>VALUE(IF(ISBLANK(AI3),F3,X3))</f>
        <v>0</v>
      </c>
      <c r="DL3" s="357">
        <f>IFERROR(VALUE(IF($R$2="nullremove",IF(ISBLANK(AI3),IF(H3="null",0,AC3),IF(G3="null",0,-AE3)),IF(ISBLANK(AI3),AC3,-AE3))),"Error in Amount")</f>
        <v>0</v>
      </c>
      <c r="DM3" s="73">
        <f>+DL3*0.005</f>
        <v>0</v>
      </c>
      <c r="DN3" s="26" t="str">
        <f>CONCATENATE(IF(DE3="+++++++++","State",""),IF(DD3="+++++++++","PrctName",""),,IF(DL3="Error in Amount","Error in Amount",""))</f>
        <v>State</v>
      </c>
      <c r="DO3" s="26" t="str">
        <f>IF(DE3="+++++++++", IF(OR(ISBLANK(AD3), ISBLANK(AF3)), "", IF(ISBLANK(AI3), AD3, AF3)), "")</f>
        <v/>
      </c>
    </row>
    <row r="4" spans="1:119" s="115" customFormat="1" ht="26.25" customHeight="1" x14ac:dyDescent="0.25">
      <c r="A4" s="117" t="s">
        <v>111</v>
      </c>
      <c r="B4" s="117" t="s">
        <v>112</v>
      </c>
      <c r="C4" s="117" t="s">
        <v>113</v>
      </c>
      <c r="D4" s="117" t="s">
        <v>114</v>
      </c>
      <c r="E4" s="117" t="s">
        <v>115</v>
      </c>
      <c r="F4" s="117" t="s">
        <v>116</v>
      </c>
      <c r="G4" s="117" t="s">
        <v>117</v>
      </c>
      <c r="H4" s="117" t="s">
        <v>118</v>
      </c>
      <c r="I4" s="117" t="s">
        <v>119</v>
      </c>
      <c r="J4" s="117" t="s">
        <v>120</v>
      </c>
      <c r="K4" s="117" t="s">
        <v>121</v>
      </c>
      <c r="L4" s="117" t="s">
        <v>122</v>
      </c>
      <c r="M4" s="117" t="s">
        <v>123</v>
      </c>
      <c r="N4" s="117" t="s">
        <v>124</v>
      </c>
      <c r="O4" s="117" t="s">
        <v>125</v>
      </c>
      <c r="P4" s="117" t="s">
        <v>126</v>
      </c>
      <c r="Q4" s="117" t="s">
        <v>127</v>
      </c>
      <c r="R4" s="117" t="s">
        <v>128</v>
      </c>
      <c r="S4" s="117" t="s">
        <v>129</v>
      </c>
      <c r="T4" s="117" t="s">
        <v>130</v>
      </c>
      <c r="U4" s="117" t="s">
        <v>131</v>
      </c>
      <c r="V4" s="117" t="s">
        <v>132</v>
      </c>
      <c r="W4" s="117" t="s">
        <v>133</v>
      </c>
      <c r="X4" s="117" t="s">
        <v>134</v>
      </c>
      <c r="Y4" s="117" t="s">
        <v>135</v>
      </c>
      <c r="Z4" s="117" t="s">
        <v>136</v>
      </c>
      <c r="AA4" s="117" t="s">
        <v>137</v>
      </c>
      <c r="AB4" s="117" t="s">
        <v>138</v>
      </c>
      <c r="AC4" s="117" t="s">
        <v>139</v>
      </c>
      <c r="AD4" s="117" t="s">
        <v>140</v>
      </c>
      <c r="AE4" s="117" t="s">
        <v>141</v>
      </c>
      <c r="AF4" s="117" t="s">
        <v>142</v>
      </c>
      <c r="AG4" s="117" t="s">
        <v>143</v>
      </c>
      <c r="AH4" s="18"/>
      <c r="AI4" s="18"/>
      <c r="AJ4" s="18"/>
      <c r="AK4" s="18"/>
      <c r="AL4" s="18"/>
      <c r="AM4" s="18"/>
      <c r="AN4" s="18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  <c r="BG4" s="113"/>
      <c r="BH4" s="113"/>
      <c r="BI4" s="113"/>
      <c r="BJ4" s="113"/>
      <c r="BK4" s="113"/>
      <c r="BL4" s="113"/>
      <c r="BM4" s="113"/>
      <c r="BN4" s="113"/>
      <c r="BO4" s="113"/>
      <c r="BP4" s="113"/>
      <c r="BQ4" s="113"/>
      <c r="BR4" s="113"/>
      <c r="BS4" s="113"/>
      <c r="BT4" s="113"/>
      <c r="BU4" s="113"/>
      <c r="BV4" s="113"/>
      <c r="BW4" s="113"/>
      <c r="BX4" s="113"/>
      <c r="BY4" s="113"/>
      <c r="BZ4" s="113"/>
      <c r="CA4" s="113"/>
      <c r="CB4" s="113"/>
      <c r="CC4" s="113"/>
      <c r="CD4" s="113"/>
      <c r="CE4" s="113"/>
      <c r="CF4" s="113"/>
      <c r="CG4" s="113"/>
      <c r="CH4" s="113"/>
      <c r="CI4" s="113"/>
      <c r="CJ4" s="113"/>
      <c r="CK4" s="113"/>
      <c r="CL4" s="113"/>
      <c r="CM4" s="113"/>
      <c r="CN4" s="16"/>
      <c r="CO4" s="113"/>
      <c r="CP4" s="113"/>
      <c r="CQ4" s="113"/>
      <c r="CR4" s="113"/>
      <c r="CS4" s="113"/>
      <c r="CT4" s="113"/>
      <c r="CU4" s="113"/>
      <c r="CV4" s="113"/>
      <c r="CW4" s="113"/>
      <c r="CX4" s="113"/>
      <c r="CY4" s="113"/>
      <c r="CZ4" s="113"/>
      <c r="DA4" s="114"/>
      <c r="DB4" s="114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</row>
  </sheetData>
  <sheetProtection algorithmName="SHA-512" hashValue="zCSf1sJOYQowGpTXjscPs6XI+zgwL321IXxVW2ZmrALuWiYLq+LXr58eIPGPNH6KYvYAPhSCmgds+m54RLB8/g==" saltValue="ij3xxYo8VrtEQQq1CJMpew==" spinCount="100000" sheet="1" objects="1" scenarios="1"/>
  <protectedRanges>
    <protectedRange sqref="DN4:DO4 DO3 DO1" name="Range1"/>
    <protectedRange sqref="DA4:DM4 DE3:DJ3 DL3:DM3" name="Range1_1"/>
    <protectedRange sqref="DA3:DD3" name="Range1_1_1"/>
  </protectedRanges>
  <mergeCells count="1">
    <mergeCell ref="O1:P1"/>
  </mergeCells>
  <conditionalFormatting sqref="E2:E3 L2 F2:G2">
    <cfRule type="cellIs" dxfId="283" priority="17" operator="equal">
      <formula>#N/A</formula>
    </cfRule>
  </conditionalFormatting>
  <conditionalFormatting sqref="H1:H2">
    <cfRule type="cellIs" dxfId="282" priority="16" operator="equal">
      <formula>#N/A</formula>
    </cfRule>
  </conditionalFormatting>
  <conditionalFormatting sqref="E1">
    <cfRule type="cellIs" dxfId="281" priority="10" operator="equal">
      <formula>#N/A</formula>
    </cfRule>
  </conditionalFormatting>
  <conditionalFormatting sqref="I1:I2">
    <cfRule type="cellIs" dxfId="280" priority="9" operator="equal">
      <formula>#N/A</formula>
    </cfRule>
  </conditionalFormatting>
  <conditionalFormatting sqref="J1:J2">
    <cfRule type="cellIs" dxfId="279" priority="8" operator="equal">
      <formula>#N/A</formula>
    </cfRule>
  </conditionalFormatting>
  <conditionalFormatting sqref="J1">
    <cfRule type="containsText" dxfId="278" priority="6" operator="containsText" text="All Data Import Successfully">
      <formula>NOT(ISERROR(SEARCH("All Data Import Successfully",J1)))</formula>
    </cfRule>
    <cfRule type="containsText" dxfId="277" priority="7" operator="containsText" text="Difference Entry">
      <formula>NOT(ISERROR(SEARCH("Difference Entry",J1)))</formula>
    </cfRule>
  </conditionalFormatting>
  <conditionalFormatting sqref="J2">
    <cfRule type="cellIs" dxfId="276" priority="5" operator="equal">
      <formula>0</formula>
    </cfRule>
  </conditionalFormatting>
  <conditionalFormatting sqref="K2">
    <cfRule type="cellIs" dxfId="275" priority="4" operator="equal">
      <formula>#N/A</formula>
    </cfRule>
  </conditionalFormatting>
  <conditionalFormatting sqref="E4">
    <cfRule type="cellIs" dxfId="274" priority="1" operator="equal">
      <formula>#N/A</formula>
    </cfRule>
  </conditionalFormatting>
  <dataValidations count="2">
    <dataValidation type="list" allowBlank="1" showInputMessage="1" showErrorMessage="1" sqref="B1" xr:uid="{00000000-0002-0000-0000-000000000000}">
      <formula1>"1,2"</formula1>
    </dataValidation>
    <dataValidation type="list" allowBlank="1" showInputMessage="1" showErrorMessage="1" sqref="P2" xr:uid="{00000000-0002-0000-0000-000001000000}">
      <formula1>"HSN+%"</formula1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42F64-296E-4137-8BE3-C9BBF12C24D8}">
  <sheetPr codeName="Sheet23">
    <tabColor theme="4" tint="0.39997558519241921"/>
  </sheetPr>
  <dimension ref="A1:DT4"/>
  <sheetViews>
    <sheetView workbookViewId="0">
      <selection activeCell="E29" sqref="E29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24.140625" style="18" customWidth="1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>State</v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911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+$B$3</f>
        <v>Amazon</v>
      </c>
      <c r="DC3" s="114">
        <f>+IF(ISBLANK(CE3),X3,CE3)</f>
        <v>0</v>
      </c>
      <c r="DD3" s="114" t="str">
        <f>IF($O$2=2,IFERROR(VLOOKUP(L3,Help!T$3:Z$50000,7,0),"+++++++++"),IF($O$2=3,L3,CONCATENATE(DJ3,"%",," ","(",DI3,")")))</f>
        <v>0% ()</v>
      </c>
      <c r="DE3" s="114" t="str">
        <f>IFERROR(VLOOKUP(Y3,Help!$A$2:$B$500,2,0),"+++++++++")</f>
        <v>+++++++++</v>
      </c>
      <c r="DF3" s="114" t="str">
        <f>+IF(ISBLANK(CC3),"",CC3)</f>
        <v/>
      </c>
      <c r="DG3" s="367">
        <f>VALUE((IF(D3="refund",IF(LEN(DF3)=15,LEFT(VALUE(CG3),10),VALUE(BZ3)),LEFT(VALUE(C3),10))))</f>
        <v>0</v>
      </c>
      <c r="DH3" s="114" t="str">
        <f>IF(D3="Refund",IF(ISBLANK(CF3),BY3,CF3),B3)</f>
        <v>Amazon</v>
      </c>
      <c r="DI3" s="114" t="str">
        <f>IFERROR(IF(ISBLANK($M3),"",$M3),"")</f>
        <v/>
      </c>
      <c r="DJ3" s="368">
        <f>VALUE(IF(AH3=0,SUM(AE3:AG3),AH3)*100)</f>
        <v>0</v>
      </c>
      <c r="DK3" s="114">
        <f>IF(J3=0,1,J3)</f>
        <v>1</v>
      </c>
      <c r="DL3" s="26">
        <f>+VALUE(AC3)</f>
        <v>0</v>
      </c>
      <c r="DM3" s="26">
        <f>+BU3+BS3+BQ3+BO3</f>
        <v>0</v>
      </c>
      <c r="DN3" s="26" t="str">
        <f>CONCATENATE(IF(DE3="+++++++++","State",""),IF(DD3="+++++++++","PrctName",""))</f>
        <v>State</v>
      </c>
      <c r="DO3" s="26" t="str">
        <f>CONCATENATE(IF(DE3="+++++++++",Y3,""),IF(DD3="+++++++++",L3,""))</f>
        <v>State</v>
      </c>
      <c r="DP3" s="27" t="s">
        <v>85</v>
      </c>
      <c r="DQ3" s="27" t="s">
        <v>85</v>
      </c>
      <c r="DR3" s="89" t="s">
        <v>85</v>
      </c>
      <c r="DS3" s="89" t="s">
        <v>85</v>
      </c>
      <c r="DT3" s="89" t="s">
        <v>85</v>
      </c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167</v>
      </c>
      <c r="P4" s="82" t="s">
        <v>168</v>
      </c>
      <c r="Q4" s="82" t="s">
        <v>169</v>
      </c>
      <c r="R4" s="82" t="s">
        <v>170</v>
      </c>
      <c r="S4" s="82" t="s">
        <v>171</v>
      </c>
      <c r="T4" s="82" t="s">
        <v>172</v>
      </c>
      <c r="U4" s="82" t="s">
        <v>173</v>
      </c>
      <c r="V4" s="82" t="s">
        <v>174</v>
      </c>
      <c r="W4" s="82" t="s">
        <v>175</v>
      </c>
      <c r="X4" s="82" t="s">
        <v>176</v>
      </c>
      <c r="Y4" s="82" t="s">
        <v>177</v>
      </c>
      <c r="Z4" s="82" t="s">
        <v>178</v>
      </c>
      <c r="AA4" s="82" t="s">
        <v>179</v>
      </c>
      <c r="AB4" s="82" t="s">
        <v>180</v>
      </c>
      <c r="AC4" s="82" t="s">
        <v>181</v>
      </c>
      <c r="AD4" s="82" t="s">
        <v>182</v>
      </c>
      <c r="AE4" s="82" t="s">
        <v>183</v>
      </c>
      <c r="AF4" s="82" t="s">
        <v>184</v>
      </c>
      <c r="AG4" s="82" t="s">
        <v>185</v>
      </c>
      <c r="AH4" s="82" t="s">
        <v>186</v>
      </c>
      <c r="AI4" s="82" t="s">
        <v>187</v>
      </c>
      <c r="AJ4" s="82" t="s">
        <v>188</v>
      </c>
      <c r="AK4" s="82" t="s">
        <v>189</v>
      </c>
      <c r="AL4" s="82" t="s">
        <v>190</v>
      </c>
      <c r="AM4" s="82" t="s">
        <v>191</v>
      </c>
      <c r="AN4" s="82" t="s">
        <v>192</v>
      </c>
      <c r="AO4" s="82" t="s">
        <v>193</v>
      </c>
      <c r="AP4" s="82" t="s">
        <v>194</v>
      </c>
      <c r="AQ4" s="82" t="s">
        <v>195</v>
      </c>
      <c r="AR4" s="82" t="s">
        <v>196</v>
      </c>
      <c r="AS4" s="82" t="s">
        <v>197</v>
      </c>
      <c r="AT4" s="82" t="s">
        <v>198</v>
      </c>
      <c r="AU4" s="82" t="s">
        <v>199</v>
      </c>
      <c r="AV4" s="82" t="s">
        <v>200</v>
      </c>
      <c r="AW4" s="82" t="s">
        <v>905</v>
      </c>
      <c r="AX4" s="82" t="s">
        <v>201</v>
      </c>
      <c r="AY4" s="82" t="s">
        <v>202</v>
      </c>
      <c r="AZ4" s="82" t="s">
        <v>203</v>
      </c>
      <c r="BA4" s="82" t="s">
        <v>204</v>
      </c>
      <c r="BB4" s="82" t="s">
        <v>205</v>
      </c>
      <c r="BC4" s="82" t="s">
        <v>206</v>
      </c>
      <c r="BD4" s="82" t="s">
        <v>207</v>
      </c>
      <c r="BE4" s="82" t="s">
        <v>208</v>
      </c>
      <c r="BF4" s="82" t="s">
        <v>209</v>
      </c>
      <c r="BG4" s="82" t="s">
        <v>902</v>
      </c>
      <c r="BH4" s="82" t="s">
        <v>210</v>
      </c>
      <c r="BI4" s="82" t="s">
        <v>211</v>
      </c>
      <c r="BJ4" s="82" t="s">
        <v>903</v>
      </c>
      <c r="BK4" s="82" t="s">
        <v>212</v>
      </c>
      <c r="BL4" s="82" t="s">
        <v>213</v>
      </c>
      <c r="BM4" s="82" t="s">
        <v>904</v>
      </c>
      <c r="BN4" s="82" t="s">
        <v>214</v>
      </c>
      <c r="BO4" s="82" t="s">
        <v>215</v>
      </c>
      <c r="BP4" s="82" t="s">
        <v>216</v>
      </c>
      <c r="BQ4" s="82" t="s">
        <v>217</v>
      </c>
      <c r="BR4" s="82" t="s">
        <v>218</v>
      </c>
      <c r="BS4" s="82" t="s">
        <v>219</v>
      </c>
      <c r="BT4" s="82" t="s">
        <v>220</v>
      </c>
      <c r="BU4" s="82" t="s">
        <v>221</v>
      </c>
      <c r="BV4" s="82" t="s">
        <v>222</v>
      </c>
      <c r="BW4" s="82" t="s">
        <v>223</v>
      </c>
      <c r="BX4" s="82" t="s">
        <v>224</v>
      </c>
      <c r="BY4" s="82" t="s">
        <v>225</v>
      </c>
      <c r="BZ4" s="387" t="s">
        <v>226</v>
      </c>
      <c r="CA4" s="82" t="s">
        <v>227</v>
      </c>
      <c r="CB4" s="82" t="s">
        <v>228</v>
      </c>
      <c r="CC4" s="82" t="s">
        <v>229</v>
      </c>
      <c r="CD4" s="82" t="s">
        <v>906</v>
      </c>
      <c r="CE4" s="82" t="s">
        <v>230</v>
      </c>
      <c r="CF4" s="82" t="s">
        <v>231</v>
      </c>
      <c r="CG4" s="82" t="s">
        <v>232</v>
      </c>
      <c r="CH4" s="82" t="s">
        <v>233</v>
      </c>
      <c r="CI4" s="82" t="s">
        <v>234</v>
      </c>
      <c r="CJ4" s="108" t="s">
        <v>235</v>
      </c>
      <c r="CK4" s="82" t="s">
        <v>236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jdmMIFQcCg5EM57pP9AjmGQI4cYKcfAPpt4/FfVFe5UDpnA0udzyxbY3N+oezwFQsV650NXpXeX5N36pU375PQ==" saltValue="vAcKByPbpkXDBZxVV4Qfbw==" spinCount="100000" sheet="1" objects="1" scenarios="1"/>
  <mergeCells count="1">
    <mergeCell ref="O1:P1"/>
  </mergeCells>
  <conditionalFormatting sqref="H1">
    <cfRule type="cellIs" dxfId="273" priority="12" operator="equal">
      <formula>#N/A</formula>
    </cfRule>
  </conditionalFormatting>
  <conditionalFormatting sqref="E1">
    <cfRule type="cellIs" dxfId="272" priority="11" operator="equal">
      <formula>#N/A</formula>
    </cfRule>
  </conditionalFormatting>
  <conditionalFormatting sqref="I1">
    <cfRule type="cellIs" dxfId="271" priority="10" operator="equal">
      <formula>#N/A</formula>
    </cfRule>
  </conditionalFormatting>
  <conditionalFormatting sqref="J1">
    <cfRule type="cellIs" dxfId="270" priority="9" operator="equal">
      <formula>#N/A</formula>
    </cfRule>
  </conditionalFormatting>
  <conditionalFormatting sqref="J1">
    <cfRule type="containsText" dxfId="269" priority="7" operator="containsText" text="All Data Import Successfully">
      <formula>NOT(ISERROR(SEARCH("All Data Import Successfully",J1)))</formula>
    </cfRule>
    <cfRule type="containsText" dxfId="268" priority="8" operator="containsText" text="Difference Entry">
      <formula>NOT(ISERROR(SEARCH("Difference Entry",J1)))</formula>
    </cfRule>
  </conditionalFormatting>
  <conditionalFormatting sqref="L2 E2:G2">
    <cfRule type="cellIs" dxfId="267" priority="6" operator="equal">
      <formula>#N/A</formula>
    </cfRule>
  </conditionalFormatting>
  <conditionalFormatting sqref="H2">
    <cfRule type="cellIs" dxfId="266" priority="5" operator="equal">
      <formula>#N/A</formula>
    </cfRule>
  </conditionalFormatting>
  <conditionalFormatting sqref="I2">
    <cfRule type="cellIs" dxfId="265" priority="4" operator="equal">
      <formula>#N/A</formula>
    </cfRule>
  </conditionalFormatting>
  <conditionalFormatting sqref="J2">
    <cfRule type="cellIs" dxfId="264" priority="3" operator="equal">
      <formula>#N/A</formula>
    </cfRule>
  </conditionalFormatting>
  <conditionalFormatting sqref="J2">
    <cfRule type="cellIs" dxfId="263" priority="2" operator="equal">
      <formula>0</formula>
    </cfRule>
  </conditionalFormatting>
  <conditionalFormatting sqref="K2">
    <cfRule type="cellIs" dxfId="262" priority="1" operator="equal">
      <formula>#N/A</formula>
    </cfRule>
  </conditionalFormatting>
  <dataValidations disablePrompts="1" count="2">
    <dataValidation type="list" allowBlank="1" showInputMessage="1" showErrorMessage="1" sqref="P2" xr:uid="{998D92FC-3D51-4AE1-BF8A-CFFED5A6A83C}">
      <formula1>"HSN+%,Alias,Product"</formula1>
    </dataValidation>
    <dataValidation type="list" allowBlank="1" showInputMessage="1" showErrorMessage="1" sqref="B1" xr:uid="{1415A24B-2F99-4119-A0DE-8C8273F0D6CC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0.39997558519241921"/>
  </sheetPr>
  <dimension ref="A1:DT4"/>
  <sheetViews>
    <sheetView workbookViewId="0">
      <selection activeCell="E30" sqref="E30"/>
    </sheetView>
  </sheetViews>
  <sheetFormatPr defaultRowHeight="15" x14ac:dyDescent="0.25"/>
  <cols>
    <col min="1" max="2" width="17.5703125" style="16" customWidth="1"/>
    <col min="3" max="3" width="17.5703125" style="204" customWidth="1"/>
    <col min="4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6.42578125" style="16" bestFit="1" customWidth="1"/>
    <col min="19" max="24" width="9.140625" style="16"/>
    <col min="25" max="25" width="28.5703125" style="16" bestFit="1" customWidth="1"/>
    <col min="26" max="28" width="9.140625" style="16"/>
    <col min="29" max="29" width="15.140625" style="16" bestFit="1" customWidth="1"/>
    <col min="30" max="33" width="16.7109375" style="16" customWidth="1"/>
    <col min="34" max="34" width="10" style="16" bestFit="1" customWidth="1"/>
    <col min="35" max="36" width="23.140625" style="16" bestFit="1" customWidth="1"/>
    <col min="37" max="38" width="21.5703125" style="16" bestFit="1" customWidth="1"/>
    <col min="39" max="39" width="8.140625" style="16" bestFit="1" customWidth="1"/>
    <col min="40" max="40" width="9" style="16" bestFit="1" customWidth="1"/>
    <col min="41" max="41" width="7.7109375" style="16" bestFit="1" customWidth="1"/>
    <col min="42" max="43" width="22.140625" style="16" bestFit="1" customWidth="1"/>
    <col min="44" max="45" width="21.5703125" style="16" bestFit="1" customWidth="1"/>
    <col min="46" max="46" width="16.42578125" style="16" bestFit="1" customWidth="1"/>
    <col min="47" max="48" width="17.42578125" style="16" bestFit="1" customWidth="1"/>
    <col min="49" max="49" width="16.7109375" style="16" bestFit="1" customWidth="1"/>
    <col min="50" max="50" width="24.5703125" style="16" bestFit="1" customWidth="1"/>
    <col min="51" max="52" width="22.28515625" style="16" bestFit="1" customWidth="1"/>
    <col min="53" max="53" width="17.28515625" style="16" bestFit="1" customWidth="1"/>
    <col min="54" max="55" width="18.140625" style="16" bestFit="1" customWidth="1"/>
    <col min="56" max="57" width="31.28515625" style="16" bestFit="1" customWidth="1"/>
    <col min="58" max="59" width="24.85546875" style="16" bestFit="1" customWidth="1"/>
    <col min="60" max="60" width="23.5703125" style="16" bestFit="1" customWidth="1"/>
    <col min="61" max="62" width="28.5703125" style="16" bestFit="1" customWidth="1"/>
    <col min="63" max="63" width="27.140625" style="16" bestFit="1" customWidth="1"/>
    <col min="64" max="65" width="29.28515625" style="16" bestFit="1" customWidth="1"/>
    <col min="66" max="66" width="27.85546875" style="16" bestFit="1" customWidth="1"/>
    <col min="67" max="68" width="15.5703125" style="16" bestFit="1" customWidth="1"/>
    <col min="69" max="70" width="15.42578125" style="16" bestFit="1" customWidth="1"/>
    <col min="71" max="72" width="16.42578125" style="16" bestFit="1" customWidth="1"/>
    <col min="73" max="74" width="15" style="16" bestFit="1" customWidth="1"/>
    <col min="75" max="75" width="18.85546875" style="16" bestFit="1" customWidth="1"/>
    <col min="76" max="77" width="21.7109375" style="16" bestFit="1" customWidth="1"/>
    <col min="78" max="78" width="14.42578125" style="16" bestFit="1" customWidth="1"/>
    <col min="79" max="79" width="16" style="16" bestFit="1" customWidth="1"/>
    <col min="80" max="80" width="17.140625" style="16" customWidth="1"/>
    <col min="81" max="81" width="20.7109375" style="16" bestFit="1" customWidth="1"/>
    <col min="82" max="82" width="21.85546875" style="16" bestFit="1" customWidth="1"/>
    <col min="83" max="83" width="13.28515625" style="16" bestFit="1" customWidth="1"/>
    <col min="84" max="84" width="17.42578125" style="16" bestFit="1" customWidth="1"/>
    <col min="85" max="85" width="16" style="16" bestFit="1" customWidth="1"/>
    <col min="86" max="86" width="14" style="16" bestFit="1" customWidth="1"/>
    <col min="87" max="87" width="16.7109375" style="16" bestFit="1" customWidth="1"/>
    <col min="88" max="88" width="20.7109375" style="16" bestFit="1" customWidth="1"/>
    <col min="89" max="89" width="62.85546875" style="16" bestFit="1" customWidth="1"/>
    <col min="90" max="104" width="9.140625" style="16"/>
    <col min="105" max="105" width="16.42578125" style="18" customWidth="1"/>
    <col min="106" max="106" width="9.140625" style="18"/>
    <col min="107" max="107" width="27" style="18" customWidth="1"/>
    <col min="108" max="108" width="33.42578125" style="18" customWidth="1"/>
    <col min="109" max="109" width="23" style="18" customWidth="1"/>
    <col min="110" max="110" width="31.7109375" style="18" customWidth="1"/>
    <col min="111" max="111" width="14.140625" style="18" customWidth="1"/>
    <col min="112" max="112" width="19.5703125" style="18" customWidth="1"/>
    <col min="113" max="113" width="19.85546875" style="18" customWidth="1"/>
    <col min="114" max="114" width="10" style="18" bestFit="1" customWidth="1"/>
    <col min="115" max="115" width="9.140625" style="18"/>
    <col min="116" max="117" width="9.28515625" style="16" bestFit="1" customWidth="1"/>
    <col min="118" max="118" width="24" style="16" customWidth="1"/>
    <col min="119" max="119" width="36.5703125" style="16" customWidth="1"/>
    <col min="120" max="120" width="11" style="16" bestFit="1" customWidth="1"/>
    <col min="121" max="16384" width="9.140625" style="16"/>
  </cols>
  <sheetData>
    <row r="1" spans="1:124" customFormat="1" ht="45.75" customHeight="1" thickBot="1" x14ac:dyDescent="0.3">
      <c r="A1" s="80" t="s">
        <v>665</v>
      </c>
      <c r="B1" s="81">
        <v>1</v>
      </c>
      <c r="C1" s="109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04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97"/>
      <c r="CJ1" s="106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O1" s="112" t="s">
        <v>320</v>
      </c>
    </row>
    <row r="2" spans="1:124" customFormat="1" ht="21.75" thickBot="1" x14ac:dyDescent="0.4">
      <c r="A2" s="30" t="s">
        <v>85</v>
      </c>
      <c r="B2" s="30" t="s">
        <v>85</v>
      </c>
      <c r="C2" s="11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98"/>
      <c r="CA2" s="2"/>
      <c r="CB2" s="2"/>
      <c r="CC2" s="2"/>
      <c r="CD2" s="2"/>
      <c r="CE2" s="2"/>
      <c r="CF2" s="2"/>
      <c r="CG2" s="2"/>
      <c r="CH2" s="2"/>
      <c r="CI2" s="2"/>
      <c r="CJ2" s="107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>
        <f>+A3</f>
        <v>0</v>
      </c>
      <c r="DB2" s="91" t="str">
        <f>+B3</f>
        <v>Amazon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382" t="s">
        <v>246</v>
      </c>
      <c r="DP2" s="381" t="s">
        <v>300</v>
      </c>
    </row>
    <row r="3" spans="1:124" customFormat="1" x14ac:dyDescent="0.25">
      <c r="A3" s="373"/>
      <c r="B3" s="63" t="s">
        <v>86</v>
      </c>
      <c r="C3" s="111"/>
      <c r="D3" s="8" t="s">
        <v>912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 t="s">
        <v>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97"/>
      <c r="CJ3" s="106"/>
      <c r="DA3" s="366" t="e">
        <f>VLOOKUP(VALUE(LEFT(A3,2)),Help!$E$2:$F$45,2,0)</f>
        <v>#VALUE!</v>
      </c>
      <c r="DB3" s="114" t="str">
        <f>+DB2</f>
        <v>Amazon</v>
      </c>
      <c r="DC3" s="114" t="str">
        <f>+IF(LEFT(TRIM(DP3),3)="B2B",CK3,"")</f>
        <v/>
      </c>
      <c r="DD3" s="114" t="str">
        <f>IF($O$2=2,IFERROR(VLOOKUP(L3,Help!T$3:Z$50000,7,0),"+++++++++"),IF($O$2=3,L3,CONCATENATE(DJ3,"%",," ","(",DI3,")")))</f>
        <v>0% ()</v>
      </c>
      <c r="DE3" s="114" t="str">
        <f>IFERROR(VLOOKUP(Z3,Help!$A$2:$B$500,2,0),"+++++++++")</f>
        <v>+++++++++</v>
      </c>
      <c r="DF3" s="114" t="str">
        <f>+IF(ISBLANK(CJ3),"",CJ3)</f>
        <v/>
      </c>
      <c r="DG3" s="367">
        <f>VALUE((IF(RIGHT(DP3,2)="-R",LEFT(VALUE(CA3),10),LEFT(VALUE(C3),10))))</f>
        <v>0</v>
      </c>
      <c r="DH3" s="114" t="str">
        <f>(IF(RIGHT(DP3)="-R",BZ3,B3))</f>
        <v>Amazon</v>
      </c>
      <c r="DI3" s="114" t="str">
        <f>IFERROR(IF(ISBLANK($M3),"",$M3),"")</f>
        <v/>
      </c>
      <c r="DJ3" s="368">
        <f>VALUE(SUM(AF3:AI3)*100)</f>
        <v>0</v>
      </c>
      <c r="DK3" s="114">
        <f>IF(J3=0,1,J3)</f>
        <v>1</v>
      </c>
      <c r="DL3" s="26">
        <f>+VALUE(AD3)</f>
        <v>0</v>
      </c>
      <c r="DM3" s="26">
        <f>+BP3+BR3+BT3+BV3</f>
        <v>0</v>
      </c>
      <c r="DN3" s="26" t="str">
        <f>CONCATENATE(IF(DE3="+++++++++","State",""),IF(DD3="+++++++++","PrctName",""))</f>
        <v>State</v>
      </c>
      <c r="DO3" s="26" t="str">
        <f>CONCATENATE(IF(DE3="+++++++++",Z3,""),IF(DD3="+++++++++",L3,""))</f>
        <v/>
      </c>
      <c r="DP3" s="27" t="str">
        <f>(IF(D3="refund",IF(LEN(DF3)=15,"B2B-R","B2C-R"),IF(LEN(DF3)=15,"B2B","B2C")))</f>
        <v>B2C</v>
      </c>
      <c r="DQ3" s="119"/>
      <c r="DR3" s="120"/>
      <c r="DS3" s="120"/>
      <c r="DT3" s="120"/>
    </row>
    <row r="4" spans="1:124" customFormat="1" x14ac:dyDescent="0.25">
      <c r="A4" s="82" t="s">
        <v>153</v>
      </c>
      <c r="B4" s="82" t="s">
        <v>154</v>
      </c>
      <c r="C4" s="108" t="s">
        <v>155</v>
      </c>
      <c r="D4" s="82" t="s">
        <v>156</v>
      </c>
      <c r="E4" s="82" t="s">
        <v>157</v>
      </c>
      <c r="F4" s="82" t="s">
        <v>158</v>
      </c>
      <c r="G4" s="82" t="s">
        <v>159</v>
      </c>
      <c r="H4" s="82" t="s">
        <v>160</v>
      </c>
      <c r="I4" s="82" t="s">
        <v>161</v>
      </c>
      <c r="J4" s="82" t="s">
        <v>162</v>
      </c>
      <c r="K4" s="82" t="s">
        <v>163</v>
      </c>
      <c r="L4" s="82" t="s">
        <v>164</v>
      </c>
      <c r="M4" s="82" t="s">
        <v>165</v>
      </c>
      <c r="N4" s="82" t="s">
        <v>166</v>
      </c>
      <c r="O4" s="82" t="s">
        <v>887</v>
      </c>
      <c r="P4" s="82" t="s">
        <v>167</v>
      </c>
      <c r="Q4" s="82" t="s">
        <v>168</v>
      </c>
      <c r="R4" s="82" t="s">
        <v>169</v>
      </c>
      <c r="S4" s="82" t="s">
        <v>170</v>
      </c>
      <c r="T4" s="82" t="s">
        <v>171</v>
      </c>
      <c r="U4" s="82" t="s">
        <v>172</v>
      </c>
      <c r="V4" s="82" t="s">
        <v>173</v>
      </c>
      <c r="W4" s="82" t="s">
        <v>174</v>
      </c>
      <c r="X4" s="82" t="s">
        <v>175</v>
      </c>
      <c r="Y4" s="82" t="s">
        <v>176</v>
      </c>
      <c r="Z4" s="82" t="s">
        <v>177</v>
      </c>
      <c r="AA4" s="82" t="s">
        <v>178</v>
      </c>
      <c r="AB4" s="82" t="s">
        <v>179</v>
      </c>
      <c r="AC4" s="82" t="s">
        <v>180</v>
      </c>
      <c r="AD4" s="82" t="s">
        <v>181</v>
      </c>
      <c r="AE4" s="82" t="s">
        <v>182</v>
      </c>
      <c r="AF4" s="82" t="s">
        <v>183</v>
      </c>
      <c r="AG4" s="82" t="s">
        <v>184</v>
      </c>
      <c r="AH4" s="82" t="s">
        <v>185</v>
      </c>
      <c r="AI4" s="82" t="s">
        <v>186</v>
      </c>
      <c r="AJ4" s="82" t="s">
        <v>187</v>
      </c>
      <c r="AK4" s="82" t="s">
        <v>188</v>
      </c>
      <c r="AL4" s="82" t="s">
        <v>189</v>
      </c>
      <c r="AM4" s="82" t="s">
        <v>190</v>
      </c>
      <c r="AN4" s="82" t="s">
        <v>191</v>
      </c>
      <c r="AO4" s="82" t="s">
        <v>193</v>
      </c>
      <c r="AP4" s="82" t="s">
        <v>192</v>
      </c>
      <c r="AQ4" s="82" t="s">
        <v>194</v>
      </c>
      <c r="AR4" s="82" t="s">
        <v>195</v>
      </c>
      <c r="AS4" s="82" t="s">
        <v>196</v>
      </c>
      <c r="AT4" s="82" t="s">
        <v>197</v>
      </c>
      <c r="AU4" s="82" t="s">
        <v>198</v>
      </c>
      <c r="AV4" s="82" t="s">
        <v>199</v>
      </c>
      <c r="AW4" s="82" t="s">
        <v>200</v>
      </c>
      <c r="AX4" s="82" t="s">
        <v>888</v>
      </c>
      <c r="AY4" s="82" t="s">
        <v>201</v>
      </c>
      <c r="AZ4" s="82" t="s">
        <v>202</v>
      </c>
      <c r="BA4" s="82" t="s">
        <v>203</v>
      </c>
      <c r="BB4" s="82" t="s">
        <v>204</v>
      </c>
      <c r="BC4" s="82" t="s">
        <v>205</v>
      </c>
      <c r="BD4" s="82" t="s">
        <v>206</v>
      </c>
      <c r="BE4" s="82" t="s">
        <v>207</v>
      </c>
      <c r="BF4" s="82" t="s">
        <v>208</v>
      </c>
      <c r="BG4" s="82" t="s">
        <v>209</v>
      </c>
      <c r="BH4" s="82" t="s">
        <v>889</v>
      </c>
      <c r="BI4" s="82" t="s">
        <v>210</v>
      </c>
      <c r="BJ4" s="82" t="s">
        <v>211</v>
      </c>
      <c r="BK4" s="82" t="s">
        <v>890</v>
      </c>
      <c r="BL4" s="82" t="s">
        <v>212</v>
      </c>
      <c r="BM4" s="82" t="s">
        <v>213</v>
      </c>
      <c r="BN4" s="82" t="s">
        <v>891</v>
      </c>
      <c r="BO4" s="82" t="s">
        <v>214</v>
      </c>
      <c r="BP4" s="82" t="s">
        <v>215</v>
      </c>
      <c r="BQ4" s="82" t="s">
        <v>216</v>
      </c>
      <c r="BR4" s="82" t="s">
        <v>217</v>
      </c>
      <c r="BS4" s="82" t="s">
        <v>218</v>
      </c>
      <c r="BT4" s="82" t="s">
        <v>219</v>
      </c>
      <c r="BU4" s="82" t="s">
        <v>220</v>
      </c>
      <c r="BV4" s="82" t="s">
        <v>221</v>
      </c>
      <c r="BW4" s="82" t="s">
        <v>222</v>
      </c>
      <c r="BX4" s="82" t="s">
        <v>223</v>
      </c>
      <c r="BY4" s="82" t="s">
        <v>224</v>
      </c>
      <c r="BZ4" s="82" t="s">
        <v>231</v>
      </c>
      <c r="CA4" s="82" t="s">
        <v>232</v>
      </c>
      <c r="CB4" s="82" t="s">
        <v>233</v>
      </c>
      <c r="CC4" s="82" t="s">
        <v>234</v>
      </c>
      <c r="CD4" s="82" t="s">
        <v>235</v>
      </c>
      <c r="CE4" s="82" t="s">
        <v>236</v>
      </c>
      <c r="CF4" s="82" t="s">
        <v>225</v>
      </c>
      <c r="CG4" s="82" t="s">
        <v>226</v>
      </c>
      <c r="CH4" s="82" t="s">
        <v>227</v>
      </c>
      <c r="CI4" s="82" t="s">
        <v>228</v>
      </c>
      <c r="CJ4" s="82" t="s">
        <v>229</v>
      </c>
      <c r="CK4" s="82" t="s">
        <v>230</v>
      </c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4" t="e">
        <f>+DA3</f>
        <v>#VALUE!</v>
      </c>
      <c r="DB4" s="114" t="str">
        <f>+DB3</f>
        <v>Amazon</v>
      </c>
      <c r="DC4" s="114"/>
      <c r="DD4" s="114"/>
      <c r="DE4" s="114"/>
      <c r="DF4" s="114"/>
      <c r="DG4" s="114"/>
      <c r="DH4" s="114"/>
      <c r="DI4" s="114"/>
      <c r="DJ4" s="114"/>
      <c r="DK4" s="114"/>
      <c r="DL4" s="26"/>
      <c r="DM4" s="26"/>
    </row>
  </sheetData>
  <sheetProtection algorithmName="SHA-512" hashValue="URdVQFThHLwiXh6k8a+blBU2lo6dRm7nS7Aqunxca/AdJekJEaJSMK9SzI9VwDmYeRErWNIC8XjjnsPOErTn6Q==" saltValue="8JOt47H4FMKfeOXRAq0Eag==" spinCount="100000" sheet="1" objects="1" scenarios="1"/>
  <mergeCells count="1">
    <mergeCell ref="O1:P1"/>
  </mergeCells>
  <conditionalFormatting sqref="H1">
    <cfRule type="cellIs" dxfId="261" priority="14" operator="equal">
      <formula>#N/A</formula>
    </cfRule>
  </conditionalFormatting>
  <conditionalFormatting sqref="E1">
    <cfRule type="cellIs" dxfId="260" priority="13" operator="equal">
      <formula>#N/A</formula>
    </cfRule>
  </conditionalFormatting>
  <conditionalFormatting sqref="I1">
    <cfRule type="cellIs" dxfId="259" priority="12" operator="equal">
      <formula>#N/A</formula>
    </cfRule>
  </conditionalFormatting>
  <conditionalFormatting sqref="J1">
    <cfRule type="cellIs" dxfId="258" priority="11" operator="equal">
      <formula>#N/A</formula>
    </cfRule>
  </conditionalFormatting>
  <conditionalFormatting sqref="J1">
    <cfRule type="containsText" dxfId="257" priority="9" operator="containsText" text="All Data Import Successfully">
      <formula>NOT(ISERROR(SEARCH("All Data Import Successfully",J1)))</formula>
    </cfRule>
    <cfRule type="containsText" dxfId="256" priority="10" operator="containsText" text="Difference Entry">
      <formula>NOT(ISERROR(SEARCH("Difference Entry",J1)))</formula>
    </cfRule>
  </conditionalFormatting>
  <conditionalFormatting sqref="L2 E2:G2">
    <cfRule type="cellIs" dxfId="255" priority="6" operator="equal">
      <formula>#N/A</formula>
    </cfRule>
  </conditionalFormatting>
  <conditionalFormatting sqref="H2">
    <cfRule type="cellIs" dxfId="254" priority="5" operator="equal">
      <formula>#N/A</formula>
    </cfRule>
  </conditionalFormatting>
  <conditionalFormatting sqref="I2">
    <cfRule type="cellIs" dxfId="253" priority="4" operator="equal">
      <formula>#N/A</formula>
    </cfRule>
  </conditionalFormatting>
  <conditionalFormatting sqref="J2">
    <cfRule type="cellIs" dxfId="252" priority="3" operator="equal">
      <formula>#N/A</formula>
    </cfRule>
  </conditionalFormatting>
  <conditionalFormatting sqref="J2">
    <cfRule type="cellIs" dxfId="251" priority="2" operator="equal">
      <formula>0</formula>
    </cfRule>
  </conditionalFormatting>
  <conditionalFormatting sqref="K2">
    <cfRule type="cellIs" dxfId="250" priority="1" operator="equal">
      <formula>#N/A</formula>
    </cfRule>
  </conditionalFormatting>
  <dataValidations count="2">
    <dataValidation type="list" allowBlank="1" showInputMessage="1" showErrorMessage="1" sqref="B1" xr:uid="{00000000-0002-0000-0100-000000000000}">
      <formula1>"1,2"</formula1>
    </dataValidation>
    <dataValidation type="list" allowBlank="1" showInputMessage="1" showErrorMessage="1" sqref="P2" xr:uid="{00000000-0002-0000-01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7" tint="0.39997558519241921"/>
  </sheetPr>
  <dimension ref="A1:DS4"/>
  <sheetViews>
    <sheetView showRuler="0" workbookViewId="0">
      <selection activeCell="A5" sqref="A5"/>
    </sheetView>
  </sheetViews>
  <sheetFormatPr defaultRowHeight="15" x14ac:dyDescent="0.25"/>
  <cols>
    <col min="1" max="13" width="17.85546875" style="16" customWidth="1"/>
    <col min="14" max="14" width="22.7109375" style="16" customWidth="1"/>
    <col min="15" max="15" width="13.85546875" style="16" customWidth="1"/>
    <col min="16" max="16" width="16.28515625" style="16" customWidth="1"/>
    <col min="17" max="17" width="20.140625" style="16" bestFit="1" customWidth="1"/>
    <col min="18" max="18" width="13.7109375" style="16" bestFit="1" customWidth="1"/>
    <col min="19" max="19" width="12" style="16" bestFit="1" customWidth="1"/>
    <col min="20" max="32" width="9.140625" style="16"/>
    <col min="33" max="33" width="12" style="16" customWidth="1"/>
    <col min="34" max="43" width="9.140625" style="16"/>
    <col min="44" max="44" width="18.28515625" style="16" bestFit="1" customWidth="1"/>
    <col min="45" max="45" width="19.42578125" style="16" bestFit="1" customWidth="1"/>
    <col min="46" max="46" width="21.42578125" style="16" bestFit="1" customWidth="1"/>
    <col min="47" max="47" width="25" style="16" bestFit="1" customWidth="1"/>
    <col min="48" max="48" width="24.85546875" style="16" bestFit="1" customWidth="1"/>
    <col min="49" max="49" width="34.140625" style="16" bestFit="1" customWidth="1"/>
    <col min="50" max="50" width="26.85546875" style="16" bestFit="1" customWidth="1"/>
    <col min="51" max="51" width="34.140625" style="16" bestFit="1" customWidth="1"/>
    <col min="52" max="53" width="15.85546875" style="16" bestFit="1" customWidth="1"/>
    <col min="54" max="55" width="11.85546875" style="16" bestFit="1" customWidth="1"/>
    <col min="56" max="106" width="9.140625" style="16"/>
    <col min="107" max="107" width="16.140625" style="16" customWidth="1"/>
    <col min="108" max="108" width="19.5703125" style="16" customWidth="1"/>
    <col min="109" max="109" width="16.85546875" style="16" bestFit="1" customWidth="1"/>
    <col min="110" max="110" width="17.140625" style="16" customWidth="1"/>
    <col min="111" max="111" width="14.140625" style="16" customWidth="1"/>
    <col min="112" max="112" width="18.85546875" style="16" bestFit="1" customWidth="1"/>
    <col min="113" max="113" width="19.85546875" style="16" customWidth="1"/>
    <col min="114" max="114" width="9.28515625" style="16" bestFit="1" customWidth="1"/>
    <col min="115" max="115" width="18.5703125" style="16" bestFit="1" customWidth="1"/>
    <col min="116" max="117" width="9.28515625" style="16" bestFit="1" customWidth="1"/>
    <col min="118" max="118" width="19.28515625" style="16" customWidth="1"/>
    <col min="119" max="119" width="29.85546875" style="16" bestFit="1" customWidth="1"/>
    <col min="120" max="120" width="10.7109375" style="16" bestFit="1" customWidth="1"/>
    <col min="121" max="16384" width="9.140625" style="16"/>
  </cols>
  <sheetData>
    <row r="1" spans="1:123" customFormat="1" ht="38.25" customHeight="1" thickBot="1" x14ac:dyDescent="0.3">
      <c r="A1" s="80" t="s">
        <v>144</v>
      </c>
      <c r="B1" s="81">
        <v>2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24"/>
      <c r="L1" s="56"/>
      <c r="M1" s="3"/>
      <c r="N1" s="84" t="s">
        <v>895</v>
      </c>
      <c r="O1" s="395" t="s">
        <v>237</v>
      </c>
      <c r="P1" s="396"/>
      <c r="Q1" s="2"/>
      <c r="R1" s="2"/>
      <c r="S1" s="2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+IF(ISBLANK(DN3),TRIM(#REF!),DN3)</f>
        <v>State</v>
      </c>
      <c r="AL1" s="5"/>
      <c r="BZ1" s="6"/>
    </row>
    <row r="2" spans="1:123" s="2" customFormat="1" ht="21.75" thickBot="1" x14ac:dyDescent="0.4">
      <c r="A2" s="30" t="s">
        <v>85</v>
      </c>
      <c r="B2" s="30" t="s">
        <v>85</v>
      </c>
      <c r="C2" s="30"/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54"/>
      <c r="L2" s="54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AD2" s="86" t="s">
        <v>328</v>
      </c>
      <c r="AE2" s="86" t="s">
        <v>797</v>
      </c>
      <c r="AF2" s="86" t="s">
        <v>794</v>
      </c>
      <c r="AG2" s="86">
        <v>116</v>
      </c>
      <c r="AU2" s="11"/>
      <c r="AV2" s="11"/>
      <c r="AW2" s="11"/>
      <c r="AX2" s="11"/>
      <c r="AY2" s="11"/>
      <c r="AZ2" s="11"/>
      <c r="DA2" s="90">
        <f>+$A$3</f>
        <v>0</v>
      </c>
      <c r="DB2" s="91" t="str">
        <f>+$B$3</f>
        <v>Flipcart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3" customFormat="1" ht="15.75" thickBot="1" x14ac:dyDescent="0.3">
      <c r="A3" s="373"/>
      <c r="B3" s="63" t="s">
        <v>84</v>
      </c>
      <c r="C3" s="8"/>
      <c r="D3" s="8" t="s">
        <v>901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Flipcart</v>
      </c>
      <c r="DC3" s="27" t="s">
        <v>85</v>
      </c>
      <c r="DD3" s="26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6" t="str">
        <f>IFERROR(VLOOKUP(AW3,Help!$A$2:C$170,2,0),"+++++++++")</f>
        <v>+++++++++</v>
      </c>
      <c r="DF3" s="27" t="s">
        <v>85</v>
      </c>
      <c r="DG3" s="28" t="e">
        <f>VALUE(SUBSTITUTE(LEFT(AT3,10),"-","/"))</f>
        <v>#VALUE!</v>
      </c>
      <c r="DH3" s="26">
        <f>+AS3</f>
        <v>0</v>
      </c>
      <c r="DI3" s="187" t="str">
        <f>+IF(ISBLANK(G3),"",G3)</f>
        <v/>
      </c>
      <c r="DJ3" s="26">
        <f>+AF3+AH3+AJ3</f>
        <v>0</v>
      </c>
      <c r="DK3" s="29" t="e">
        <f>VALUE(SUBSTITUTE(N3,"-",""))</f>
        <v>#VALUE!</v>
      </c>
      <c r="DL3" s="26">
        <f>+VALUE(Y3)</f>
        <v>0</v>
      </c>
      <c r="DM3" s="26">
        <f>VALUE(AR3)</f>
        <v>0</v>
      </c>
      <c r="DN3" s="26" t="str">
        <f>+CONCATENATE(IF(DE3="+++++++++","State",""),"",IF(DD3="+++++++++","SKU Probliam",""))</f>
        <v>State</v>
      </c>
      <c r="DO3" s="26" t="str">
        <f>CONCATENATE(IF(DE3="+++++++++",AW3,""),IF(DD3="+++++++++",SUBSTITUTE(RIGHT(LEFT(F3,(LEN(F3)-3)),(LEN(LEFT(F3,(LEN(F3)-3)))-3)),"SKU:",""),""))</f>
        <v/>
      </c>
      <c r="DP3" s="161" t="str">
        <f>+DI3</f>
        <v/>
      </c>
      <c r="DQ3" s="12"/>
      <c r="DR3" s="12"/>
      <c r="DS3" s="12"/>
    </row>
    <row r="4" spans="1:123" s="133" customFormat="1" ht="15.75" thickBot="1" x14ac:dyDescent="0.3">
      <c r="A4" s="170" t="s">
        <v>248</v>
      </c>
      <c r="B4" s="171" t="s">
        <v>249</v>
      </c>
      <c r="C4" s="171" t="s">
        <v>250</v>
      </c>
      <c r="D4" s="171" t="s">
        <v>251</v>
      </c>
      <c r="E4" s="171" t="s">
        <v>252</v>
      </c>
      <c r="F4" s="171" t="s">
        <v>253</v>
      </c>
      <c r="G4" s="171" t="s">
        <v>55</v>
      </c>
      <c r="H4" s="171" t="s">
        <v>254</v>
      </c>
      <c r="I4" s="171" t="s">
        <v>255</v>
      </c>
      <c r="J4" s="171" t="s">
        <v>256</v>
      </c>
      <c r="K4" s="171" t="s">
        <v>257</v>
      </c>
      <c r="L4" s="171" t="s">
        <v>160</v>
      </c>
      <c r="M4" s="171" t="s">
        <v>258</v>
      </c>
      <c r="N4" s="171" t="s">
        <v>259</v>
      </c>
      <c r="O4" s="171" t="s">
        <v>260</v>
      </c>
      <c r="P4" s="171" t="s">
        <v>535</v>
      </c>
      <c r="Q4" s="171" t="s">
        <v>261</v>
      </c>
      <c r="R4" s="171" t="s">
        <v>262</v>
      </c>
      <c r="S4" s="171" t="s">
        <v>263</v>
      </c>
      <c r="T4" s="171" t="s">
        <v>264</v>
      </c>
      <c r="U4" s="171" t="s">
        <v>265</v>
      </c>
      <c r="V4" s="171" t="s">
        <v>266</v>
      </c>
      <c r="W4" s="171" t="s">
        <v>267</v>
      </c>
      <c r="X4" s="171" t="s">
        <v>268</v>
      </c>
      <c r="Y4" s="171" t="s">
        <v>269</v>
      </c>
      <c r="Z4" s="171" t="s">
        <v>297</v>
      </c>
      <c r="AA4" s="171" t="s">
        <v>270</v>
      </c>
      <c r="AB4" s="171" t="s">
        <v>271</v>
      </c>
      <c r="AC4" s="171" t="s">
        <v>272</v>
      </c>
      <c r="AD4" s="171" t="s">
        <v>273</v>
      </c>
      <c r="AE4" s="171" t="s">
        <v>274</v>
      </c>
      <c r="AF4" s="171" t="s">
        <v>275</v>
      </c>
      <c r="AG4" s="171" t="s">
        <v>276</v>
      </c>
      <c r="AH4" s="171" t="s">
        <v>277</v>
      </c>
      <c r="AI4" s="171" t="s">
        <v>278</v>
      </c>
      <c r="AJ4" s="171" t="s">
        <v>279</v>
      </c>
      <c r="AK4" s="171" t="s">
        <v>280</v>
      </c>
      <c r="AL4" s="171" t="s">
        <v>281</v>
      </c>
      <c r="AM4" s="171" t="s">
        <v>282</v>
      </c>
      <c r="AN4" s="171" t="s">
        <v>283</v>
      </c>
      <c r="AO4" s="171" t="s">
        <v>284</v>
      </c>
      <c r="AP4" s="171" t="s">
        <v>285</v>
      </c>
      <c r="AQ4" s="171" t="s">
        <v>286</v>
      </c>
      <c r="AR4" s="171" t="s">
        <v>287</v>
      </c>
      <c r="AS4" s="171" t="s">
        <v>288</v>
      </c>
      <c r="AT4" s="171" t="s">
        <v>289</v>
      </c>
      <c r="AU4" s="171" t="s">
        <v>290</v>
      </c>
      <c r="AV4" s="171" t="s">
        <v>291</v>
      </c>
      <c r="AW4" s="171" t="s">
        <v>292</v>
      </c>
      <c r="AX4" s="171" t="s">
        <v>293</v>
      </c>
      <c r="AY4" s="171" t="s">
        <v>294</v>
      </c>
      <c r="AZ4" s="171" t="s">
        <v>295</v>
      </c>
      <c r="BA4" s="171" t="s">
        <v>296</v>
      </c>
      <c r="BB4" s="171" t="s">
        <v>363</v>
      </c>
      <c r="BC4" s="172" t="s">
        <v>364</v>
      </c>
    </row>
  </sheetData>
  <sheetProtection algorithmName="SHA-512" hashValue="Y3+MvX3K5m0uGi+/D74Cd1AT4ayJOWHX81F2R2E9FsfNSj9j6AGX0J2uLEVvzWOziiEH+4FKQ1pzZKS9fZn9vQ==" saltValue="e+AlwfA70x4dvFkQYC7ceA==" spinCount="100000" sheet="1" objects="1" scenarios="1"/>
  <mergeCells count="1">
    <mergeCell ref="O1:P1"/>
  </mergeCells>
  <conditionalFormatting sqref="H1">
    <cfRule type="cellIs" dxfId="249" priority="14" operator="equal">
      <formula>#N/A</formula>
    </cfRule>
  </conditionalFormatting>
  <conditionalFormatting sqref="E1">
    <cfRule type="cellIs" dxfId="248" priority="13" operator="equal">
      <formula>#N/A</formula>
    </cfRule>
  </conditionalFormatting>
  <conditionalFormatting sqref="I1">
    <cfRule type="cellIs" dxfId="247" priority="12" operator="equal">
      <formula>#N/A</formula>
    </cfRule>
  </conditionalFormatting>
  <conditionalFormatting sqref="J1">
    <cfRule type="cellIs" dxfId="246" priority="11" operator="equal">
      <formula>#N/A</formula>
    </cfRule>
  </conditionalFormatting>
  <conditionalFormatting sqref="J1">
    <cfRule type="containsText" dxfId="245" priority="9" operator="containsText" text="All Data Import Successfully">
      <formula>NOT(ISERROR(SEARCH("All Data Import Successfully",J1)))</formula>
    </cfRule>
    <cfRule type="containsText" dxfId="244" priority="10" operator="containsText" text="Difference Entry">
      <formula>NOT(ISERROR(SEARCH("Difference Entry",J1)))</formula>
    </cfRule>
  </conditionalFormatting>
  <conditionalFormatting sqref="L2 E2:G2">
    <cfRule type="cellIs" dxfId="243" priority="6" operator="equal">
      <formula>#N/A</formula>
    </cfRule>
  </conditionalFormatting>
  <conditionalFormatting sqref="H2">
    <cfRule type="cellIs" dxfId="242" priority="5" operator="equal">
      <formula>#N/A</formula>
    </cfRule>
  </conditionalFormatting>
  <conditionalFormatting sqref="I2">
    <cfRule type="cellIs" dxfId="241" priority="4" operator="equal">
      <formula>#N/A</formula>
    </cfRule>
  </conditionalFormatting>
  <conditionalFormatting sqref="J2">
    <cfRule type="cellIs" dxfId="240" priority="3" operator="equal">
      <formula>#N/A</formula>
    </cfRule>
  </conditionalFormatting>
  <conditionalFormatting sqref="J2">
    <cfRule type="cellIs" dxfId="239" priority="2" operator="equal">
      <formula>0</formula>
    </cfRule>
  </conditionalFormatting>
  <conditionalFormatting sqref="K2">
    <cfRule type="cellIs" dxfId="238" priority="1" operator="equal">
      <formula>#N/A</formula>
    </cfRule>
  </conditionalFormatting>
  <dataValidations count="2">
    <dataValidation type="list" allowBlank="1" showInputMessage="1" showErrorMessage="1" sqref="B1" xr:uid="{00000000-0002-0000-0200-000000000000}">
      <formula1>"1,2"</formula1>
    </dataValidation>
    <dataValidation type="list" allowBlank="1" showInputMessage="1" showErrorMessage="1" sqref="P2" xr:uid="{00000000-0002-0000-02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tabColor theme="7" tint="0.79998168889431442"/>
  </sheetPr>
  <dimension ref="A1:DO4"/>
  <sheetViews>
    <sheetView showRuler="0" workbookViewId="0">
      <selection activeCell="H12" sqref="H12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32" width="9.140625" style="16"/>
    <col min="33" max="33" width="11.5703125" style="16" bestFit="1" customWidth="1"/>
    <col min="34" max="104" width="9.140625" style="16"/>
    <col min="105" max="105" width="18.7109375" style="16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3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493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/>
      <c r="B2" s="30" t="s">
        <v>536</v>
      </c>
      <c r="C2" s="30"/>
      <c r="D2" s="31" t="s">
        <v>85</v>
      </c>
      <c r="E2" s="49">
        <f>+COUNTA(A:A)-2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/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5</v>
      </c>
      <c r="DB2" s="91" t="s">
        <v>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x14ac:dyDescent="0.25">
      <c r="A3" s="24"/>
      <c r="B3" s="16" t="s">
        <v>84</v>
      </c>
      <c r="D3" s="16" t="s">
        <v>901</v>
      </c>
      <c r="DA3" s="145" t="e">
        <f>VLOOKUP(VALUE(LEFT(A3,2)),Help!$E$2:$F$45,2,0)</f>
        <v>#VALUE!</v>
      </c>
      <c r="DB3" s="145" t="str">
        <f>+B$3</f>
        <v>Flipcart</v>
      </c>
      <c r="DC3" s="146" t="s">
        <v>85</v>
      </c>
      <c r="DD3" s="145" t="str">
        <f ca="1">IFERROR(CONCATENATE(DJ3,"%",," ","(",DI3,")"),"+++++++++")</f>
        <v>0% ()</v>
      </c>
      <c r="DE3" s="145" t="str">
        <f>IFERROR(VLOOKUP(Y3,Help!$A$2:B$170,2,0),"+++++++++")</f>
        <v>+++++++++</v>
      </c>
      <c r="DF3" s="146" t="s">
        <v>85</v>
      </c>
      <c r="DG3" s="147" t="e">
        <f>VALUE(SUBSTITUTE(LEFT(H3,10),"-","/"))</f>
        <v>#VALUE!</v>
      </c>
      <c r="DH3" s="145">
        <f>+F3</f>
        <v>0</v>
      </c>
      <c r="DI3" s="148" t="str">
        <f ca="1">IFERROR(VLOOKUP(DJ3,INDIRECT("FLC!$DJ$5:$DP$75000"),7,FALSE),"")</f>
        <v/>
      </c>
      <c r="DJ3" s="145">
        <f>+L3+N3+P3</f>
        <v>0</v>
      </c>
      <c r="DK3" s="149" t="s">
        <v>85</v>
      </c>
      <c r="DL3" s="153">
        <f>+VALUE(I3)</f>
        <v>0</v>
      </c>
      <c r="DM3" s="153">
        <f>+VALUE(X3)</f>
        <v>0</v>
      </c>
      <c r="DN3" s="145" t="str">
        <f ca="1">CONCATENATE(IF(DE3="+++++++++","State",""),IF(DD3="+++++++++","HSN CODE",""))</f>
        <v>State</v>
      </c>
      <c r="DO3" s="145" t="str">
        <f ca="1">CONCATENATE(IF(DE3="+++++++++",Y3,""),IF(DD3="+++++++++","HSN Code Req.",""))</f>
        <v/>
      </c>
    </row>
    <row r="4" spans="1:119" x14ac:dyDescent="0.25">
      <c r="A4" s="173" t="s">
        <v>248</v>
      </c>
      <c r="B4" s="173" t="s">
        <v>249</v>
      </c>
      <c r="C4" s="173" t="s">
        <v>250</v>
      </c>
      <c r="D4" s="173" t="s">
        <v>537</v>
      </c>
      <c r="E4" s="173" t="s">
        <v>538</v>
      </c>
      <c r="F4" s="173" t="s">
        <v>539</v>
      </c>
      <c r="G4" s="173" t="s">
        <v>180</v>
      </c>
      <c r="H4" s="173" t="s">
        <v>155</v>
      </c>
      <c r="I4" s="173" t="s">
        <v>540</v>
      </c>
      <c r="J4" s="173" t="s">
        <v>273</v>
      </c>
      <c r="K4" s="173" t="s">
        <v>274</v>
      </c>
      <c r="L4" s="173" t="s">
        <v>275</v>
      </c>
      <c r="M4" s="173" t="s">
        <v>276</v>
      </c>
      <c r="N4" s="173" t="s">
        <v>277</v>
      </c>
      <c r="O4" s="173" t="s">
        <v>278</v>
      </c>
      <c r="P4" s="173" t="s">
        <v>279</v>
      </c>
      <c r="Q4" s="173" t="s">
        <v>280</v>
      </c>
      <c r="R4" s="173" t="s">
        <v>281</v>
      </c>
      <c r="S4" s="173" t="s">
        <v>282</v>
      </c>
      <c r="T4" s="173" t="s">
        <v>283</v>
      </c>
      <c r="U4" s="173" t="s">
        <v>284</v>
      </c>
      <c r="V4" s="173" t="s">
        <v>285</v>
      </c>
      <c r="W4" s="173" t="s">
        <v>286</v>
      </c>
      <c r="X4" s="173" t="s">
        <v>287</v>
      </c>
      <c r="Y4" s="173" t="s">
        <v>294</v>
      </c>
      <c r="Z4" s="173" t="s">
        <v>296</v>
      </c>
      <c r="AA4" s="173" t="s">
        <v>363</v>
      </c>
      <c r="AB4" s="173" t="s">
        <v>364</v>
      </c>
    </row>
  </sheetData>
  <sheetProtection algorithmName="SHA-512" hashValue="uENzTHAYDDHLfNbStHcDyqJTkuzqg3IrPrHC5Jdl+wnZQUBcSdEyZkp/GdsYygohnu4DqwlPFiIZTqRp3AWJog==" saltValue="VGGMJ/562pjYhjU66BA9Uw==" spinCount="100000" sheet="1" objects="1" scenarios="1"/>
  <protectedRanges>
    <protectedRange sqref="DO1" name="Range1"/>
  </protectedRanges>
  <mergeCells count="1">
    <mergeCell ref="O1:P1"/>
  </mergeCells>
  <conditionalFormatting sqref="H1">
    <cfRule type="cellIs" dxfId="237" priority="25" operator="equal">
      <formula>#N/A</formula>
    </cfRule>
  </conditionalFormatting>
  <conditionalFormatting sqref="E1">
    <cfRule type="cellIs" dxfId="236" priority="24" operator="equal">
      <formula>#N/A</formula>
    </cfRule>
  </conditionalFormatting>
  <conditionalFormatting sqref="I1">
    <cfRule type="cellIs" dxfId="235" priority="23" operator="equal">
      <formula>#N/A</formula>
    </cfRule>
  </conditionalFormatting>
  <conditionalFormatting sqref="J1">
    <cfRule type="cellIs" dxfId="234" priority="22" operator="equal">
      <formula>#N/A</formula>
    </cfRule>
  </conditionalFormatting>
  <conditionalFormatting sqref="J1">
    <cfRule type="containsText" dxfId="233" priority="20" operator="containsText" text="All Data Import Successfully">
      <formula>NOT(ISERROR(SEARCH("All Data Import Successfully",J1)))</formula>
    </cfRule>
    <cfRule type="containsText" dxfId="232" priority="21" operator="containsText" text="Difference Entry">
      <formula>NOT(ISERROR(SEARCH("Difference Entry",J1)))</formula>
    </cfRule>
  </conditionalFormatting>
  <conditionalFormatting sqref="L2 E2:G2">
    <cfRule type="cellIs" dxfId="231" priority="6" operator="equal">
      <formula>#N/A</formula>
    </cfRule>
  </conditionalFormatting>
  <conditionalFormatting sqref="H2">
    <cfRule type="cellIs" dxfId="230" priority="5" operator="equal">
      <formula>#N/A</formula>
    </cfRule>
  </conditionalFormatting>
  <conditionalFormatting sqref="I2">
    <cfRule type="cellIs" dxfId="229" priority="4" operator="equal">
      <formula>#N/A</formula>
    </cfRule>
  </conditionalFormatting>
  <conditionalFormatting sqref="J2">
    <cfRule type="cellIs" dxfId="228" priority="3" operator="equal">
      <formula>#N/A</formula>
    </cfRule>
  </conditionalFormatting>
  <conditionalFormatting sqref="J2">
    <cfRule type="cellIs" dxfId="227" priority="2" operator="equal">
      <formula>0</formula>
    </cfRule>
  </conditionalFormatting>
  <conditionalFormatting sqref="K2">
    <cfRule type="cellIs" dxfId="226" priority="1" operator="equal">
      <formula>#N/A</formula>
    </cfRule>
  </conditionalFormatting>
  <dataValidations count="2">
    <dataValidation type="list" allowBlank="1" showInputMessage="1" showErrorMessage="1" sqref="B1" xr:uid="{00000000-0002-0000-0300-000000000000}">
      <formula1>"1,2,3"</formula1>
    </dataValidation>
    <dataValidation type="list" allowBlank="1" showInputMessage="1" showErrorMessage="1" sqref="P2" xr:uid="{00000000-0002-0000-03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9" tint="0.39997558519241921"/>
  </sheetPr>
  <dimension ref="A1:DO4"/>
  <sheetViews>
    <sheetView workbookViewId="0">
      <selection activeCell="B3" sqref="B3"/>
    </sheetView>
  </sheetViews>
  <sheetFormatPr defaultRowHeight="15" x14ac:dyDescent="0.25"/>
  <cols>
    <col min="1" max="13" width="17.7109375" style="16" customWidth="1"/>
    <col min="14" max="14" width="28.140625" style="16" customWidth="1"/>
    <col min="15" max="15" width="16.85546875" style="16" customWidth="1"/>
    <col min="16" max="16" width="15.7109375" style="16" customWidth="1"/>
    <col min="17" max="105" width="9.140625" style="16"/>
    <col min="106" max="106" width="14.140625" style="16" customWidth="1"/>
    <col min="107" max="107" width="16.140625" style="16" customWidth="1"/>
    <col min="108" max="108" width="19.5703125" style="16" customWidth="1"/>
    <col min="109" max="109" width="21.85546875" style="16" customWidth="1"/>
    <col min="110" max="110" width="17.140625" style="16" customWidth="1"/>
    <col min="111" max="111" width="14.140625" style="16" customWidth="1"/>
    <col min="112" max="112" width="22.7109375" style="16" customWidth="1"/>
    <col min="113" max="113" width="19.85546875" style="16" customWidth="1"/>
    <col min="114" max="117" width="9.140625" style="16"/>
    <col min="118" max="118" width="20" style="16" customWidth="1"/>
    <col min="119" max="119" width="20.140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Snepdeal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880</v>
      </c>
      <c r="C3" s="8"/>
      <c r="D3" s="8" t="s">
        <v>741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Snepdeal</v>
      </c>
      <c r="DC3" s="27" t="s">
        <v>85</v>
      </c>
      <c r="DD3" s="57" t="str">
        <f>+CONCATENATE(DJ3,"%",," ","(",DI3,")")</f>
        <v>0% ()</v>
      </c>
      <c r="DE3" s="29" t="str">
        <f>IFERROR(IF(ISNUMBER(VALUE(E3)),VLOOKUP(VALUE(E3),Help!$E$2:$F$200,2,0),VLOOKUP(E3,Help!$A$4:$B$207,2,0)),"+++++++++")</f>
        <v>+++++++++</v>
      </c>
      <c r="DF3" s="27" t="s">
        <v>85</v>
      </c>
      <c r="DG3" s="28" t="str">
        <f>+CONCATENATE(TEXT(A3,"D"),"/",TEXT(A3,"MM"),"/",TEXT(A3,"YYYY"))</f>
        <v>Gujarat/Gujarat/Gujarat</v>
      </c>
      <c r="DH3" s="26" t="str">
        <f>+D3</f>
        <v>C:\Users\ADITYA\Desktop\Ecomm\SNEPDEAL.xlsx</v>
      </c>
      <c r="DI3" s="29" t="str">
        <f>+(IF(ISBLANK(G3),"",VALUE(G3)))</f>
        <v/>
      </c>
      <c r="DJ3" s="26">
        <f>+K3+M3+O3+Q3</f>
        <v>0</v>
      </c>
      <c r="DK3" s="26">
        <v>1</v>
      </c>
      <c r="DL3" s="26">
        <f>+Y3</f>
        <v>0</v>
      </c>
      <c r="DM3" s="26">
        <f>+DL3*1/100</f>
        <v>0</v>
      </c>
      <c r="DN3" s="26" t="str">
        <f>+IF(DE3="+++++++++","State","")</f>
        <v>State</v>
      </c>
      <c r="DO3" t="str">
        <f>IF(DE3="+++++++++",IF(ISBLANK(E3),"",E3),"")</f>
        <v/>
      </c>
    </row>
    <row r="4" spans="1:119" ht="15.75" thickBot="1" x14ac:dyDescent="0.3">
      <c r="A4" s="225" t="s">
        <v>742</v>
      </c>
      <c r="B4" s="226" t="s">
        <v>156</v>
      </c>
      <c r="C4" s="226" t="s">
        <v>743</v>
      </c>
      <c r="D4" s="226" t="s">
        <v>154</v>
      </c>
      <c r="E4" s="226" t="s">
        <v>744</v>
      </c>
      <c r="F4" s="226" t="s">
        <v>745</v>
      </c>
      <c r="G4" s="226" t="s">
        <v>746</v>
      </c>
      <c r="H4" s="226" t="s">
        <v>747</v>
      </c>
      <c r="I4" s="226" t="s">
        <v>748</v>
      </c>
      <c r="J4" s="226" t="s">
        <v>749</v>
      </c>
      <c r="K4" s="226" t="s">
        <v>443</v>
      </c>
      <c r="L4" s="226" t="s">
        <v>413</v>
      </c>
      <c r="M4" s="226" t="s">
        <v>277</v>
      </c>
      <c r="N4" s="226" t="s">
        <v>412</v>
      </c>
      <c r="O4" s="226" t="s">
        <v>275</v>
      </c>
      <c r="P4" s="226" t="s">
        <v>415</v>
      </c>
      <c r="Q4" s="226" t="s">
        <v>444</v>
      </c>
      <c r="R4" s="226" t="s">
        <v>414</v>
      </c>
      <c r="S4" s="226" t="s">
        <v>750</v>
      </c>
      <c r="T4" s="226" t="s">
        <v>751</v>
      </c>
      <c r="U4" s="226" t="s">
        <v>752</v>
      </c>
      <c r="V4" s="226" t="s">
        <v>753</v>
      </c>
      <c r="W4" s="226" t="s">
        <v>754</v>
      </c>
      <c r="X4" s="226" t="s">
        <v>524</v>
      </c>
      <c r="Y4" s="226" t="s">
        <v>755</v>
      </c>
      <c r="Z4" s="227" t="s">
        <v>180</v>
      </c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60" t="str">
        <f>+DA3</f>
        <v>Gujarat</v>
      </c>
      <c r="DB4" s="60" t="str">
        <f>+DB3</f>
        <v>Snepdeal</v>
      </c>
      <c r="DC4" s="60"/>
      <c r="DD4" s="60"/>
      <c r="DE4" s="60"/>
      <c r="DF4" s="60"/>
      <c r="DG4" s="60"/>
      <c r="DH4" s="60"/>
      <c r="DI4" s="61"/>
      <c r="DJ4" s="60"/>
      <c r="DK4" s="60"/>
      <c r="DL4" s="60"/>
      <c r="DM4" s="60"/>
    </row>
  </sheetData>
  <sheetProtection algorithmName="SHA-512" hashValue="p/ihOjffHi6mLyOQoV4/+XrkT8sSfCrLGY1SUuUfLL1I8GVBsbVvA8pr2VvKO5eZMPCWRKWWxq47xBKwyQ3WTQ==" saltValue="QMAslV8QSy9ICov1kHQVsQ==" spinCount="100000" sheet="1" objects="1" scenarios="1"/>
  <protectedRanges>
    <protectedRange sqref="DO1" name="Range1_1"/>
    <protectedRange sqref="DD3" name="Range1_1_1"/>
  </protectedRanges>
  <mergeCells count="1">
    <mergeCell ref="O1:P1"/>
  </mergeCells>
  <conditionalFormatting sqref="H1">
    <cfRule type="cellIs" dxfId="225" priority="14" operator="equal">
      <formula>#N/A</formula>
    </cfRule>
  </conditionalFormatting>
  <conditionalFormatting sqref="E1">
    <cfRule type="cellIs" dxfId="224" priority="13" operator="equal">
      <formula>#N/A</formula>
    </cfRule>
  </conditionalFormatting>
  <conditionalFormatting sqref="I1">
    <cfRule type="cellIs" dxfId="223" priority="12" operator="equal">
      <formula>#N/A</formula>
    </cfRule>
  </conditionalFormatting>
  <conditionalFormatting sqref="J1">
    <cfRule type="cellIs" dxfId="222" priority="11" operator="equal">
      <formula>#N/A</formula>
    </cfRule>
  </conditionalFormatting>
  <conditionalFormatting sqref="J1">
    <cfRule type="containsText" dxfId="221" priority="9" operator="containsText" text="All Data Import Successfully">
      <formula>NOT(ISERROR(SEARCH("All Data Import Successfully",J1)))</formula>
    </cfRule>
    <cfRule type="containsText" dxfId="220" priority="10" operator="containsText" text="Difference Entry">
      <formula>NOT(ISERROR(SEARCH("Difference Entry",J1)))</formula>
    </cfRule>
  </conditionalFormatting>
  <conditionalFormatting sqref="L2 E2:G2">
    <cfRule type="cellIs" dxfId="219" priority="6" operator="equal">
      <formula>#N/A</formula>
    </cfRule>
  </conditionalFormatting>
  <conditionalFormatting sqref="H2">
    <cfRule type="cellIs" dxfId="218" priority="5" operator="equal">
      <formula>#N/A</formula>
    </cfRule>
  </conditionalFormatting>
  <conditionalFormatting sqref="I2">
    <cfRule type="cellIs" dxfId="217" priority="4" operator="equal">
      <formula>#N/A</formula>
    </cfRule>
  </conditionalFormatting>
  <conditionalFormatting sqref="J2">
    <cfRule type="cellIs" dxfId="216" priority="3" operator="equal">
      <formula>#N/A</formula>
    </cfRule>
  </conditionalFormatting>
  <conditionalFormatting sqref="J2">
    <cfRule type="cellIs" dxfId="215" priority="2" operator="equal">
      <formula>0</formula>
    </cfRule>
  </conditionalFormatting>
  <conditionalFormatting sqref="K2">
    <cfRule type="cellIs" dxfId="214" priority="1" operator="equal">
      <formula>#N/A</formula>
    </cfRule>
  </conditionalFormatting>
  <dataValidations count="2">
    <dataValidation type="list" allowBlank="1" showInputMessage="1" showErrorMessage="1" sqref="B1" xr:uid="{00000000-0002-0000-0400-000000000000}">
      <formula1>"1,2"</formula1>
    </dataValidation>
    <dataValidation type="list" allowBlank="1" showInputMessage="1" showErrorMessage="1" sqref="P2" xr:uid="{00000000-0002-0000-0400-000001000000}">
      <formula1>"HSN+%"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4" tint="0.39997558519241921"/>
  </sheetPr>
  <dimension ref="A1:DT4"/>
  <sheetViews>
    <sheetView workbookViewId="0">
      <pane ySplit="4" topLeftCell="A5" activePane="bottomLeft" state="frozen"/>
      <selection activeCell="G24" sqref="G24"/>
      <selection pane="bottomLeft" activeCell="F27" sqref="F27"/>
    </sheetView>
  </sheetViews>
  <sheetFormatPr defaultRowHeight="15" x14ac:dyDescent="0.25"/>
  <cols>
    <col min="1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24" width="9.140625" style="16"/>
    <col min="25" max="25" width="28.5703125" style="16" bestFit="1" customWidth="1"/>
    <col min="26" max="26" width="24.85546875" style="16" bestFit="1" customWidth="1"/>
    <col min="27" max="34" width="9.140625" style="16"/>
    <col min="35" max="35" width="19.5703125" style="16" bestFit="1" customWidth="1"/>
    <col min="36" max="36" width="19.42578125" style="16" bestFit="1" customWidth="1"/>
    <col min="37" max="37" width="21.42578125" style="16" bestFit="1" customWidth="1"/>
    <col min="38" max="38" width="24.85546875" style="16" bestFit="1" customWidth="1"/>
    <col min="39" max="39" width="22.28515625" style="16" bestFit="1" customWidth="1"/>
    <col min="40" max="40" width="26.85546875" style="16" bestFit="1" customWidth="1"/>
    <col min="41" max="41" width="24.140625" style="16" bestFit="1" customWidth="1"/>
    <col min="42" max="42" width="26.85546875" style="16" bestFit="1" customWidth="1"/>
    <col min="43" max="43" width="24.140625" style="16" bestFit="1" customWidth="1"/>
    <col min="44" max="44" width="13.7109375" style="16" bestFit="1" customWidth="1"/>
    <col min="45" max="45" width="16.85546875" style="16" bestFit="1" customWidth="1"/>
    <col min="46" max="104" width="9.140625" style="16"/>
    <col min="105" max="106" width="17.42578125" style="16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7" width="9.140625" style="16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1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900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/>
      <c r="B3" s="63" t="s">
        <v>241</v>
      </c>
      <c r="C3" s="8"/>
      <c r="D3" s="8" t="s">
        <v>907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VLOOKUP(VALUE(LEFT(A3,2)),Help!$E$2:$F$45,2,0)</f>
        <v>#VALUE!</v>
      </c>
      <c r="DB3" s="26" t="str">
        <f>+$B$3</f>
        <v>Jio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IFERROR(VLOOKUP(AA3,Help!$A$2:$B$200,2,0),"+++++++++")</f>
        <v>+++++++++</v>
      </c>
      <c r="DF3" s="27" t="s">
        <v>85</v>
      </c>
      <c r="DG3" s="57" t="e">
        <f>VALUE(LEFT(V3,10))</f>
        <v>#VALUE!</v>
      </c>
      <c r="DH3" s="58">
        <f>+T3</f>
        <v>0</v>
      </c>
      <c r="DI3" s="26" t="str">
        <f>+IF(ISBLANK(O3),"",O3)</f>
        <v/>
      </c>
      <c r="DJ3" s="59">
        <f>+AI3+AK3+AG3</f>
        <v>0</v>
      </c>
      <c r="DK3" s="26">
        <f>+S3</f>
        <v>0</v>
      </c>
      <c r="DL3" s="26">
        <f>VALUE(AF3)</f>
        <v>0</v>
      </c>
      <c r="DM3" s="26">
        <f>+AS3</f>
        <v>0</v>
      </c>
      <c r="DN3" s="26" t="str">
        <f>CONCATENATE(IF(DE3="+++++++++","State",""),IF(DD3="+++++++++","PrctName",""))</f>
        <v>State</v>
      </c>
      <c r="DO3" s="26" t="str">
        <f>CONCATENATE(IF(DE3="+++++++++",AA3,""),IF(DD3="+++++++++",H3,""))</f>
        <v/>
      </c>
      <c r="DP3" s="119"/>
      <c r="DQ3" s="119"/>
      <c r="DR3" s="120"/>
      <c r="DS3" s="120"/>
      <c r="DT3" s="120"/>
    </row>
    <row r="4" spans="1:124" customFormat="1" x14ac:dyDescent="0.25">
      <c r="A4" s="386" t="s">
        <v>248</v>
      </c>
      <c r="B4" s="386" t="s">
        <v>249</v>
      </c>
      <c r="C4" s="386" t="s">
        <v>250</v>
      </c>
      <c r="D4" s="386" t="s">
        <v>256</v>
      </c>
      <c r="E4" s="386" t="s">
        <v>160</v>
      </c>
      <c r="F4" s="386" t="s">
        <v>661</v>
      </c>
      <c r="G4" s="386" t="s">
        <v>300</v>
      </c>
      <c r="H4" s="386" t="s">
        <v>301</v>
      </c>
      <c r="I4" s="386" t="s">
        <v>662</v>
      </c>
      <c r="J4" s="386" t="s">
        <v>365</v>
      </c>
      <c r="K4" s="386" t="s">
        <v>896</v>
      </c>
      <c r="L4" s="386" t="s">
        <v>251</v>
      </c>
      <c r="M4" s="386" t="s">
        <v>302</v>
      </c>
      <c r="N4" s="386" t="s">
        <v>253</v>
      </c>
      <c r="O4" s="386" t="s">
        <v>55</v>
      </c>
      <c r="P4" s="386" t="s">
        <v>303</v>
      </c>
      <c r="Q4" s="386" t="s">
        <v>254</v>
      </c>
      <c r="R4" s="386" t="s">
        <v>255</v>
      </c>
      <c r="S4" s="386" t="s">
        <v>259</v>
      </c>
      <c r="T4" s="386" t="s">
        <v>288</v>
      </c>
      <c r="U4" s="386" t="s">
        <v>489</v>
      </c>
      <c r="V4" s="386" t="s">
        <v>289</v>
      </c>
      <c r="W4" s="386" t="s">
        <v>663</v>
      </c>
      <c r="X4" s="386" t="s">
        <v>664</v>
      </c>
      <c r="Y4" s="386" t="s">
        <v>260</v>
      </c>
      <c r="Z4" s="386" t="s">
        <v>291</v>
      </c>
      <c r="AA4" s="386" t="s">
        <v>292</v>
      </c>
      <c r="AB4" s="386" t="s">
        <v>293</v>
      </c>
      <c r="AC4" s="386" t="s">
        <v>294</v>
      </c>
      <c r="AD4" s="386" t="s">
        <v>299</v>
      </c>
      <c r="AE4" s="386" t="s">
        <v>268</v>
      </c>
      <c r="AF4" s="386" t="s">
        <v>269</v>
      </c>
      <c r="AG4" s="386" t="s">
        <v>275</v>
      </c>
      <c r="AH4" s="386" t="s">
        <v>276</v>
      </c>
      <c r="AI4" s="386" t="s">
        <v>277</v>
      </c>
      <c r="AJ4" s="386" t="s">
        <v>278</v>
      </c>
      <c r="AK4" s="386" t="s">
        <v>279</v>
      </c>
      <c r="AL4" s="386" t="s">
        <v>280</v>
      </c>
      <c r="AM4" s="386" t="s">
        <v>281</v>
      </c>
      <c r="AN4" s="386" t="s">
        <v>282</v>
      </c>
      <c r="AO4" s="386" t="s">
        <v>283</v>
      </c>
      <c r="AP4" s="386" t="s">
        <v>284</v>
      </c>
      <c r="AQ4" s="386" t="s">
        <v>285</v>
      </c>
      <c r="AR4" s="386" t="s">
        <v>286</v>
      </c>
      <c r="AS4" s="386" t="s">
        <v>287</v>
      </c>
      <c r="AT4" s="386" t="s">
        <v>490</v>
      </c>
      <c r="AU4" s="386" t="s">
        <v>491</v>
      </c>
      <c r="AV4" s="386" t="s">
        <v>897</v>
      </c>
      <c r="AW4" s="386" t="s">
        <v>898</v>
      </c>
      <c r="AX4" s="386" t="s">
        <v>899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Jio</v>
      </c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</row>
  </sheetData>
  <sheetProtection algorithmName="SHA-512" hashValue="98qPnhQKibyu1AG7wtizTBuERL1loen73uuEU48mBl4SELIsmdNps4NCknPCgR1fg8BuWuje+yx/32HXlmE69g==" saltValue="vUv/kB1dWzFKqbO0YndUyQ==" spinCount="100000" sheet="1" objects="1" scenarios="1"/>
  <mergeCells count="1">
    <mergeCell ref="O1:P1"/>
  </mergeCells>
  <conditionalFormatting sqref="H1">
    <cfRule type="cellIs" dxfId="213" priority="12" operator="equal">
      <formula>#N/A</formula>
    </cfRule>
  </conditionalFormatting>
  <conditionalFormatting sqref="E1">
    <cfRule type="cellIs" dxfId="212" priority="11" operator="equal">
      <formula>#N/A</formula>
    </cfRule>
  </conditionalFormatting>
  <conditionalFormatting sqref="I1">
    <cfRule type="cellIs" dxfId="211" priority="10" operator="equal">
      <formula>#N/A</formula>
    </cfRule>
  </conditionalFormatting>
  <conditionalFormatting sqref="J1">
    <cfRule type="cellIs" dxfId="210" priority="9" operator="equal">
      <formula>#N/A</formula>
    </cfRule>
  </conditionalFormatting>
  <conditionalFormatting sqref="J1">
    <cfRule type="containsText" dxfId="209" priority="7" operator="containsText" text="All Data Import Successfully">
      <formula>NOT(ISERROR(SEARCH("All Data Import Successfully",J1)))</formula>
    </cfRule>
    <cfRule type="containsText" dxfId="208" priority="8" operator="containsText" text="Difference Entry">
      <formula>NOT(ISERROR(SEARCH("Difference Entry",J1)))</formula>
    </cfRule>
  </conditionalFormatting>
  <conditionalFormatting sqref="L2 E2:G2">
    <cfRule type="cellIs" dxfId="207" priority="6" operator="equal">
      <formula>#N/A</formula>
    </cfRule>
  </conditionalFormatting>
  <conditionalFormatting sqref="H2">
    <cfRule type="cellIs" dxfId="206" priority="5" operator="equal">
      <formula>#N/A</formula>
    </cfRule>
  </conditionalFormatting>
  <conditionalFormatting sqref="I2">
    <cfRule type="cellIs" dxfId="205" priority="4" operator="equal">
      <formula>#N/A</formula>
    </cfRule>
  </conditionalFormatting>
  <conditionalFormatting sqref="J2">
    <cfRule type="cellIs" dxfId="204" priority="3" operator="equal">
      <formula>#N/A</formula>
    </cfRule>
  </conditionalFormatting>
  <conditionalFormatting sqref="J2">
    <cfRule type="cellIs" dxfId="203" priority="2" operator="equal">
      <formula>0</formula>
    </cfRule>
  </conditionalFormatting>
  <conditionalFormatting sqref="K2">
    <cfRule type="cellIs" dxfId="202" priority="1" operator="equal">
      <formula>#N/A</formula>
    </cfRule>
  </conditionalFormatting>
  <dataValidations disablePrompts="1" count="2">
    <dataValidation type="list" allowBlank="1" showInputMessage="1" showErrorMessage="1" sqref="P2" xr:uid="{00000000-0002-0000-0500-000000000000}">
      <formula1>"HSN+%,Alias,Product"</formula1>
    </dataValidation>
    <dataValidation type="list" allowBlank="1" showInputMessage="1" showErrorMessage="1" sqref="B1" xr:uid="{00000000-0002-0000-05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tabColor theme="4" tint="0.39997558519241921"/>
  </sheetPr>
  <dimension ref="A1:DT4"/>
  <sheetViews>
    <sheetView workbookViewId="0">
      <selection activeCell="F19" sqref="F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3" width="9.140625" style="16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#VALUE!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/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 t="s">
        <v>737</v>
      </c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Jio Sallers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366</v>
      </c>
      <c r="C3" s="8"/>
      <c r="D3" s="62" t="s">
        <v>870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+DA2</f>
        <v>Gujarat</v>
      </c>
      <c r="DB3" s="29" t="str">
        <f>+DB2</f>
        <v>Jio Sallers</v>
      </c>
      <c r="DC3" s="205" t="s">
        <v>85</v>
      </c>
      <c r="DD3" s="29" t="e">
        <f>IF($O$2=2,IFERROR(VLOOKUP(H3,Help!X$3:Z$50000,3,0),"+++++++++"),IF($O$2=3,H3,CONCATENATE(DJ3,"%",," ","(",DI3,")")))</f>
        <v>#VALUE!</v>
      </c>
      <c r="DE3" s="29" t="str">
        <f>+$A$3</f>
        <v>Gujarat</v>
      </c>
      <c r="DF3" s="205" t="str">
        <f>+IF($K$3="","",$K$3)</f>
        <v/>
      </c>
      <c r="DG3" s="28" t="e">
        <f>+VALUE(CONCATENATE(MID(F3,9,2),"/",MID(F3,5,3),"/",RIGHT(F3,4)))</f>
        <v>#VALUE!</v>
      </c>
      <c r="DH3" s="29">
        <f>IF(ISBLANK(AW3),E3,X3)</f>
        <v>0</v>
      </c>
      <c r="DI3" s="205" t="s">
        <v>85</v>
      </c>
      <c r="DJ3" s="187" t="e">
        <f>+VALUE(IF(ISBLANK(AW3),IF(U3="","",VALUE(N3+P3)),VALUE(AE3+AG3+AI3)))</f>
        <v>#VALUE!</v>
      </c>
      <c r="DK3" s="29">
        <f>IFERROR(IF(ISBLANK(AW3),VALUE(V3),VALUE(H3)),"0")</f>
        <v>0</v>
      </c>
      <c r="DL3" s="26">
        <f>IFERROR(IF(ISBLANK(AW3),VALUE(U3),VALUE(-AB3)),"0")</f>
        <v>0</v>
      </c>
      <c r="DM3" s="73">
        <f>IFERROR(DL3*0.005,"")</f>
        <v>0</v>
      </c>
      <c r="DN3" s="26" t="e">
        <f>CONCATENATE(IF(DE3="+++++++++","State",""),IF(DD3="+++++++++","PrctName",""))</f>
        <v>#VALUE!</v>
      </c>
      <c r="DO3" s="26" t="e">
        <f>CONCATENATE(IF(DE3="+++++++++",AN3,""),IF(DD3="+++++++++",H3,""))</f>
        <v>#VALUE!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118" t="s">
        <v>367</v>
      </c>
      <c r="B4" s="118" t="s">
        <v>368</v>
      </c>
      <c r="C4" s="118" t="s">
        <v>369</v>
      </c>
      <c r="D4" s="118" t="s">
        <v>370</v>
      </c>
      <c r="E4" s="118" t="s">
        <v>371</v>
      </c>
      <c r="F4" s="118" t="s">
        <v>372</v>
      </c>
      <c r="G4" s="118" t="s">
        <v>373</v>
      </c>
      <c r="H4" s="118" t="s">
        <v>374</v>
      </c>
      <c r="I4" s="118" t="s">
        <v>375</v>
      </c>
      <c r="J4" s="118" t="s">
        <v>376</v>
      </c>
      <c r="K4" s="118" t="s">
        <v>377</v>
      </c>
      <c r="L4" s="118" t="s">
        <v>378</v>
      </c>
      <c r="M4" s="118" t="s">
        <v>379</v>
      </c>
      <c r="N4" s="118" t="s">
        <v>380</v>
      </c>
      <c r="O4" s="118" t="s">
        <v>381</v>
      </c>
      <c r="P4" s="118" t="s">
        <v>382</v>
      </c>
      <c r="Q4" s="118" t="s">
        <v>383</v>
      </c>
      <c r="R4" s="118" t="s">
        <v>384</v>
      </c>
      <c r="S4" s="118" t="s">
        <v>385</v>
      </c>
      <c r="T4" s="118" t="s">
        <v>386</v>
      </c>
      <c r="U4" s="118" t="s">
        <v>387</v>
      </c>
      <c r="V4" s="118" t="s">
        <v>388</v>
      </c>
      <c r="W4" s="118" t="s">
        <v>389</v>
      </c>
      <c r="X4" s="118" t="s">
        <v>390</v>
      </c>
      <c r="Y4" s="118" t="s">
        <v>391</v>
      </c>
      <c r="Z4" s="118" t="s">
        <v>392</v>
      </c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 t="str">
        <f>+DA3</f>
        <v>Gujarat</v>
      </c>
      <c r="DB4" s="125" t="str">
        <f>+DB3</f>
        <v>Jio Sallers</v>
      </c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mergeCells count="1">
    <mergeCell ref="O1:P1"/>
  </mergeCells>
  <conditionalFormatting sqref="H1">
    <cfRule type="cellIs" dxfId="201" priority="12" operator="equal">
      <formula>#N/A</formula>
    </cfRule>
  </conditionalFormatting>
  <conditionalFormatting sqref="E1">
    <cfRule type="cellIs" dxfId="200" priority="11" operator="equal">
      <formula>#N/A</formula>
    </cfRule>
  </conditionalFormatting>
  <conditionalFormatting sqref="I1">
    <cfRule type="cellIs" dxfId="199" priority="10" operator="equal">
      <formula>#N/A</formula>
    </cfRule>
  </conditionalFormatting>
  <conditionalFormatting sqref="J1">
    <cfRule type="cellIs" dxfId="198" priority="9" operator="equal">
      <formula>#N/A</formula>
    </cfRule>
  </conditionalFormatting>
  <conditionalFormatting sqref="J1">
    <cfRule type="containsText" dxfId="197" priority="7" operator="containsText" text="All Data Import Successfully">
      <formula>NOT(ISERROR(SEARCH("All Data Import Successfully",J1)))</formula>
    </cfRule>
    <cfRule type="containsText" dxfId="196" priority="8" operator="containsText" text="Difference Entry">
      <formula>NOT(ISERROR(SEARCH("Difference Entry",J1)))</formula>
    </cfRule>
  </conditionalFormatting>
  <conditionalFormatting sqref="L2 E2:G2">
    <cfRule type="cellIs" dxfId="195" priority="6" operator="equal">
      <formula>#N/A</formula>
    </cfRule>
  </conditionalFormatting>
  <conditionalFormatting sqref="H2">
    <cfRule type="cellIs" dxfId="194" priority="5" operator="equal">
      <formula>#N/A</formula>
    </cfRule>
  </conditionalFormatting>
  <conditionalFormatting sqref="I2">
    <cfRule type="cellIs" dxfId="193" priority="4" operator="equal">
      <formula>#N/A</formula>
    </cfRule>
  </conditionalFormatting>
  <conditionalFormatting sqref="J2">
    <cfRule type="cellIs" dxfId="192" priority="3" operator="equal">
      <formula>#N/A</formula>
    </cfRule>
  </conditionalFormatting>
  <conditionalFormatting sqref="J2">
    <cfRule type="cellIs" dxfId="191" priority="2" operator="equal">
      <formula>0</formula>
    </cfRule>
  </conditionalFormatting>
  <conditionalFormatting sqref="K2">
    <cfRule type="cellIs" dxfId="190" priority="1" operator="equal">
      <formula>#N/A</formula>
    </cfRule>
  </conditionalFormatting>
  <dataValidations disablePrompts="1" count="2">
    <dataValidation type="list" allowBlank="1" showInputMessage="1" showErrorMessage="1" sqref="B1" xr:uid="{00000000-0002-0000-0600-000000000000}">
      <formula1>"1,2"</formula1>
    </dataValidation>
    <dataValidation type="list" allowBlank="1" showInputMessage="1" showErrorMessage="1" sqref="P2" xr:uid="{00000000-0002-0000-06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2" tint="-0.249977111117893"/>
  </sheetPr>
  <dimension ref="A1:DO4"/>
  <sheetViews>
    <sheetView workbookViewId="0">
      <selection activeCell="D13" sqref="D13"/>
    </sheetView>
  </sheetViews>
  <sheetFormatPr defaultRowHeight="15" x14ac:dyDescent="0.25"/>
  <cols>
    <col min="1" max="5" width="17.5703125" style="16" customWidth="1"/>
    <col min="6" max="6" width="20.28515625" style="16" customWidth="1"/>
    <col min="7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9" width="9.140625" style="16"/>
    <col min="20" max="24" width="13.28515625" style="16" customWidth="1"/>
    <col min="25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22" style="16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Glowroad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x14ac:dyDescent="0.25">
      <c r="A3" s="62" t="s">
        <v>5</v>
      </c>
      <c r="B3" s="63" t="s">
        <v>805</v>
      </c>
      <c r="C3" s="8"/>
      <c r="D3" s="8" t="s">
        <v>756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Glowroad</v>
      </c>
      <c r="DC3" s="27">
        <f>+R3</f>
        <v>0</v>
      </c>
      <c r="DD3" s="57" t="str">
        <f>+CONCATENATE(DJ3,"%",," ","(",DI3,")")</f>
        <v>0% ()</v>
      </c>
      <c r="DE3" s="26" t="str">
        <f>IFERROR(IF(ISBLANK(AD3),VLOOKUP(S3,Help!$A$2:$B$200,2,0),VLOOKUP(T3,Help!$A$2:$B$200,2,0)),"+++++++++")</f>
        <v>+++++++++</v>
      </c>
      <c r="DF3" s="27" t="str">
        <f>IFERROR(IF(ISBLANK(AD3),"",U3),"+++++++++")</f>
        <v/>
      </c>
      <c r="DG3" s="152">
        <f>IF(I3="Sales",VALUE(E3),VALUE(G3))</f>
        <v>0</v>
      </c>
      <c r="DH3" s="26">
        <f>IF(I3="Sales",F3,H3)</f>
        <v>0</v>
      </c>
      <c r="DI3" s="29" t="str">
        <f>IFERROR(IF(ISBLANK(AD3),SUBSTITUTE(T3,".",""),SUBSTITUTE(V3,".","")),"+++++++++")</f>
        <v/>
      </c>
      <c r="DJ3" s="26">
        <f>IFERROR(IF(ISBLANK(AD3),VALUE(U3),VALUE(W3)),"+++++++++")</f>
        <v>0</v>
      </c>
      <c r="DK3" s="29">
        <v>1</v>
      </c>
      <c r="DL3" s="26">
        <f>IFERROR(IF(ISBLANK(AD3),VALUE(V3),VALUE(X3)),"+++++++++")</f>
        <v>0</v>
      </c>
      <c r="DM3" s="26">
        <f>IFERROR(IF(ISBLANK(AD3),VALUE(AA3),VALUE(AC3)),"+++++++++")</f>
        <v>0</v>
      </c>
      <c r="DN3" s="26" t="str">
        <f>+IF(DE3="+++++++++","State","")</f>
        <v>State</v>
      </c>
      <c r="DO3" s="151" t="str">
        <f>IF(DN3="State",IF(ISBLANK(AD3),IF(ISBLANK(S3),"",S3),IF(ISBLANK(T3),"",T3)),"")</f>
        <v/>
      </c>
    </row>
    <row r="4" spans="1:119" customFormat="1" x14ac:dyDescent="0.25">
      <c r="A4" s="128" t="s">
        <v>393</v>
      </c>
      <c r="B4" s="128" t="s">
        <v>248</v>
      </c>
      <c r="C4" s="128" t="s">
        <v>394</v>
      </c>
      <c r="D4" s="128" t="s">
        <v>157</v>
      </c>
      <c r="E4" s="128" t="s">
        <v>395</v>
      </c>
      <c r="F4" s="128" t="s">
        <v>396</v>
      </c>
      <c r="G4" s="128" t="s">
        <v>397</v>
      </c>
      <c r="H4" s="128" t="s">
        <v>398</v>
      </c>
      <c r="I4" s="128" t="s">
        <v>399</v>
      </c>
      <c r="J4" s="128" t="s">
        <v>400</v>
      </c>
      <c r="K4" s="128" t="s">
        <v>401</v>
      </c>
      <c r="L4" s="128" t="s">
        <v>402</v>
      </c>
      <c r="M4" s="128" t="s">
        <v>403</v>
      </c>
      <c r="N4" s="128" t="s">
        <v>404</v>
      </c>
      <c r="O4" s="128" t="s">
        <v>405</v>
      </c>
      <c r="P4" s="128" t="s">
        <v>406</v>
      </c>
      <c r="Q4" s="128" t="s">
        <v>407</v>
      </c>
      <c r="R4" s="128" t="s">
        <v>408</v>
      </c>
      <c r="S4" s="128" t="s">
        <v>409</v>
      </c>
      <c r="T4" s="128" t="s">
        <v>410</v>
      </c>
      <c r="U4" s="128" t="s">
        <v>54</v>
      </c>
      <c r="V4" s="128" t="s">
        <v>411</v>
      </c>
      <c r="W4" s="128" t="s">
        <v>412</v>
      </c>
      <c r="X4" s="128" t="s">
        <v>413</v>
      </c>
      <c r="Y4" s="128" t="s">
        <v>414</v>
      </c>
      <c r="Z4" s="128" t="s">
        <v>415</v>
      </c>
      <c r="AA4" s="128" t="s">
        <v>80</v>
      </c>
      <c r="AB4" s="128" t="s">
        <v>416</v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Glowroad</v>
      </c>
      <c r="DC4" s="26"/>
      <c r="DD4" s="26"/>
      <c r="DE4" s="150" t="str">
        <f>IFERROR(IF(ISBLANK(AD4),"",VLOOKUP(T4,Help!$A$2:$B$136,2,0)),"+++++++++")</f>
        <v/>
      </c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w1UiHLGG/OY1zZ+u1MkwJMvPqXZMjyI+ij1Mr3rWdL27QOScHaZwiRsNeB/ailzACbZxYqE8bx9IBtx3YfidYw==" saltValue="GEnlBPwctL63EbRNn9wKrQ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89" priority="14" operator="equal">
      <formula>#N/A</formula>
    </cfRule>
  </conditionalFormatting>
  <conditionalFormatting sqref="E1">
    <cfRule type="cellIs" dxfId="188" priority="13" operator="equal">
      <formula>#N/A</formula>
    </cfRule>
  </conditionalFormatting>
  <conditionalFormatting sqref="I1">
    <cfRule type="cellIs" dxfId="187" priority="12" operator="equal">
      <formula>#N/A</formula>
    </cfRule>
  </conditionalFormatting>
  <conditionalFormatting sqref="J1">
    <cfRule type="cellIs" dxfId="186" priority="11" operator="equal">
      <formula>#N/A</formula>
    </cfRule>
  </conditionalFormatting>
  <conditionalFormatting sqref="J1">
    <cfRule type="containsText" dxfId="185" priority="9" operator="containsText" text="All Data Import Successfully">
      <formula>NOT(ISERROR(SEARCH("All Data Import Successfully",J1)))</formula>
    </cfRule>
    <cfRule type="containsText" dxfId="184" priority="10" operator="containsText" text="Difference Entry">
      <formula>NOT(ISERROR(SEARCH("Difference Entry",J1)))</formula>
    </cfRule>
  </conditionalFormatting>
  <conditionalFormatting sqref="L2 E2:G2">
    <cfRule type="cellIs" dxfId="183" priority="6" operator="equal">
      <formula>#N/A</formula>
    </cfRule>
  </conditionalFormatting>
  <conditionalFormatting sqref="H2">
    <cfRule type="cellIs" dxfId="182" priority="5" operator="equal">
      <formula>#N/A</formula>
    </cfRule>
  </conditionalFormatting>
  <conditionalFormatting sqref="I2">
    <cfRule type="cellIs" dxfId="181" priority="4" operator="equal">
      <formula>#N/A</formula>
    </cfRule>
  </conditionalFormatting>
  <conditionalFormatting sqref="J2">
    <cfRule type="cellIs" dxfId="180" priority="3" operator="equal">
      <formula>#N/A</formula>
    </cfRule>
  </conditionalFormatting>
  <conditionalFormatting sqref="J2">
    <cfRule type="cellIs" dxfId="179" priority="2" operator="equal">
      <formula>0</formula>
    </cfRule>
  </conditionalFormatting>
  <conditionalFormatting sqref="K2">
    <cfRule type="cellIs" dxfId="178" priority="1" operator="equal">
      <formula>#N/A</formula>
    </cfRule>
  </conditionalFormatting>
  <dataValidations count="2">
    <dataValidation type="list" allowBlank="1" showInputMessage="1" showErrorMessage="1" sqref="B1" xr:uid="{00000000-0002-0000-0700-000000000000}">
      <formula1>"1,2"</formula1>
    </dataValidation>
    <dataValidation type="list" allowBlank="1" showInputMessage="1" showErrorMessage="1" sqref="P2" xr:uid="{00000000-0002-0000-07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tabColor theme="7" tint="0.39997558519241921"/>
  </sheetPr>
  <dimension ref="A1:DO4"/>
  <sheetViews>
    <sheetView showRuler="0" workbookViewId="0">
      <selection activeCell="F17" sqref="F17"/>
    </sheetView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52" width="9.140625" style="16"/>
    <col min="53" max="53" width="23" style="16" bestFit="1" customWidth="1"/>
    <col min="54" max="59" width="9.140625" style="16"/>
    <col min="60" max="60" width="11.7109375" style="16" bestFit="1" customWidth="1"/>
    <col min="61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11.7109375" style="16" bestFit="1" customWidth="1"/>
    <col min="117" max="117" width="12.7109375" style="16" bestFit="1" customWidth="1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 ca="1"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881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57" t="e">
        <f ca="1">+CONCATENATE(DJ3,"%",," ","(",DI3,")")</f>
        <v>#VALUE!</v>
      </c>
      <c r="DE3" s="26" t="str">
        <f>IFERROR(VLOOKUP(R3,Help!$A$2:$B$136,2,0),"+++++++++")</f>
        <v>+++++++++</v>
      </c>
      <c r="DF3" s="27" t="s">
        <v>85</v>
      </c>
      <c r="DG3" s="28" t="e">
        <f>+VALUE(A3)</f>
        <v>#VALUE!</v>
      </c>
      <c r="DH3" s="26">
        <f>+C3</f>
        <v>0</v>
      </c>
      <c r="DI3" s="26">
        <f>+IF(ISBLANK(BT3),BK3,BT3)</f>
        <v>0</v>
      </c>
      <c r="DJ3" s="26" t="e">
        <f ca="1">((SUBSTITUTE(TRIM(IF(LEFT(AA3,3)="CLG"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6),LEFT(IF(SUM(LEN(AA3)-LEN(SUBSTITUTE(AA3,{"0","1","2","3","4","5","6","7","8","9"},"")))&gt;0,SUMPRODUCT(MID(0&amp;AA3,LARGE(INDEX(ISNUMBER(--MID(AA3,ROW(INDIRECT("$1:$"&amp;LEN(AA3))),1))*ROW(INDIRECT("$1:$"&amp;LEN(AA3))),0),ROW(INDIRECT("$1:$"&amp;LEN(AA3))))+1,1)*10^ROW(INDIRECT("$1:$"&amp;LEN(AA3)))/10),""),12))),".",""))+(SUBSTITUTE(TRIM(IF(LEFT(AC3,3)="CLG"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6),LEFT(IF(SUM(LEN(AC3)-LEN(SUBSTITUTE(AC3,{"0","1","2","3","4","5","6","7","8","9"},"")))&gt;0,SUMPRODUCT(MID(0&amp;AC3,LARGE(INDEX(ISNUMBER(--MID(AC3,ROW(INDIRECT("$1:$"&amp;LEN(AC3))),1))*ROW(INDIRECT("$1:$"&amp;LEN(AC3))),0),ROW(INDIRECT("$1:$"&amp;LEN(AC3))))+1,1)*10^ROW(INDIRECT("$1:$"&amp;LEN(AC3)))/10),""),12))),".",""))+(SUBSTITUTE(TRIM(IF(LEFT(AE3,3)="CLG"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6),LEFT(IF(SUM(LEN(AE3)-LEN(SUBSTITUTE(AE3,{"0","1","2","3","4","5","6","7","8","9"},"")))&gt;0,SUMPRODUCT(MID(0&amp;AE3,LARGE(INDEX(ISNUMBER(--MID(AE3,ROW(INDIRECT("$1:$"&amp;LEN(AE3))),1))*ROW(INDIRECT("$1:$"&amp;LEN(AE3))),0),ROW(INDIRECT("$1:$"&amp;LEN(AE3))))+1,1)*10^ROW(INDIRECT("$1:$"&amp;LEN(AE3)))/10),""),12))),".","")))/10</f>
        <v>#VALUE!</v>
      </c>
      <c r="DK3" s="26">
        <f>+H3</f>
        <v>0</v>
      </c>
      <c r="DL3" s="26">
        <f>+VALUE(IF(ISBLANK(BT3),CONCATENATE("-",VALUE(I3)),VALUE(I3)))</f>
        <v>0</v>
      </c>
      <c r="DM3" s="26">
        <f>+DL3*0.01</f>
        <v>0</v>
      </c>
      <c r="DN3" s="26" t="str">
        <f>IF(DE3="+++++++++",IF(ISBLANK(R3),"Blank State Coloum R Check",R3),"")</f>
        <v>Blank State Coloum R Check</v>
      </c>
      <c r="DO3" s="129"/>
    </row>
    <row r="4" spans="1:119" customFormat="1" ht="15.75" thickBot="1" x14ac:dyDescent="0.3">
      <c r="A4" s="134" t="s">
        <v>420</v>
      </c>
      <c r="B4" s="135" t="s">
        <v>421</v>
      </c>
      <c r="C4" s="135" t="s">
        <v>422</v>
      </c>
      <c r="D4" s="135" t="s">
        <v>423</v>
      </c>
      <c r="E4" s="135" t="s">
        <v>424</v>
      </c>
      <c r="F4" s="135" t="s">
        <v>305</v>
      </c>
      <c r="G4" s="135" t="s">
        <v>425</v>
      </c>
      <c r="H4" s="135" t="s">
        <v>426</v>
      </c>
      <c r="I4" s="135" t="s">
        <v>427</v>
      </c>
      <c r="J4" s="135" t="s">
        <v>428</v>
      </c>
      <c r="K4" s="135" t="s">
        <v>429</v>
      </c>
      <c r="L4" s="135" t="s">
        <v>430</v>
      </c>
      <c r="M4" s="135" t="s">
        <v>73</v>
      </c>
      <c r="N4" s="135" t="s">
        <v>431</v>
      </c>
      <c r="O4" s="135" t="s">
        <v>432</v>
      </c>
      <c r="P4" s="135" t="s">
        <v>433</v>
      </c>
      <c r="Q4" s="135" t="s">
        <v>434</v>
      </c>
      <c r="R4" s="135" t="s">
        <v>435</v>
      </c>
      <c r="S4" s="135" t="s">
        <v>436</v>
      </c>
      <c r="T4" s="135" t="s">
        <v>437</v>
      </c>
      <c r="U4" s="135" t="s">
        <v>438</v>
      </c>
      <c r="V4" s="135" t="s">
        <v>439</v>
      </c>
      <c r="W4" s="135" t="s">
        <v>440</v>
      </c>
      <c r="X4" s="135" t="s">
        <v>441</v>
      </c>
      <c r="Y4" s="135" t="s">
        <v>442</v>
      </c>
      <c r="Z4" s="135" t="s">
        <v>412</v>
      </c>
      <c r="AA4" s="135" t="s">
        <v>277</v>
      </c>
      <c r="AB4" s="135" t="s">
        <v>413</v>
      </c>
      <c r="AC4" s="135" t="s">
        <v>443</v>
      </c>
      <c r="AD4" s="135" t="s">
        <v>415</v>
      </c>
      <c r="AE4" s="135" t="s">
        <v>275</v>
      </c>
      <c r="AF4" s="135" t="s">
        <v>414</v>
      </c>
      <c r="AG4" s="135" t="s">
        <v>444</v>
      </c>
      <c r="AH4" s="135" t="s">
        <v>445</v>
      </c>
      <c r="AI4" s="135" t="s">
        <v>446</v>
      </c>
      <c r="AJ4" s="135" t="s">
        <v>447</v>
      </c>
      <c r="AK4" s="135" t="s">
        <v>448</v>
      </c>
      <c r="AL4" s="135" t="s">
        <v>449</v>
      </c>
      <c r="AM4" s="135" t="s">
        <v>450</v>
      </c>
      <c r="AN4" s="135" t="s">
        <v>451</v>
      </c>
      <c r="AO4" s="135" t="s">
        <v>452</v>
      </c>
      <c r="AP4" s="135" t="s">
        <v>453</v>
      </c>
      <c r="AQ4" s="135" t="s">
        <v>454</v>
      </c>
      <c r="AR4" s="135" t="s">
        <v>455</v>
      </c>
      <c r="AS4" s="135" t="s">
        <v>456</v>
      </c>
      <c r="AT4" s="135" t="s">
        <v>457</v>
      </c>
      <c r="AU4" s="135" t="s">
        <v>458</v>
      </c>
      <c r="AV4" s="135" t="s">
        <v>459</v>
      </c>
      <c r="AW4" s="135" t="s">
        <v>460</v>
      </c>
      <c r="AX4" s="135" t="s">
        <v>461</v>
      </c>
      <c r="AY4" s="135" t="s">
        <v>462</v>
      </c>
      <c r="AZ4" s="135" t="s">
        <v>463</v>
      </c>
      <c r="BA4" s="135" t="s">
        <v>464</v>
      </c>
      <c r="BB4" s="135" t="s">
        <v>465</v>
      </c>
      <c r="BC4" s="135" t="s">
        <v>466</v>
      </c>
      <c r="BD4" s="135" t="s">
        <v>467</v>
      </c>
      <c r="BE4" s="135" t="s">
        <v>468</v>
      </c>
      <c r="BF4" s="135" t="s">
        <v>469</v>
      </c>
      <c r="BG4" s="135" t="s">
        <v>470</v>
      </c>
      <c r="BH4" s="135" t="s">
        <v>471</v>
      </c>
      <c r="BI4" s="135" t="s">
        <v>472</v>
      </c>
      <c r="BJ4" s="135" t="s">
        <v>473</v>
      </c>
      <c r="BK4" s="135" t="s">
        <v>474</v>
      </c>
      <c r="BL4" s="135" t="s">
        <v>475</v>
      </c>
      <c r="BM4" s="135" t="s">
        <v>476</v>
      </c>
      <c r="BN4" s="135" t="s">
        <v>477</v>
      </c>
      <c r="BO4" s="135" t="s">
        <v>478</v>
      </c>
      <c r="BP4" s="135" t="s">
        <v>479</v>
      </c>
      <c r="BQ4" s="135" t="s">
        <v>480</v>
      </c>
      <c r="BR4" s="135" t="s">
        <v>481</v>
      </c>
      <c r="BS4" s="135" t="s">
        <v>482</v>
      </c>
      <c r="BT4" s="135" t="s">
        <v>55</v>
      </c>
      <c r="BU4" s="135" t="s">
        <v>483</v>
      </c>
      <c r="BV4" s="135" t="s">
        <v>484</v>
      </c>
      <c r="BW4" s="135" t="s">
        <v>485</v>
      </c>
      <c r="BX4" s="135" t="s">
        <v>486</v>
      </c>
      <c r="BY4" s="136" t="s">
        <v>487</v>
      </c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tl3UHl6kXpE+on7RHYNznQKfulqO6JQNAmvBppk3sb2mL50fdSqvzTpyBn1J5ddnguR3dlsfmMcbus2NyIxA8Q==" saltValue="Bj08DWmcexiXpjqTyNVBGw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77" priority="12" operator="equal">
      <formula>#N/A</formula>
    </cfRule>
  </conditionalFormatting>
  <conditionalFormatting sqref="E1">
    <cfRule type="cellIs" dxfId="176" priority="11" operator="equal">
      <formula>#N/A</formula>
    </cfRule>
  </conditionalFormatting>
  <conditionalFormatting sqref="I1">
    <cfRule type="cellIs" dxfId="175" priority="10" operator="equal">
      <formula>#N/A</formula>
    </cfRule>
  </conditionalFormatting>
  <conditionalFormatting sqref="J1">
    <cfRule type="cellIs" dxfId="174" priority="9" operator="equal">
      <formula>#N/A</formula>
    </cfRule>
  </conditionalFormatting>
  <conditionalFormatting sqref="J1">
    <cfRule type="containsText" dxfId="173" priority="7" operator="containsText" text="All Data Import Successfully">
      <formula>NOT(ISERROR(SEARCH("All Data Import Successfully",J1)))</formula>
    </cfRule>
    <cfRule type="containsText" dxfId="172" priority="8" operator="containsText" text="Difference Entry">
      <formula>NOT(ISERROR(SEARCH("Difference Entry",J1)))</formula>
    </cfRule>
  </conditionalFormatting>
  <conditionalFormatting sqref="L2 E2:G2">
    <cfRule type="cellIs" dxfId="171" priority="6" operator="equal">
      <formula>#N/A</formula>
    </cfRule>
  </conditionalFormatting>
  <conditionalFormatting sqref="H2">
    <cfRule type="cellIs" dxfId="170" priority="5" operator="equal">
      <formula>#N/A</formula>
    </cfRule>
  </conditionalFormatting>
  <conditionalFormatting sqref="I2">
    <cfRule type="cellIs" dxfId="169" priority="4" operator="equal">
      <formula>#N/A</formula>
    </cfRule>
  </conditionalFormatting>
  <conditionalFormatting sqref="J2">
    <cfRule type="cellIs" dxfId="168" priority="3" operator="equal">
      <formula>#N/A</formula>
    </cfRule>
  </conditionalFormatting>
  <conditionalFormatting sqref="J2">
    <cfRule type="cellIs" dxfId="167" priority="2" operator="equal">
      <formula>0</formula>
    </cfRule>
  </conditionalFormatting>
  <conditionalFormatting sqref="K2">
    <cfRule type="cellIs" dxfId="166" priority="1" operator="equal">
      <formula>#N/A</formula>
    </cfRule>
  </conditionalFormatting>
  <dataValidations count="2">
    <dataValidation type="list" allowBlank="1" showInputMessage="1" showErrorMessage="1" sqref="P2" xr:uid="{00000000-0002-0000-0800-000000000000}">
      <formula1>"HSN+%"</formula1>
    </dataValidation>
    <dataValidation type="list" allowBlank="1" showInputMessage="1" showErrorMessage="1" sqref="B1" xr:uid="{00000000-0002-0000-08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7" tint="0.39997558519241921"/>
  </sheetPr>
  <dimension ref="A1:DO4"/>
  <sheetViews>
    <sheetView showRuler="0" workbookViewId="0"/>
  </sheetViews>
  <sheetFormatPr defaultRowHeight="15" x14ac:dyDescent="0.25"/>
  <cols>
    <col min="1" max="13" width="17.5703125" style="16" customWidth="1"/>
    <col min="14" max="14" width="31.28515625" style="16" customWidth="1"/>
    <col min="15" max="15" width="15.85546875" style="16" customWidth="1"/>
    <col min="16" max="16" width="16.28515625" style="16" customWidth="1"/>
    <col min="17" max="17" width="17.7109375" style="16" bestFit="1" customWidth="1"/>
    <col min="18" max="18" width="8.7109375" style="16" bestFit="1" customWidth="1"/>
    <col min="19" max="19" width="12" style="16" bestFit="1" customWidth="1"/>
    <col min="20" max="20" width="11" style="16" bestFit="1" customWidth="1"/>
    <col min="21" max="21" width="15.85546875" style="16" bestFit="1" customWidth="1"/>
    <col min="22" max="22" width="9.28515625" style="16" bestFit="1" customWidth="1"/>
    <col min="23" max="23" width="11.5703125" style="16" bestFit="1" customWidth="1"/>
    <col min="24" max="24" width="17" style="16" bestFit="1" customWidth="1"/>
    <col min="25" max="25" width="8.28515625" style="16" bestFit="1" customWidth="1"/>
    <col min="26" max="26" width="8.7109375" style="16" bestFit="1" customWidth="1"/>
    <col min="27" max="28" width="9" style="16" bestFit="1" customWidth="1"/>
    <col min="29" max="29" width="8.140625" style="16" bestFit="1" customWidth="1"/>
    <col min="30" max="30" width="14.5703125" style="16" bestFit="1" customWidth="1"/>
    <col min="31" max="31" width="29.85546875" style="16" bestFit="1" customWidth="1"/>
    <col min="32" max="32" width="25" style="16" customWidth="1"/>
    <col min="33" max="33" width="28.7109375" style="16" bestFit="1" customWidth="1"/>
    <col min="34" max="34" width="16.85546875" style="16" bestFit="1" customWidth="1"/>
    <col min="35" max="35" width="15.42578125" style="16" bestFit="1" customWidth="1"/>
    <col min="36" max="36" width="8.5703125" style="16" bestFit="1" customWidth="1"/>
    <col min="37" max="38" width="8.85546875" style="16" bestFit="1" customWidth="1"/>
    <col min="39" max="39" width="11.5703125" style="16" bestFit="1" customWidth="1"/>
    <col min="40" max="40" width="8.42578125" style="16" bestFit="1" customWidth="1"/>
    <col min="41" max="41" width="13.28515625" style="16" bestFit="1" customWidth="1"/>
    <col min="42" max="42" width="15.28515625" style="16" bestFit="1" customWidth="1"/>
    <col min="43" max="43" width="14.7109375" style="16" bestFit="1" customWidth="1"/>
    <col min="44" max="44" width="15.42578125" style="16" bestFit="1" customWidth="1"/>
    <col min="45" max="45" width="16.5703125" style="16" bestFit="1" customWidth="1"/>
    <col min="46" max="46" width="5" style="16" bestFit="1" customWidth="1"/>
    <col min="47" max="47" width="16.42578125" style="16" bestFit="1" customWidth="1"/>
    <col min="48" max="48" width="11.7109375" style="16" bestFit="1" customWidth="1"/>
    <col min="49" max="49" width="8.7109375" style="16" bestFit="1" customWidth="1"/>
    <col min="50" max="50" width="8.85546875" style="16" bestFit="1" customWidth="1"/>
    <col min="51" max="51" width="12.5703125" style="16" bestFit="1" customWidth="1"/>
    <col min="52" max="52" width="8.28515625" style="16" bestFit="1" customWidth="1"/>
    <col min="53" max="53" width="6.5703125" style="16" bestFit="1" customWidth="1"/>
    <col min="54" max="54" width="11" style="16" bestFit="1" customWidth="1"/>
    <col min="55" max="55" width="11.85546875" style="16" bestFit="1" customWidth="1"/>
    <col min="56" max="56" width="16.42578125" style="16" bestFit="1" customWidth="1"/>
    <col min="57" max="57" width="15" style="16" bestFit="1" customWidth="1"/>
    <col min="58" max="58" width="12" style="16" bestFit="1" customWidth="1"/>
    <col min="59" max="59" width="12.42578125" style="16" bestFit="1" customWidth="1"/>
    <col min="60" max="60" width="17.5703125" style="16" bestFit="1" customWidth="1"/>
    <col min="61" max="61" width="16.7109375" style="16" bestFit="1" customWidth="1"/>
    <col min="62" max="62" width="11.140625" style="16" bestFit="1" customWidth="1"/>
    <col min="63" max="63" width="8.5703125" style="16" bestFit="1" customWidth="1"/>
    <col min="64" max="64" width="16.7109375" style="16" bestFit="1" customWidth="1"/>
    <col min="65" max="65" width="13.140625" style="16" bestFit="1" customWidth="1"/>
    <col min="66" max="66" width="8.28515625" style="16" bestFit="1" customWidth="1"/>
    <col min="67" max="67" width="11.28515625" style="16" bestFit="1" customWidth="1"/>
    <col min="68" max="68" width="11.5703125" style="16" bestFit="1" customWidth="1"/>
    <col min="69" max="70" width="15.85546875" style="16" bestFit="1" customWidth="1"/>
    <col min="71" max="71" width="15.5703125" style="16" bestFit="1" customWidth="1"/>
    <col min="72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7.7109375" style="16" bestFit="1" customWidth="1"/>
    <col min="112" max="112" width="19.28515625" style="16" customWidth="1"/>
    <col min="113" max="113" width="19.85546875" style="16" customWidth="1"/>
    <col min="114" max="117" width="9.140625" style="16"/>
    <col min="118" max="118" width="18.7109375" style="16" customWidth="1"/>
    <col min="119" max="119" width="17.2851562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/>
      <c r="DF1" s="24"/>
      <c r="DG1" s="24"/>
      <c r="DH1" s="24"/>
      <c r="DI1" s="24">
        <v>2</v>
      </c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Myntra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 t="s">
        <v>5</v>
      </c>
      <c r="B3" s="63" t="s">
        <v>419</v>
      </c>
      <c r="C3" s="8"/>
      <c r="D3" s="8" t="s">
        <v>796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Myntra</v>
      </c>
      <c r="DC3" s="27" t="s">
        <v>85</v>
      </c>
      <c r="DD3" s="28" t="str">
        <f>+CONCATENATE(DJ3,"%",," ","(",DI3,")")</f>
        <v>0% ()</v>
      </c>
      <c r="DE3" s="29" t="str">
        <f>IFERROR(VLOOKUP(IF(ISBLANK(BV3),AE3,IF(ISBLANK(CF3),AL3,AR3)),Help!$A$2:$B$200,2,0),"+++++++++")</f>
        <v>+++++++++</v>
      </c>
      <c r="DF3" s="27" t="s">
        <v>85</v>
      </c>
      <c r="DG3" s="28" t="e">
        <f>+IF(ISBLANK(BV3),DATE(LEFT(M3,4), MID(M3,5,2), RIGHT(M3,2)),IF(ISBLANK(CF3),DATE(LEFT(AH3,4), MID(AH3,5,2), RIGHT(AH3,2)),DATE(LEFT(Q3,4), MID(Q3,5,2), RIGHT(Q3,2))))</f>
        <v>#VALUE!</v>
      </c>
      <c r="DH3" s="29" t="str">
        <f>+IF(ISBLANK(BV3),D3,IF(ISBLANK(CF3),G3,F3))</f>
        <v>C:\Users\ADITYA\Desktop\Ecomm\MYNTRA\MYNTRA GSTR REPORT PACKED.xlsx</v>
      </c>
      <c r="DI3" s="205" t="s">
        <v>85</v>
      </c>
      <c r="DJ3" s="29">
        <f>+IF(ISBLANK(BV3),Y3,IF(ISBLANK(CF3),Z3,AC3))</f>
        <v>0</v>
      </c>
      <c r="DK3" s="29">
        <f>+IF(ISBLANK(BV3),AN3,IF(ISBLANK(CF3),Q3,BE3))</f>
        <v>0</v>
      </c>
      <c r="DL3" s="26">
        <f>+IF(ISBLANK(BV3),BN3,IF(ISBLANK(CF3),BW3,CG3)*-1)</f>
        <v>0</v>
      </c>
      <c r="DM3" s="26">
        <f>+IF(ISBLANK(BV3),BP3,IF(ISBLANK(CF3),BY3,CI3)*-1)</f>
        <v>0</v>
      </c>
      <c r="DN3" s="26" t="str">
        <f>+IF(DE3="+++++++++","State","")</f>
        <v>State</v>
      </c>
      <c r="DO3" s="186" t="str">
        <f>IF(DE3="+++++++++",IF(ISBLANK(BV3),IF(ISBLANK(AE3),"",AE3),IF(ISBLANK(CF3),IF(ISBLANK(AL3),"",AL3),IF(ISBLANK(AR3),"",AR3))),"")</f>
        <v/>
      </c>
    </row>
    <row r="4" spans="1:119" customFormat="1" ht="15.75" thickBot="1" x14ac:dyDescent="0.3">
      <c r="A4" s="174" t="s">
        <v>541</v>
      </c>
      <c r="B4" s="175" t="s">
        <v>120</v>
      </c>
      <c r="C4" s="175" t="s">
        <v>542</v>
      </c>
      <c r="D4" s="175" t="s">
        <v>543</v>
      </c>
      <c r="E4" s="175" t="s">
        <v>544</v>
      </c>
      <c r="F4" s="175" t="s">
        <v>545</v>
      </c>
      <c r="G4" s="175" t="s">
        <v>546</v>
      </c>
      <c r="H4" s="175" t="s">
        <v>547</v>
      </c>
      <c r="I4" s="175" t="s">
        <v>548</v>
      </c>
      <c r="J4" s="175" t="s">
        <v>117</v>
      </c>
      <c r="K4" s="175" t="s">
        <v>549</v>
      </c>
      <c r="L4" s="175" t="s">
        <v>550</v>
      </c>
      <c r="M4" s="175" t="s">
        <v>551</v>
      </c>
      <c r="N4" s="175" t="s">
        <v>552</v>
      </c>
      <c r="O4" s="175" t="s">
        <v>553</v>
      </c>
      <c r="P4" s="175" t="s">
        <v>554</v>
      </c>
      <c r="Q4" s="175" t="s">
        <v>555</v>
      </c>
      <c r="R4" s="175" t="s">
        <v>556</v>
      </c>
      <c r="S4" s="175" t="s">
        <v>557</v>
      </c>
      <c r="T4" s="175" t="s">
        <v>558</v>
      </c>
      <c r="U4" s="175" t="s">
        <v>559</v>
      </c>
      <c r="V4" s="175" t="s">
        <v>560</v>
      </c>
      <c r="W4" s="175" t="s">
        <v>561</v>
      </c>
      <c r="X4" s="175" t="s">
        <v>562</v>
      </c>
      <c r="Y4" s="175" t="s">
        <v>563</v>
      </c>
      <c r="Z4" s="175" t="s">
        <v>564</v>
      </c>
      <c r="AA4" s="175" t="s">
        <v>565</v>
      </c>
      <c r="AB4" s="175" t="s">
        <v>566</v>
      </c>
      <c r="AC4" s="175" t="s">
        <v>567</v>
      </c>
      <c r="AD4" s="175" t="s">
        <v>568</v>
      </c>
      <c r="AE4" s="175" t="s">
        <v>569</v>
      </c>
      <c r="AF4" s="175" t="s">
        <v>570</v>
      </c>
      <c r="AG4" s="175" t="s">
        <v>571</v>
      </c>
      <c r="AH4" s="175" t="s">
        <v>572</v>
      </c>
      <c r="AI4" s="175" t="s">
        <v>573</v>
      </c>
      <c r="AJ4" s="175" t="s">
        <v>574</v>
      </c>
      <c r="AK4" s="175" t="s">
        <v>575</v>
      </c>
      <c r="AL4" s="175" t="s">
        <v>576</v>
      </c>
      <c r="AM4" s="175" t="s">
        <v>577</v>
      </c>
      <c r="AN4" s="175" t="s">
        <v>116</v>
      </c>
      <c r="AO4" s="175" t="s">
        <v>578</v>
      </c>
      <c r="AP4" s="175" t="s">
        <v>579</v>
      </c>
      <c r="AQ4" s="175" t="s">
        <v>580</v>
      </c>
      <c r="AR4" s="175" t="s">
        <v>581</v>
      </c>
      <c r="AS4" s="175" t="s">
        <v>582</v>
      </c>
      <c r="AT4" s="175" t="s">
        <v>583</v>
      </c>
      <c r="AU4" s="175" t="s">
        <v>584</v>
      </c>
      <c r="AV4" s="175" t="s">
        <v>585</v>
      </c>
      <c r="AW4" s="175" t="s">
        <v>586</v>
      </c>
      <c r="AX4" s="175" t="s">
        <v>587</v>
      </c>
      <c r="AY4" s="175" t="s">
        <v>588</v>
      </c>
      <c r="AZ4" s="175" t="s">
        <v>589</v>
      </c>
      <c r="BA4" s="175" t="s">
        <v>590</v>
      </c>
      <c r="BB4" s="175" t="s">
        <v>591</v>
      </c>
      <c r="BC4" s="175" t="s">
        <v>592</v>
      </c>
      <c r="BD4" s="175" t="s">
        <v>593</v>
      </c>
      <c r="BE4" s="175" t="s">
        <v>594</v>
      </c>
      <c r="BF4" s="175" t="s">
        <v>80</v>
      </c>
      <c r="BG4" s="175" t="s">
        <v>595</v>
      </c>
      <c r="BH4" s="175" t="s">
        <v>596</v>
      </c>
      <c r="BI4" s="175" t="s">
        <v>597</v>
      </c>
      <c r="BJ4" s="175" t="s">
        <v>598</v>
      </c>
      <c r="BK4" s="175" t="s">
        <v>599</v>
      </c>
      <c r="BL4" s="175" t="s">
        <v>600</v>
      </c>
      <c r="BM4" s="175" t="s">
        <v>759</v>
      </c>
      <c r="BN4" s="175" t="s">
        <v>601</v>
      </c>
      <c r="BO4" s="175" t="s">
        <v>602</v>
      </c>
      <c r="BP4" s="175" t="s">
        <v>603</v>
      </c>
      <c r="BQ4" s="175" t="s">
        <v>604</v>
      </c>
      <c r="BR4" s="175" t="s">
        <v>605</v>
      </c>
      <c r="BS4" s="175" t="s">
        <v>606</v>
      </c>
      <c r="BT4" s="176" t="s">
        <v>607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Myntra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m7jIwm+Zn8RmZKfnhycAp1PM64B36gzxlAjLDe4hZXd1IACwtN34XPKus2RyxAlHrpmMASFwcdc9zriKK4ubWQ==" saltValue="2ER0cZYH3C811ayf0YB+jA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65" priority="12" operator="equal">
      <formula>#N/A</formula>
    </cfRule>
  </conditionalFormatting>
  <conditionalFormatting sqref="E1">
    <cfRule type="cellIs" dxfId="164" priority="11" operator="equal">
      <formula>#N/A</formula>
    </cfRule>
  </conditionalFormatting>
  <conditionalFormatting sqref="I1">
    <cfRule type="cellIs" dxfId="163" priority="10" operator="equal">
      <formula>#N/A</formula>
    </cfRule>
  </conditionalFormatting>
  <conditionalFormatting sqref="J1">
    <cfRule type="cellIs" dxfId="162" priority="9" operator="equal">
      <formula>#N/A</formula>
    </cfRule>
  </conditionalFormatting>
  <conditionalFormatting sqref="J1">
    <cfRule type="containsText" dxfId="161" priority="7" operator="containsText" text="All Data Import Successfully">
      <formula>NOT(ISERROR(SEARCH("All Data Import Successfully",J1)))</formula>
    </cfRule>
    <cfRule type="containsText" dxfId="160" priority="8" operator="containsText" text="Difference Entry">
      <formula>NOT(ISERROR(SEARCH("Difference Entry",J1)))</formula>
    </cfRule>
  </conditionalFormatting>
  <conditionalFormatting sqref="L2 E2:G2">
    <cfRule type="cellIs" dxfId="159" priority="6" operator="equal">
      <formula>#N/A</formula>
    </cfRule>
  </conditionalFormatting>
  <conditionalFormatting sqref="H2">
    <cfRule type="cellIs" dxfId="158" priority="5" operator="equal">
      <formula>#N/A</formula>
    </cfRule>
  </conditionalFormatting>
  <conditionalFormatting sqref="I2">
    <cfRule type="cellIs" dxfId="157" priority="4" operator="equal">
      <formula>#N/A</formula>
    </cfRule>
  </conditionalFormatting>
  <conditionalFormatting sqref="J2">
    <cfRule type="cellIs" dxfId="156" priority="3" operator="equal">
      <formula>#N/A</formula>
    </cfRule>
  </conditionalFormatting>
  <conditionalFormatting sqref="J2">
    <cfRule type="cellIs" dxfId="155" priority="2" operator="equal">
      <formula>0</formula>
    </cfRule>
  </conditionalFormatting>
  <conditionalFormatting sqref="K2">
    <cfRule type="cellIs" dxfId="154" priority="1" operator="equal">
      <formula>#N/A</formula>
    </cfRule>
  </conditionalFormatting>
  <dataValidations count="2">
    <dataValidation type="list" allowBlank="1" showInputMessage="1" showErrorMessage="1" sqref="B1" xr:uid="{00000000-0002-0000-0900-000000000000}">
      <formula1>"1,2"</formula1>
    </dataValidation>
    <dataValidation type="list" allowBlank="1" showInputMessage="1" showErrorMessage="1" sqref="P2" xr:uid="{00000000-0002-0000-0900-000001000000}">
      <formula1>"HSN+%"</formula1>
    </dataValidation>
  </dataValidation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theme="7" tint="0.59999389629810485"/>
  </sheetPr>
  <dimension ref="A1:DT4"/>
  <sheetViews>
    <sheetView workbookViewId="0">
      <selection activeCell="G11" sqref="G1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1" width="9.140625" style="16"/>
    <col min="22" max="22" width="19.5703125" style="16" customWidth="1"/>
    <col min="23" max="23" width="9.140625" style="16"/>
    <col min="24" max="24" width="17.85546875" style="16" customWidth="1"/>
    <col min="25" max="25" width="28.5703125" style="16" bestFit="1" customWidth="1"/>
    <col min="26" max="26" width="9.140625" style="16"/>
    <col min="27" max="33" width="12.42578125" style="16" customWidth="1"/>
    <col min="34" max="36" width="9.140625" style="16"/>
    <col min="37" max="37" width="17.85546875" style="16" bestFit="1" customWidth="1"/>
    <col min="38" max="45" width="9.140625" style="16"/>
    <col min="46" max="46" width="19.85546875" style="16" bestFit="1" customWidth="1"/>
    <col min="47" max="47" width="9.140625" style="16"/>
    <col min="48" max="48" width="23.85546875" style="16" bestFit="1" customWidth="1"/>
    <col min="49" max="50" width="9.140625" style="16"/>
    <col min="51" max="51" width="19.85546875" style="16" bestFit="1" customWidth="1"/>
    <col min="52" max="52" width="20" style="16" bestFit="1" customWidth="1"/>
    <col min="53" max="104" width="9.140625" style="16"/>
    <col min="105" max="105" width="10.42578125" style="16" bestFit="1" customWidth="1"/>
    <col min="106" max="106" width="14.1406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716</v>
      </c>
      <c r="B1" s="81">
        <v>1</v>
      </c>
      <c r="C1" s="4"/>
      <c r="D1" s="18"/>
      <c r="E1" s="43" t="s">
        <v>96</v>
      </c>
      <c r="F1" s="44" t="s">
        <v>736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717</v>
      </c>
      <c r="P1" s="396"/>
      <c r="AA1" s="209">
        <v>2</v>
      </c>
      <c r="AB1" s="210">
        <v>0</v>
      </c>
      <c r="AC1" s="210"/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+COUNTA(A:A)-3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 t="s">
        <v>718</v>
      </c>
      <c r="AB2" s="2" t="s">
        <v>738</v>
      </c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71</v>
      </c>
      <c r="DB2" s="91" t="s">
        <v>886</v>
      </c>
      <c r="DC2" s="92" t="s">
        <v>719</v>
      </c>
      <c r="DD2" s="92" t="s">
        <v>720</v>
      </c>
      <c r="DE2" s="92" t="s">
        <v>1</v>
      </c>
      <c r="DF2" s="92" t="s">
        <v>721</v>
      </c>
      <c r="DG2" s="92" t="s">
        <v>722</v>
      </c>
      <c r="DH2" s="92" t="s">
        <v>723</v>
      </c>
      <c r="DI2" s="92" t="s">
        <v>724</v>
      </c>
      <c r="DJ2" s="92" t="s">
        <v>725</v>
      </c>
      <c r="DK2" s="92" t="s">
        <v>78</v>
      </c>
      <c r="DL2" s="92" t="s">
        <v>106</v>
      </c>
      <c r="DM2" s="92" t="s">
        <v>80</v>
      </c>
      <c r="DN2" s="92" t="s">
        <v>245</v>
      </c>
      <c r="DO2" s="93" t="s">
        <v>726</v>
      </c>
    </row>
    <row r="3" spans="1:124" customFormat="1" ht="15.75" thickBot="1" x14ac:dyDescent="0.3">
      <c r="A3" s="373"/>
      <c r="B3" s="63" t="s">
        <v>715</v>
      </c>
      <c r="C3" s="8"/>
      <c r="D3" s="62" t="s">
        <v>757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6" t="str">
        <f>IFERROR(VLOOKUP(U3,Help!$A$2:C$170,2,0),"+++++++++")</f>
        <v>+++++++++</v>
      </c>
      <c r="DB3" s="26" t="str">
        <f>+DB2</f>
        <v>Ecomm Party</v>
      </c>
      <c r="DC3" s="27" t="s">
        <v>85</v>
      </c>
      <c r="DD3" s="26" t="str">
        <f>IF($O$2=2,IFERROR(VLOOKUP(H3,Help!X$3:Z$50000,3,0),"+++++++++"),IF($O$2=3,H3,CONCATENATE(DJ3,"%",," ","(",DI3,")")))</f>
        <v>0% ()</v>
      </c>
      <c r="DE3" s="26" t="str">
        <f>IFERROR(VLOOKUP(V3,Help!$A$2:C$170,2,0),"+++++++++")</f>
        <v>+++++++++</v>
      </c>
      <c r="DF3" s="27" t="s">
        <v>85</v>
      </c>
      <c r="DG3" s="224" t="e">
        <f>+IF(ISBLANK(AY3),TEXT(DATEVALUE(MID(Y3,1,10)),"DD/MM/YYYY"),TEXT(DATEVALUE(MID(AY3,1,10)),"DD/MM/YYYY"))</f>
        <v>#VALUE!</v>
      </c>
      <c r="DH3" s="58">
        <f>+IF(ISBLANK(AY3),X3,AZ3)</f>
        <v>0</v>
      </c>
      <c r="DI3" s="205" t="str">
        <f>+IF(ISBLANK(AB3),"",AB3)</f>
        <v/>
      </c>
      <c r="DJ3" s="187">
        <f>+VALUE(AG3)</f>
        <v>0</v>
      </c>
      <c r="DK3" s="29">
        <f>+VALUE(R3)</f>
        <v>0</v>
      </c>
      <c r="DL3" s="58">
        <f>+IF(ISBLANK(AY3),VALUE(AH3),VALUE(-AH3))</f>
        <v>0</v>
      </c>
      <c r="DM3" s="58">
        <f>+IF(ISBLANK(AY3),VALUE(AN3),VALUE(-AN3))</f>
        <v>0</v>
      </c>
      <c r="DN3" s="26" t="str">
        <f>CONCATENATE(IF(DE3="+++++++++","State",""),IF(DD3="+++++++++","PrctName",""))</f>
        <v>State</v>
      </c>
      <c r="DO3" s="26" t="str">
        <f>CONCATENATE(IF(DE3="+++++++++",V3,""),IF(DD3="+++++++++",H3,""))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206" t="s">
        <v>727</v>
      </c>
      <c r="B4" s="207" t="s">
        <v>666</v>
      </c>
      <c r="C4" s="207" t="s">
        <v>667</v>
      </c>
      <c r="D4" s="207" t="s">
        <v>668</v>
      </c>
      <c r="E4" s="207" t="s">
        <v>669</v>
      </c>
      <c r="F4" s="207" t="s">
        <v>670</v>
      </c>
      <c r="G4" s="207" t="s">
        <v>671</v>
      </c>
      <c r="H4" s="207" t="s">
        <v>672</v>
      </c>
      <c r="I4" s="207" t="s">
        <v>673</v>
      </c>
      <c r="J4" s="207" t="s">
        <v>674</v>
      </c>
      <c r="K4" s="207" t="s">
        <v>675</v>
      </c>
      <c r="L4" s="207" t="s">
        <v>676</v>
      </c>
      <c r="M4" s="207" t="s">
        <v>677</v>
      </c>
      <c r="N4" s="207" t="s">
        <v>678</v>
      </c>
      <c r="O4" s="207" t="s">
        <v>679</v>
      </c>
      <c r="P4" s="207" t="s">
        <v>680</v>
      </c>
      <c r="Q4" s="207" t="s">
        <v>681</v>
      </c>
      <c r="R4" s="207" t="s">
        <v>682</v>
      </c>
      <c r="S4" s="207" t="s">
        <v>683</v>
      </c>
      <c r="T4" s="207" t="s">
        <v>684</v>
      </c>
      <c r="U4" s="207" t="s">
        <v>685</v>
      </c>
      <c r="V4" s="207" t="s">
        <v>686</v>
      </c>
      <c r="W4" s="207" t="s">
        <v>687</v>
      </c>
      <c r="X4" s="207" t="s">
        <v>688</v>
      </c>
      <c r="Y4" s="207" t="s">
        <v>689</v>
      </c>
      <c r="Z4" s="207" t="s">
        <v>690</v>
      </c>
      <c r="AA4" s="207" t="s">
        <v>691</v>
      </c>
      <c r="AB4" s="207" t="s">
        <v>692</v>
      </c>
      <c r="AC4" s="207" t="s">
        <v>693</v>
      </c>
      <c r="AD4" s="207" t="s">
        <v>694</v>
      </c>
      <c r="AE4" s="207" t="s">
        <v>695</v>
      </c>
      <c r="AF4" s="207" t="s">
        <v>696</v>
      </c>
      <c r="AG4" s="207" t="s">
        <v>697</v>
      </c>
      <c r="AH4" s="207" t="s">
        <v>698</v>
      </c>
      <c r="AI4" s="207" t="s">
        <v>699</v>
      </c>
      <c r="AJ4" s="207" t="s">
        <v>700</v>
      </c>
      <c r="AK4" s="207" t="s">
        <v>701</v>
      </c>
      <c r="AL4" s="207" t="s">
        <v>702</v>
      </c>
      <c r="AM4" s="207" t="s">
        <v>703</v>
      </c>
      <c r="AN4" s="207" t="s">
        <v>704</v>
      </c>
      <c r="AO4" s="207" t="s">
        <v>705</v>
      </c>
      <c r="AP4" s="207" t="s">
        <v>706</v>
      </c>
      <c r="AQ4" s="207" t="s">
        <v>707</v>
      </c>
      <c r="AR4" s="207" t="s">
        <v>708</v>
      </c>
      <c r="AS4" s="207" t="s">
        <v>709</v>
      </c>
      <c r="AT4" s="207" t="s">
        <v>710</v>
      </c>
      <c r="AU4" s="207" t="s">
        <v>711</v>
      </c>
      <c r="AV4" s="207" t="s">
        <v>712</v>
      </c>
      <c r="AW4" s="207" t="s">
        <v>713</v>
      </c>
      <c r="AX4" s="208" t="s">
        <v>714</v>
      </c>
      <c r="AY4" s="208" t="s">
        <v>739</v>
      </c>
      <c r="AZ4" s="208" t="s">
        <v>740</v>
      </c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/>
      <c r="DB4" s="121"/>
      <c r="DC4" s="122"/>
      <c r="DD4" s="121"/>
      <c r="DE4" s="121"/>
      <c r="DF4" s="122"/>
      <c r="DG4" s="123"/>
      <c r="DH4" s="124"/>
      <c r="DI4" s="125"/>
      <c r="DJ4" s="126"/>
      <c r="DK4" s="125"/>
      <c r="DL4" s="121"/>
      <c r="DM4" s="127"/>
      <c r="DN4" s="121"/>
      <c r="DO4" s="121"/>
      <c r="DP4" s="122"/>
    </row>
  </sheetData>
  <sheetProtection algorithmName="SHA-512" hashValue="H4nv1GvAaPU9/fc2h60trR2m1ni2sRCM9T8rNBsNmEvgtT1TOx9dcVQ7jxxma0rFlJECbRvVP0DcFA48k1L0Sw==" saltValue="X2e2or6toTCK7ejwBvkOvQ==" spinCount="100000" sheet="1" objects="1" scenarios="1"/>
  <mergeCells count="1">
    <mergeCell ref="O1:P1"/>
  </mergeCells>
  <conditionalFormatting sqref="H1">
    <cfRule type="cellIs" dxfId="153" priority="12" operator="equal">
      <formula>#N/A</formula>
    </cfRule>
  </conditionalFormatting>
  <conditionalFormatting sqref="E1">
    <cfRule type="cellIs" dxfId="152" priority="11" operator="equal">
      <formula>#N/A</formula>
    </cfRule>
  </conditionalFormatting>
  <conditionalFormatting sqref="I1">
    <cfRule type="cellIs" dxfId="151" priority="10" operator="equal">
      <formula>#N/A</formula>
    </cfRule>
  </conditionalFormatting>
  <conditionalFormatting sqref="J1">
    <cfRule type="cellIs" dxfId="150" priority="9" operator="equal">
      <formula>#N/A</formula>
    </cfRule>
  </conditionalFormatting>
  <conditionalFormatting sqref="J1">
    <cfRule type="containsText" dxfId="149" priority="7" operator="containsText" text="All Data Import Successfully">
      <formula>NOT(ISERROR(SEARCH("All Data Import Successfully",J1)))</formula>
    </cfRule>
    <cfRule type="containsText" dxfId="148" priority="8" operator="containsText" text="Difference Entry">
      <formula>NOT(ISERROR(SEARCH("Difference Entry",J1)))</formula>
    </cfRule>
  </conditionalFormatting>
  <conditionalFormatting sqref="L2 E2:G2">
    <cfRule type="cellIs" dxfId="147" priority="6" operator="equal">
      <formula>#N/A</formula>
    </cfRule>
  </conditionalFormatting>
  <conditionalFormatting sqref="H2">
    <cfRule type="cellIs" dxfId="146" priority="5" operator="equal">
      <formula>#N/A</formula>
    </cfRule>
  </conditionalFormatting>
  <conditionalFormatting sqref="I2">
    <cfRule type="cellIs" dxfId="145" priority="4" operator="equal">
      <formula>#N/A</formula>
    </cfRule>
  </conditionalFormatting>
  <conditionalFormatting sqref="J2">
    <cfRule type="cellIs" dxfId="144" priority="3" operator="equal">
      <formula>#N/A</formula>
    </cfRule>
  </conditionalFormatting>
  <conditionalFormatting sqref="J2">
    <cfRule type="cellIs" dxfId="143" priority="2" operator="equal">
      <formula>0</formula>
    </cfRule>
  </conditionalFormatting>
  <conditionalFormatting sqref="K2">
    <cfRule type="cellIs" dxfId="142" priority="1" operator="equal">
      <formula>#N/A</formula>
    </cfRule>
  </conditionalFormatting>
  <dataValidations count="2">
    <dataValidation type="list" allowBlank="1" showInputMessage="1" showErrorMessage="1" sqref="P2" xr:uid="{00000000-0002-0000-0A00-000000000000}">
      <formula1>"HSN+%,Alias,Product"</formula1>
    </dataValidation>
    <dataValidation type="list" allowBlank="1" showInputMessage="1" showErrorMessage="1" sqref="B1" xr:uid="{00000000-0002-0000-0A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5" tint="0.59999389629810485"/>
  </sheetPr>
  <dimension ref="A1:DO4"/>
  <sheetViews>
    <sheetView showRuler="0" workbookViewId="0"/>
  </sheetViews>
  <sheetFormatPr defaultRowHeight="15" x14ac:dyDescent="0.25"/>
  <cols>
    <col min="1" max="1" width="17.5703125" style="16" customWidth="1"/>
    <col min="2" max="2" width="19" style="16" bestFit="1" customWidth="1"/>
    <col min="3" max="3" width="18.42578125" style="16" bestFit="1" customWidth="1"/>
    <col min="4" max="13" width="17.5703125" style="16" customWidth="1"/>
    <col min="14" max="14" width="29.42578125" style="16" customWidth="1"/>
    <col min="15" max="15" width="20.28515625" style="16" customWidth="1"/>
    <col min="16" max="16" width="23.5703125" style="16" customWidth="1"/>
    <col min="17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8.42578125" style="16" bestFit="1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3.85546875" style="16" customWidth="1"/>
    <col min="119" max="119" width="19.85546875" style="16" customWidth="1"/>
    <col min="120" max="16384" width="9.140625" style="16"/>
  </cols>
  <sheetData>
    <row r="1" spans="1:119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2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</row>
    <row r="2" spans="1:119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+COUNTA(A:A)-3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>
        <f>+A3</f>
        <v>0</v>
      </c>
      <c r="DB2" s="91" t="str">
        <f>+B3</f>
        <v>Mirrow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19" customFormat="1" ht="15.75" thickBot="1" x14ac:dyDescent="0.3">
      <c r="A3" s="62"/>
      <c r="B3" s="63" t="s">
        <v>883</v>
      </c>
      <c r="C3" s="8"/>
      <c r="D3" s="8" t="s">
        <v>882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VLOOKUP(VALUE(LEFT(B3,2)),Help!$E$2:$F$45,2,0)</f>
        <v>#VALUE!</v>
      </c>
      <c r="DB3" s="26" t="str">
        <f>+DB2</f>
        <v>Mirrow</v>
      </c>
      <c r="DC3" s="27" t="str">
        <f>+IF(W3=$A$3,"B2B-S",IF(Y3=$A$3,"B2B-R",IF(S3=$A$3,"B2C-S",IF(U3=$A$3,"B2C-R","State Wrong"))))</f>
        <v>B2B-S</v>
      </c>
      <c r="DD3" s="57" t="str">
        <f>IF($O$2=2,IFERROR(VLOOKUP(SUBSTITUTE(RIGHT(LEFT(F3,(LEN(F3)-3)),(LEN(LEFT(F3,(LEN(F3)-3)))-3)),"SKU:",""),Help!U$3:Z$50000,6,0),"+++++++++"),IF($O$2=3,SUBSTITUTE(RIGHT(LEFT(F3,(LEN(F3)-3)),(LEN(LEFT(F3,(LEN(F3)-3)))-3)),"SKU:",""),CONCATENATE(DJ3,"%",," ","(",DI3,")")))</f>
        <v>0% ()</v>
      </c>
      <c r="DE3" s="29" t="str">
        <f>IFERROR(VLOOKUP(IF(DC3="B2B-S",VLOOKUP(VALUE(LEFT(C3,2)),Help!$E$2:$F$60,2,0),IF(DC3="B2B-R",VLOOKUP(VALUE(LEFT(C3,2)),Help!$E$2:$F$60,2,0),IF(DC3="B2C-S",R3,IF(DC3="B2C-R",T3,Wrong ST)))),Help!$A$2:C$170,2,0),"+++++++++")</f>
        <v>+++++++++</v>
      </c>
      <c r="DF3" s="202">
        <f>IF(LEFT(DC3,3)="B2B",C3,"")</f>
        <v>0</v>
      </c>
      <c r="DG3" s="28">
        <f>+IF(DC3="B2B-S",G3,IF(DC3="B2B-R",I3,IF(DC3="B2C-S",E3,IF(DC3="B2C-R",E3,0))))</f>
        <v>0</v>
      </c>
      <c r="DH3" s="26">
        <f>+IF(DC3="B2B-S",F3,IF(DC3="B2B-R",H3,IF(DC3="B2C-S",D3,IF(DC3="B2C-R",D3,0))))</f>
        <v>0</v>
      </c>
      <c r="DI3" s="29" t="str">
        <f>+IF(DC3="B2B-S",IF(ISBLANK(J3),"",J3),IF(DC3="B2B-R",IF(ISBLANK(L3),"",L3),IF(DC3="B2C-S",IF(ISBLANK(L3),"",L3),IF(DC3="B2C-R",IF(ISBLANK(N3),"",N3),""))))</f>
        <v/>
      </c>
      <c r="DJ3" s="26">
        <f>+IF(DC3="B2B-S",R3,IF(DC3="B2B-R",T3,IF(DC3="B2C-S",K3,IF(DC3="B2C-R",M3,0))))</f>
        <v>0</v>
      </c>
      <c r="DK3" s="26">
        <f>+IF(DC3="B2B-S",I3,IF(DC3="B2B-R",K3,IF(DC3="B2C-S",G3,IF(DC3="B2C-R",I3,0))))</f>
        <v>0</v>
      </c>
      <c r="DL3" s="26">
        <f>+IF(DC3="B2B-S",Q3,IF(DC3="B2B-R",-S3,IF(DC3="B2C-S",M3,IF(DC3="B2C-R",-O3,0))))</f>
        <v>0</v>
      </c>
      <c r="DM3" s="203" t="str">
        <f>IF(LEFT(DC3,3)="B2C",DL3*0.01,"")</f>
        <v/>
      </c>
      <c r="DN3" s="26" t="str">
        <f>+IF(DE3="+++++++++","State","")</f>
        <v>State</v>
      </c>
      <c r="DO3" s="186" t="e">
        <f>IF(DE3="+++++++++",IF(DC3="B2B-S",VLOOKUP(VALUE(LEFT(C3,2)),Help!$E$2:$F$60,2,0),IF(DC3="B2B-R",VLOOKUP(VALUE(LEFT(C3,2)),Help!$E$2:$F$60,2,0),IF(DC3="B2C-S",IF(ISBLANK(R3),"",R3),IF(DC3="B2C-R",IF(ISBLANK(T3),"",T3),Wrong ST)))),"")</f>
        <v>#VALUE!</v>
      </c>
    </row>
    <row r="4" spans="1:119" customFormat="1" ht="15.75" thickBot="1" x14ac:dyDescent="0.3">
      <c r="A4" s="199" t="s">
        <v>645</v>
      </c>
      <c r="B4" s="200" t="s">
        <v>646</v>
      </c>
      <c r="C4" s="200" t="s">
        <v>647</v>
      </c>
      <c r="D4" s="200" t="s">
        <v>404</v>
      </c>
      <c r="E4" s="200" t="s">
        <v>648</v>
      </c>
      <c r="F4" s="200" t="s">
        <v>649</v>
      </c>
      <c r="G4" s="200" t="s">
        <v>650</v>
      </c>
      <c r="H4" s="200" t="s">
        <v>651</v>
      </c>
      <c r="I4" s="200" t="s">
        <v>162</v>
      </c>
      <c r="J4" s="200" t="s">
        <v>55</v>
      </c>
      <c r="K4" s="200" t="s">
        <v>652</v>
      </c>
      <c r="L4" s="200" t="s">
        <v>653</v>
      </c>
      <c r="M4" s="200" t="s">
        <v>654</v>
      </c>
      <c r="N4" s="200" t="s">
        <v>655</v>
      </c>
      <c r="O4" s="200" t="s">
        <v>656</v>
      </c>
      <c r="P4" s="200" t="s">
        <v>657</v>
      </c>
      <c r="Q4" s="200" t="s">
        <v>658</v>
      </c>
      <c r="R4" s="200" t="s">
        <v>659</v>
      </c>
      <c r="S4" s="200" t="s">
        <v>412</v>
      </c>
      <c r="T4" s="200" t="s">
        <v>413</v>
      </c>
      <c r="U4" s="200" t="s">
        <v>415</v>
      </c>
      <c r="V4" s="200" t="s">
        <v>430</v>
      </c>
      <c r="W4" s="201" t="s">
        <v>660</v>
      </c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Mirrow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PHwauVpXvzsBBRwntwlibV6Z+PKKUrl5BeWC6IxXmLybb/9iTrlWHXQ730L5+qgOcyxsT/1nwlQT8Et9T8VOvQ==" saltValue="rL/9UPeIiJu8WRJkS8QRFw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41" priority="12" operator="equal">
      <formula>#N/A</formula>
    </cfRule>
  </conditionalFormatting>
  <conditionalFormatting sqref="E1">
    <cfRule type="cellIs" dxfId="140" priority="11" operator="equal">
      <formula>#N/A</formula>
    </cfRule>
  </conditionalFormatting>
  <conditionalFormatting sqref="I1">
    <cfRule type="cellIs" dxfId="139" priority="10" operator="equal">
      <formula>#N/A</formula>
    </cfRule>
  </conditionalFormatting>
  <conditionalFormatting sqref="J1">
    <cfRule type="cellIs" dxfId="138" priority="9" operator="equal">
      <formula>#N/A</formula>
    </cfRule>
  </conditionalFormatting>
  <conditionalFormatting sqref="J1">
    <cfRule type="containsText" dxfId="137" priority="7" operator="containsText" text="All Data Import Successfully">
      <formula>NOT(ISERROR(SEARCH("All Data Import Successfully",J1)))</formula>
    </cfRule>
    <cfRule type="containsText" dxfId="136" priority="8" operator="containsText" text="Difference Entry">
      <formula>NOT(ISERROR(SEARCH("Difference Entry",J1)))</formula>
    </cfRule>
  </conditionalFormatting>
  <conditionalFormatting sqref="L2 E2:G2">
    <cfRule type="cellIs" dxfId="135" priority="6" operator="equal">
      <formula>#N/A</formula>
    </cfRule>
  </conditionalFormatting>
  <conditionalFormatting sqref="H2">
    <cfRule type="cellIs" dxfId="134" priority="5" operator="equal">
      <formula>#N/A</formula>
    </cfRule>
  </conditionalFormatting>
  <conditionalFormatting sqref="I2">
    <cfRule type="cellIs" dxfId="133" priority="4" operator="equal">
      <formula>#N/A</formula>
    </cfRule>
  </conditionalFormatting>
  <conditionalFormatting sqref="J2">
    <cfRule type="cellIs" dxfId="132" priority="3" operator="equal">
      <formula>#N/A</formula>
    </cfRule>
  </conditionalFormatting>
  <conditionalFormatting sqref="J2">
    <cfRule type="cellIs" dxfId="131" priority="2" operator="equal">
      <formula>0</formula>
    </cfRule>
  </conditionalFormatting>
  <conditionalFormatting sqref="K2">
    <cfRule type="cellIs" dxfId="130" priority="1" operator="equal">
      <formula>#N/A</formula>
    </cfRule>
  </conditionalFormatting>
  <dataValidations count="2">
    <dataValidation type="list" allowBlank="1" showInputMessage="1" showErrorMessage="1" sqref="P2" xr:uid="{00000000-0002-0000-0B00-000000000000}">
      <formula1>"HSN+%"</formula1>
    </dataValidation>
    <dataValidation type="list" allowBlank="1" showInputMessage="1" showErrorMessage="1" sqref="B1" xr:uid="{00000000-0002-0000-0B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9" tint="0.59999389629810485"/>
  </sheetPr>
  <dimension ref="A1:GV4"/>
  <sheetViews>
    <sheetView showRuler="0"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20" width="9.140625" style="16"/>
    <col min="21" max="21" width="20.85546875" style="16" bestFit="1" customWidth="1"/>
    <col min="22" max="31" width="9.140625" style="16"/>
    <col min="32" max="32" width="23" style="16" customWidth="1"/>
    <col min="33" max="39" width="9.140625" style="16"/>
    <col min="40" max="40" width="10.42578125" style="16" bestFit="1" customWidth="1"/>
    <col min="41" max="105" width="9.140625" style="16"/>
    <col min="106" max="106" width="15.5703125" style="16" customWidth="1"/>
    <col min="107" max="107" width="16.140625" style="16" customWidth="1"/>
    <col min="108" max="108" width="25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140625" style="16"/>
    <col min="115" max="115" width="10.7109375" style="16" bestFit="1" customWidth="1"/>
    <col min="116" max="117" width="9.140625" style="16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+COUNTA(A:A)-4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41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/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6" t="str">
        <f>+IF(ISBLANK(L3),"",L3)</f>
        <v/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6" t="str">
        <f>+IF(ISBLANK(P3),"",P3)</f>
        <v/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+T3</f>
        <v>0</v>
      </c>
      <c r="DK3" s="121">
        <f>+VALUE(IF(DL3=0,"0",I3))</f>
        <v>0</v>
      </c>
      <c r="DL3" s="121">
        <f>VALUE(IF(DM3=0,"0",U3))</f>
        <v>0</v>
      </c>
      <c r="DM3" s="27">
        <f>+AB3+AC3</f>
        <v>0</v>
      </c>
      <c r="DN3" s="26">
        <f>IF(DE3="+++++++++",M3,"")</f>
        <v>0</v>
      </c>
    </row>
    <row r="4" spans="1:204" s="1" customFormat="1" ht="39" customHeight="1" x14ac:dyDescent="0.25">
      <c r="A4" s="154" t="s">
        <v>157</v>
      </c>
      <c r="B4" s="154" t="s">
        <v>497</v>
      </c>
      <c r="C4" s="154" t="s">
        <v>160</v>
      </c>
      <c r="D4" s="154" t="s">
        <v>498</v>
      </c>
      <c r="E4" s="154" t="s">
        <v>499</v>
      </c>
      <c r="F4" s="154" t="s">
        <v>500</v>
      </c>
      <c r="G4" s="154" t="s">
        <v>253</v>
      </c>
      <c r="H4" s="154" t="s">
        <v>305</v>
      </c>
      <c r="I4" s="154" t="s">
        <v>501</v>
      </c>
      <c r="J4" s="154" t="s">
        <v>502</v>
      </c>
      <c r="K4" s="154" t="s">
        <v>503</v>
      </c>
      <c r="L4" s="154" t="s">
        <v>504</v>
      </c>
      <c r="M4" s="154" t="s">
        <v>505</v>
      </c>
      <c r="N4" s="154" t="s">
        <v>506</v>
      </c>
      <c r="O4" s="154" t="s">
        <v>507</v>
      </c>
      <c r="P4" s="154" t="s">
        <v>508</v>
      </c>
      <c r="Q4" s="155" t="s">
        <v>509</v>
      </c>
      <c r="R4" s="155" t="s">
        <v>510</v>
      </c>
      <c r="S4" s="155" t="s">
        <v>511</v>
      </c>
      <c r="T4" s="155" t="s">
        <v>512</v>
      </c>
      <c r="U4" s="155" t="s">
        <v>513</v>
      </c>
      <c r="V4" s="155" t="s">
        <v>514</v>
      </c>
      <c r="W4" s="155" t="s">
        <v>515</v>
      </c>
      <c r="X4" s="155" t="s">
        <v>516</v>
      </c>
      <c r="Y4" s="155" t="s">
        <v>517</v>
      </c>
      <c r="Z4" s="155" t="s">
        <v>518</v>
      </c>
      <c r="AA4" s="155" t="s">
        <v>519</v>
      </c>
      <c r="AB4" s="155" t="s">
        <v>520</v>
      </c>
      <c r="AC4" s="155" t="s">
        <v>521</v>
      </c>
      <c r="AD4" s="155" t="s">
        <v>522</v>
      </c>
      <c r="AE4" s="155" t="s">
        <v>523</v>
      </c>
      <c r="AF4" s="155" t="s">
        <v>524</v>
      </c>
      <c r="AG4" s="155" t="s">
        <v>525</v>
      </c>
      <c r="AH4" s="156" t="s">
        <v>526</v>
      </c>
      <c r="AI4" s="156" t="s">
        <v>527</v>
      </c>
      <c r="AJ4" s="156" t="s">
        <v>528</v>
      </c>
      <c r="AK4" s="156" t="s">
        <v>529</v>
      </c>
      <c r="AL4" s="156" t="s">
        <v>530</v>
      </c>
      <c r="AM4" s="156" t="s">
        <v>531</v>
      </c>
      <c r="AN4" s="156" t="s">
        <v>532</v>
      </c>
      <c r="AO4" s="156" t="s">
        <v>533</v>
      </c>
      <c r="AP4" s="156" t="s">
        <v>534</v>
      </c>
      <c r="AQ4" s="156" t="s">
        <v>412</v>
      </c>
      <c r="AR4" s="156" t="s">
        <v>415</v>
      </c>
      <c r="AS4" s="156" t="s">
        <v>413</v>
      </c>
      <c r="AT4" s="86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8" t="str">
        <f>+DA3</f>
        <v>Gujarat</v>
      </c>
      <c r="DB4" s="158" t="str">
        <f>+DB3</f>
        <v>Shop101</v>
      </c>
      <c r="DC4" s="158"/>
      <c r="DD4" s="158"/>
      <c r="DE4" s="158"/>
      <c r="DF4" s="158"/>
      <c r="DG4" s="159">
        <f>+VALUE(AS3)</f>
        <v>0</v>
      </c>
      <c r="DH4" s="158"/>
      <c r="DI4" s="160"/>
      <c r="DJ4" s="158"/>
      <c r="DK4" s="160"/>
      <c r="DL4" s="158"/>
      <c r="DM4" s="158"/>
    </row>
  </sheetData>
  <sheetProtection algorithmName="SHA-512" hashValue="f5LleCxA4xglkTgobwSS+qYbBhsnsiU2OoPFCVmU/8qHmXzU0b5WAiGfuGbmFI2bxwn2p1ssmvYF4XLGCWlBsg==" saltValue="hEYhBntXnLvnwDEXJMVwKg==" spinCount="100000" sheet="1" objects="1" scenarios="1"/>
  <protectedRanges>
    <protectedRange sqref="DO1" name="Range1"/>
    <protectedRange sqref="DD3" name="Range1_1_1"/>
  </protectedRanges>
  <mergeCells count="1">
    <mergeCell ref="O1:P1"/>
  </mergeCells>
  <conditionalFormatting sqref="H1">
    <cfRule type="cellIs" dxfId="129" priority="15" operator="equal">
      <formula>#N/A</formula>
    </cfRule>
  </conditionalFormatting>
  <conditionalFormatting sqref="E1">
    <cfRule type="cellIs" dxfId="128" priority="14" operator="equal">
      <formula>#N/A</formula>
    </cfRule>
  </conditionalFormatting>
  <conditionalFormatting sqref="I1">
    <cfRule type="cellIs" dxfId="127" priority="13" operator="equal">
      <formula>#N/A</formula>
    </cfRule>
  </conditionalFormatting>
  <conditionalFormatting sqref="J1">
    <cfRule type="cellIs" dxfId="126" priority="12" operator="equal">
      <formula>#N/A</formula>
    </cfRule>
  </conditionalFormatting>
  <conditionalFormatting sqref="J1">
    <cfRule type="containsText" dxfId="125" priority="10" operator="containsText" text="All Data Import Successfully">
      <formula>NOT(ISERROR(SEARCH("All Data Import Successfully",J1)))</formula>
    </cfRule>
    <cfRule type="containsText" dxfId="124" priority="11" operator="containsText" text="Difference Entry">
      <formula>NOT(ISERROR(SEARCH("Difference Entry",J1)))</formula>
    </cfRule>
  </conditionalFormatting>
  <conditionalFormatting sqref="L2 E2:G2">
    <cfRule type="cellIs" dxfId="123" priority="9" operator="equal">
      <formula>#N/A</formula>
    </cfRule>
  </conditionalFormatting>
  <conditionalFormatting sqref="H2">
    <cfRule type="cellIs" dxfId="122" priority="8" operator="equal">
      <formula>#N/A</formula>
    </cfRule>
  </conditionalFormatting>
  <conditionalFormatting sqref="I2">
    <cfRule type="cellIs" dxfId="121" priority="7" operator="equal">
      <formula>#N/A</formula>
    </cfRule>
  </conditionalFormatting>
  <conditionalFormatting sqref="J2">
    <cfRule type="cellIs" dxfId="120" priority="6" operator="equal">
      <formula>#N/A</formula>
    </cfRule>
  </conditionalFormatting>
  <conditionalFormatting sqref="J2">
    <cfRule type="cellIs" dxfId="119" priority="5" operator="equal">
      <formula>0</formula>
    </cfRule>
  </conditionalFormatting>
  <conditionalFormatting sqref="K2">
    <cfRule type="cellIs" dxfId="118" priority="4" operator="equal">
      <formula>#N/A</formula>
    </cfRule>
  </conditionalFormatting>
  <conditionalFormatting sqref="GD1">
    <cfRule type="cellIs" dxfId="117" priority="3" operator="equal">
      <formula>#N/A</formula>
    </cfRule>
  </conditionalFormatting>
  <conditionalFormatting sqref="GD1">
    <cfRule type="containsText" dxfId="116" priority="1" operator="containsText" text="Others">
      <formula>NOT(ISERROR(SEARCH("Others",GD1)))</formula>
    </cfRule>
    <cfRule type="containsText" dxfId="115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00000000-0002-0000-0C00-000000000000}">
      <formula1>"HSN+%"</formula1>
    </dataValidation>
    <dataValidation type="list" allowBlank="1" showInputMessage="1" showErrorMessage="1" sqref="B1" xr:uid="{00000000-0002-0000-0C00-000001000000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1:GV4"/>
  <sheetViews>
    <sheetView workbookViewId="0"/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31" width="9.140625" style="16"/>
    <col min="32" max="32" width="23" style="16" customWidth="1"/>
    <col min="33" max="33" width="11.85546875" style="16" customWidth="1"/>
    <col min="34" max="105" width="9.140625" style="16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7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 t="str">
        <f>+$A$3</f>
        <v>Gujarat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(IGST)</v>
      </c>
      <c r="GS1" s="99" t="str">
        <f>+IF(GM1&gt;0,IF(GB1=$EE1,"GST (SRet.)","IGST (SRet.) "),IF(GB1=$EE1,"GST (PRet.)","IGST (PRet.)"))</f>
        <v xml:space="preserve">IGST (SRet.) 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tr">
        <f>+A3</f>
        <v>Gujarat</v>
      </c>
      <c r="DB2" s="91" t="str">
        <f>+B3</f>
        <v>Shop101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 t="s">
        <v>5</v>
      </c>
      <c r="B3" s="63" t="s">
        <v>102</v>
      </c>
      <c r="C3" s="8"/>
      <c r="D3" s="8" t="s">
        <v>831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Shop101</v>
      </c>
      <c r="DC3" s="27" t="s">
        <v>85</v>
      </c>
      <c r="DD3" s="57" t="e">
        <f>+CONCATENATE(DJ3,"%",," ","(",DI3,")")</f>
        <v>#VALUE!</v>
      </c>
      <c r="DE3" s="26" t="str">
        <f>IFERROR(VLOOKUP(M3,Help!$A$2:$B$136,2,0),"+++++++++")</f>
        <v>+++++++++</v>
      </c>
      <c r="DF3" s="27" t="s">
        <v>85</v>
      </c>
      <c r="DG3" s="28">
        <f>+VALUE(C3)</f>
        <v>0</v>
      </c>
      <c r="DH3" s="26" t="str">
        <f>+A3</f>
        <v>Gujarat</v>
      </c>
      <c r="DI3" s="29" t="e">
        <f>VALUE(LEFT(F3,4))</f>
        <v>#VALUE!</v>
      </c>
      <c r="DJ3" s="26">
        <f>+S3</f>
        <v>0</v>
      </c>
      <c r="DK3" s="26">
        <f>+I3</f>
        <v>0</v>
      </c>
      <c r="DL3" s="26">
        <f>+T3</f>
        <v>0</v>
      </c>
      <c r="DM3" s="27">
        <f>+AA3+AB3</f>
        <v>0</v>
      </c>
      <c r="DN3" s="26">
        <f>IF(DE3="+++++++++",M3,"")</f>
        <v>0</v>
      </c>
    </row>
    <row r="4" spans="1:204" customFormat="1" x14ac:dyDescent="0.25">
      <c r="A4" s="7" t="s">
        <v>71</v>
      </c>
      <c r="B4" s="7" t="s">
        <v>72</v>
      </c>
      <c r="C4" s="7" t="s">
        <v>73</v>
      </c>
      <c r="D4" s="7" t="s">
        <v>81</v>
      </c>
      <c r="E4" s="7" t="s">
        <v>1</v>
      </c>
      <c r="F4" s="7" t="s">
        <v>74</v>
      </c>
      <c r="G4" s="7" t="s">
        <v>75</v>
      </c>
      <c r="H4" s="7" t="s">
        <v>76</v>
      </c>
      <c r="I4" s="7" t="s">
        <v>77</v>
      </c>
      <c r="J4" s="7" t="s">
        <v>54</v>
      </c>
      <c r="K4" s="7" t="s">
        <v>78</v>
      </c>
      <c r="L4" s="7" t="s">
        <v>79</v>
      </c>
      <c r="M4" s="7" t="s">
        <v>80</v>
      </c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str">
        <f>+DA3</f>
        <v>Gujarat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qrfMHAivQf+gX2a0PSpT1/7vZpZC8DPvmQZOqjq8MlAPcrn0CrMrx4WtYUAYQ8hrlYXic4at4sgHQC6LKWAwMw==" saltValue="eGxrDO0Y7Ardgp0YPsO27g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114" priority="15" operator="equal">
      <formula>#N/A</formula>
    </cfRule>
  </conditionalFormatting>
  <conditionalFormatting sqref="E1">
    <cfRule type="cellIs" dxfId="113" priority="14" operator="equal">
      <formula>#N/A</formula>
    </cfRule>
  </conditionalFormatting>
  <conditionalFormatting sqref="I1">
    <cfRule type="cellIs" dxfId="112" priority="13" operator="equal">
      <formula>#N/A</formula>
    </cfRule>
  </conditionalFormatting>
  <conditionalFormatting sqref="J1">
    <cfRule type="cellIs" dxfId="111" priority="12" operator="equal">
      <formula>#N/A</formula>
    </cfRule>
  </conditionalFormatting>
  <conditionalFormatting sqref="J1">
    <cfRule type="containsText" dxfId="110" priority="10" operator="containsText" text="All Data Import Successfully">
      <formula>NOT(ISERROR(SEARCH("All Data Import Successfully",J1)))</formula>
    </cfRule>
    <cfRule type="containsText" dxfId="109" priority="11" operator="containsText" text="Difference Entry">
      <formula>NOT(ISERROR(SEARCH("Difference Entry",J1)))</formula>
    </cfRule>
  </conditionalFormatting>
  <conditionalFormatting sqref="L2 E2:G2">
    <cfRule type="cellIs" dxfId="108" priority="9" operator="equal">
      <formula>#N/A</formula>
    </cfRule>
  </conditionalFormatting>
  <conditionalFormatting sqref="H2">
    <cfRule type="cellIs" dxfId="107" priority="8" operator="equal">
      <formula>#N/A</formula>
    </cfRule>
  </conditionalFormatting>
  <conditionalFormatting sqref="I2">
    <cfRule type="cellIs" dxfId="106" priority="7" operator="equal">
      <formula>#N/A</formula>
    </cfRule>
  </conditionalFormatting>
  <conditionalFormatting sqref="J2">
    <cfRule type="cellIs" dxfId="105" priority="6" operator="equal">
      <formula>#N/A</formula>
    </cfRule>
  </conditionalFormatting>
  <conditionalFormatting sqref="J2">
    <cfRule type="cellIs" dxfId="104" priority="5" operator="equal">
      <formula>0</formula>
    </cfRule>
  </conditionalFormatting>
  <conditionalFormatting sqref="K2">
    <cfRule type="cellIs" dxfId="103" priority="4" operator="equal">
      <formula>#N/A</formula>
    </cfRule>
  </conditionalFormatting>
  <conditionalFormatting sqref="GD1">
    <cfRule type="cellIs" dxfId="102" priority="3" operator="equal">
      <formula>#N/A</formula>
    </cfRule>
  </conditionalFormatting>
  <conditionalFormatting sqref="GD1">
    <cfRule type="containsText" dxfId="101" priority="1" operator="containsText" text="Others">
      <formula>NOT(ISERROR(SEARCH("Others",GD1)))</formula>
    </cfRule>
    <cfRule type="containsText" dxfId="100" priority="2" operator="containsText" text="#N/A">
      <formula>NOT(ISERROR(SEARCH("#N/A",GD1)))</formula>
    </cfRule>
  </conditionalFormatting>
  <dataValidations count="2">
    <dataValidation type="list" allowBlank="1" showInputMessage="1" showErrorMessage="1" sqref="B1" xr:uid="{00000000-0002-0000-0D00-000000000000}">
      <formula1>"1,2"</formula1>
    </dataValidation>
    <dataValidation type="list" allowBlank="1" showInputMessage="1" showErrorMessage="1" sqref="P2" xr:uid="{00000000-0002-0000-0D00-000001000000}">
      <formula1>"HSN+%"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92AE-62B3-4299-A796-A1772B959839}">
  <sheetPr codeName="Sheet20">
    <tabColor theme="9" tint="0.59999389629810485"/>
  </sheetPr>
  <dimension ref="A1:GV4"/>
  <sheetViews>
    <sheetView workbookViewId="0">
      <selection activeCell="A5" sqref="A5"/>
    </sheetView>
  </sheetViews>
  <sheetFormatPr defaultRowHeight="15" x14ac:dyDescent="0.25"/>
  <cols>
    <col min="1" max="13" width="17.5703125" style="16" customWidth="1"/>
    <col min="14" max="14" width="26.7109375" style="16" customWidth="1"/>
    <col min="15" max="15" width="14.7109375" style="16" customWidth="1"/>
    <col min="16" max="16" width="15.7109375" style="16" customWidth="1"/>
    <col min="17" max="19" width="9.140625" style="16"/>
    <col min="20" max="20" width="11.85546875" style="16" bestFit="1" customWidth="1"/>
    <col min="21" max="21" width="18" style="16" bestFit="1" customWidth="1"/>
    <col min="22" max="22" width="9.140625" style="16"/>
    <col min="23" max="23" width="46.42578125" style="16" bestFit="1" customWidth="1"/>
    <col min="24" max="27" width="9.140625" style="16"/>
    <col min="28" max="28" width="167" style="16" bestFit="1" customWidth="1"/>
    <col min="29" max="31" width="9.140625" style="16"/>
    <col min="32" max="32" width="23" style="16" customWidth="1"/>
    <col min="33" max="33" width="11.85546875" style="16" customWidth="1"/>
    <col min="34" max="104" width="9.140625" style="16"/>
    <col min="105" max="105" width="10.42578125" style="16" bestFit="1" customWidth="1"/>
    <col min="106" max="106" width="15.5703125" style="16" customWidth="1"/>
    <col min="107" max="107" width="16.140625" style="16" customWidth="1"/>
    <col min="108" max="108" width="19.5703125" style="16" customWidth="1"/>
    <col min="109" max="109" width="20.28515625" style="16" customWidth="1"/>
    <col min="110" max="110" width="17.140625" style="16" customWidth="1"/>
    <col min="111" max="111" width="14.140625" style="16" customWidth="1"/>
    <col min="112" max="112" width="19.28515625" style="16" customWidth="1"/>
    <col min="113" max="113" width="19.85546875" style="16" customWidth="1"/>
    <col min="114" max="114" width="9.28515625" style="16" bestFit="1" customWidth="1"/>
    <col min="115" max="115" width="12" style="16" bestFit="1" customWidth="1"/>
    <col min="116" max="116" width="9.140625" style="16"/>
    <col min="117" max="117" width="9.28515625" style="16" bestFit="1" customWidth="1"/>
    <col min="118" max="118" width="24" style="16" customWidth="1"/>
    <col min="119" max="119" width="17" style="16" customWidth="1"/>
    <col min="120" max="16384" width="9.140625" style="16"/>
  </cols>
  <sheetData>
    <row r="1" spans="1:204" customFormat="1" ht="38.25" customHeight="1" thickBot="1" x14ac:dyDescent="0.3">
      <c r="A1" s="80" t="s">
        <v>144</v>
      </c>
      <c r="B1" s="81">
        <v>1</v>
      </c>
      <c r="C1" s="4"/>
      <c r="D1" s="18"/>
      <c r="E1" s="32" t="s">
        <v>96</v>
      </c>
      <c r="F1" s="33" t="s">
        <v>97</v>
      </c>
      <c r="G1" s="34" t="s">
        <v>98</v>
      </c>
      <c r="H1" s="35" t="s">
        <v>99</v>
      </c>
      <c r="I1" s="36" t="s">
        <v>100</v>
      </c>
      <c r="J1" s="42" t="str">
        <f>+IF(J2=0,"All Data Import Successfully","Difference Entry")</f>
        <v>All Data Import Successfully</v>
      </c>
      <c r="K1" s="42" t="s">
        <v>471</v>
      </c>
      <c r="L1" s="18"/>
      <c r="M1" s="3"/>
      <c r="N1" s="84" t="s">
        <v>247</v>
      </c>
      <c r="O1" s="395" t="s">
        <v>237</v>
      </c>
      <c r="P1" s="39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>
        <v>0</v>
      </c>
      <c r="AC1" s="16"/>
      <c r="AD1" s="280" t="s">
        <v>798</v>
      </c>
      <c r="AE1" s="280" t="s">
        <v>792</v>
      </c>
      <c r="AF1" s="280" t="s">
        <v>54</v>
      </c>
      <c r="AG1" s="280" t="s">
        <v>749</v>
      </c>
      <c r="AH1" s="20"/>
      <c r="AI1" s="16"/>
      <c r="AJ1" s="16"/>
      <c r="AK1" s="16"/>
      <c r="AL1" s="20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21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23" t="s">
        <v>85</v>
      </c>
      <c r="DB1" s="24"/>
      <c r="DC1" s="24"/>
      <c r="DD1" s="24"/>
      <c r="DE1" s="24">
        <v>0</v>
      </c>
      <c r="DF1" s="24">
        <v>0</v>
      </c>
      <c r="DG1" s="24"/>
      <c r="DH1" s="24"/>
      <c r="DI1" s="24"/>
      <c r="DJ1" s="24"/>
      <c r="DK1" s="24"/>
      <c r="DL1" s="24"/>
      <c r="DM1" s="24"/>
      <c r="DN1" s="24"/>
      <c r="DO1" s="25" t="s">
        <v>82</v>
      </c>
      <c r="GA1" s="101" t="str">
        <f>IF(GB1="", IF(FZ1&lt;&gt;"", SUMPRODUCT((#REF!=FZ1)*(#REF!)), ""), "")</f>
        <v/>
      </c>
      <c r="GB1" s="99">
        <f>+$A$3</f>
        <v>0</v>
      </c>
      <c r="GC1" s="100" t="str">
        <f>IF(FZ1&lt;&gt;"", INDEX(#REF!, MATCH(FZ1,#REF!, 0)), "")</f>
        <v/>
      </c>
      <c r="GD1" s="101" t="s">
        <v>85</v>
      </c>
      <c r="GE1" s="101" t="str">
        <f>+CONCATENATE(GK1,"%",," ","(",GJ1,")")</f>
        <v>% ()</v>
      </c>
      <c r="GF1" s="100" t="e">
        <f>IF(GG1="",VLOOKUP(FZ1,CHOOSE({1,2},#REF!,#REF!),2,0),VLOOKUP(VALUE(LEFT(GG1,2)),Help!$E$2:$F$49,2,0))</f>
        <v>#N/A</v>
      </c>
      <c r="GG1" s="99" t="str">
        <f>IF(GA1="", "", IFERROR(INDEX(#REF!, MATCH(FZ1,#REF!, 0)), ""))</f>
        <v/>
      </c>
      <c r="GH1" s="100" t="str">
        <f>IF(FZ1="", "", IFERROR(INDEX(#REF!, MATCH(FZ1,#REF!, 0)), ""))</f>
        <v/>
      </c>
      <c r="GI1" s="99" t="str">
        <f>SUBSTITUTE(FZ1,"R-","")</f>
        <v/>
      </c>
      <c r="GJ1" s="105" t="str">
        <f>IF($DY1="", "", IFERROR(VALUE(INDEX(#REF!, MATCH($DY1,#REF!, 0))), ""))</f>
        <v/>
      </c>
      <c r="GK1" s="105" t="str">
        <f>IF($DY1="", "", IFERROR(VALUE(INDEX(#REF!, MATCH($DY1,#REF!, 0))), ""))</f>
        <v/>
      </c>
      <c r="GL1" s="101" t="s">
        <v>85</v>
      </c>
      <c r="GM1" s="102" t="str">
        <f>IF(FZ1="","",SUMPRODUCT((#REF!=FZ1)*(#REF!)))</f>
        <v/>
      </c>
      <c r="GN1" s="102" t="str">
        <f>IF(FZ1="","",SUMPRODUCT((#REF!=FZ1)*(#REF!)))</f>
        <v/>
      </c>
      <c r="GO1" s="103" t="s">
        <v>85</v>
      </c>
      <c r="GP1" s="103" t="s">
        <v>85</v>
      </c>
      <c r="GQ1" s="99" t="str">
        <f>+IF(GM1&lt;0,"Increase Sales","Decrease Sales")</f>
        <v>Decrease Sales</v>
      </c>
      <c r="GR1" s="143" t="str">
        <f>+IF(GB1=$EE1,"Sales A/c. (GST)","Sales A/c. (IGST)")</f>
        <v>Sales A/c. (GST)</v>
      </c>
      <c r="GS1" s="99" t="str">
        <f>+IF(GM1&gt;0,IF(GB1=$EE1,"GST (SRet.)","IGST (SRet.) "),IF(GB1=$EE1,"GST (PRet.)","IGST (PRet.)"))</f>
        <v>GST (SRet.)</v>
      </c>
      <c r="GT1" s="101" t="s">
        <v>85</v>
      </c>
      <c r="GU1" s="101" t="s">
        <v>85</v>
      </c>
      <c r="GV1" s="144" t="str">
        <f>CONCATENATE("GST ",GK1,"%",," ","(",GJ1,IF(LEN(GJ1)=4,"    ",IF(LEN(GJ1)=6,"  ","")),")")</f>
        <v>GST % ()</v>
      </c>
    </row>
    <row r="2" spans="1:20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37">
        <f>COUNTIF($S:$S,"&gt;"&amp;0)</f>
        <v>0</v>
      </c>
      <c r="F2" s="38">
        <f>+COUNTIF($DL:$DL,"&gt;"&amp;0)</f>
        <v>0</v>
      </c>
      <c r="G2" s="39">
        <f>+COUNTIF($DL:$DL,"&lt;"&amp;0)</f>
        <v>0</v>
      </c>
      <c r="H2" s="40">
        <f>+F2+G2</f>
        <v>0</v>
      </c>
      <c r="I2" s="326">
        <f>+SUM(DL:DL)</f>
        <v>0</v>
      </c>
      <c r="J2" s="40">
        <f>+E2-H2</f>
        <v>0</v>
      </c>
      <c r="K2" s="40">
        <f>+SUM(DM:DM)</f>
        <v>0</v>
      </c>
      <c r="L2" s="30"/>
      <c r="M2" s="30" t="s">
        <v>91</v>
      </c>
      <c r="N2" s="85">
        <f>+IF(O2=2,COUNTIF(DD:DE,"+++++++++")-2,COUNTIF(DD:DE,"+++++++++")-1)</f>
        <v>0</v>
      </c>
      <c r="O2" s="94">
        <v>1</v>
      </c>
      <c r="P2" s="95" t="s">
        <v>298</v>
      </c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86" t="s">
        <v>328</v>
      </c>
      <c r="AE2" s="86" t="s">
        <v>797</v>
      </c>
      <c r="AF2" s="86" t="s">
        <v>794</v>
      </c>
      <c r="AG2" s="86">
        <v>116</v>
      </c>
      <c r="AH2" s="17"/>
      <c r="AI2" s="17"/>
      <c r="AJ2" s="17"/>
      <c r="AK2" s="17"/>
      <c r="AL2" s="17"/>
      <c r="AM2" s="17"/>
      <c r="AN2" s="17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7"/>
      <c r="DA2" s="91" t="s">
        <v>71</v>
      </c>
      <c r="DB2" s="91" t="s">
        <v>884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204" customFormat="1" x14ac:dyDescent="0.25">
      <c r="A3" s="62"/>
      <c r="B3" s="63" t="s">
        <v>102</v>
      </c>
      <c r="C3" s="8"/>
      <c r="D3" s="8" t="s">
        <v>871</v>
      </c>
      <c r="E3" s="8"/>
      <c r="F3" s="8"/>
      <c r="G3" s="9"/>
      <c r="H3" s="10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e">
        <f>VLOOKUP(VALUE(LEFT(IF(ISBLANK(AF3),AA3,AF3),2)),Help!$E$2:$F$45,2,0)</f>
        <v>#VALUE!</v>
      </c>
      <c r="DB3" s="26" t="str">
        <f>+$B$3</f>
        <v>Shop101</v>
      </c>
      <c r="DC3" s="27" t="s">
        <v>85</v>
      </c>
      <c r="DD3" s="57" t="e">
        <f>+CONCATENATE(DJ3,"%",," ","(",DI3,")")</f>
        <v>#VALUE!</v>
      </c>
      <c r="DE3" s="26" t="str">
        <f>IFERROR(VLOOKUP(W3,Help!$A$2:$B$136,2,0),"+++++++++")</f>
        <v>+++++++++</v>
      </c>
      <c r="DF3" s="27" t="str">
        <f>+IF(U3="","",U3)</f>
        <v/>
      </c>
      <c r="DG3" s="28">
        <f>+VALUE(F3)</f>
        <v>0</v>
      </c>
      <c r="DH3" s="26">
        <f>+E3</f>
        <v>0</v>
      </c>
      <c r="DI3" s="29" t="e">
        <f>VALUE(LEFT(G3,8))</f>
        <v>#VALUE!</v>
      </c>
      <c r="DJ3" s="26">
        <f>+H3</f>
        <v>0</v>
      </c>
      <c r="DK3" s="26">
        <f>+K3</f>
        <v>0</v>
      </c>
      <c r="DL3" s="26">
        <f>+IF(M3="INV",O3,-O3)</f>
        <v>0</v>
      </c>
      <c r="DM3" s="27">
        <f>IF(Z3="B2CS",IF(M3="INV",N3,-N3),0)</f>
        <v>0</v>
      </c>
      <c r="DN3" s="26">
        <f>IF(DE3="+++++++++",M3,"")</f>
        <v>0</v>
      </c>
    </row>
    <row r="4" spans="1:204" customFormat="1" x14ac:dyDescent="0.25">
      <c r="A4" s="82" t="s">
        <v>157</v>
      </c>
      <c r="B4" s="82" t="s">
        <v>497</v>
      </c>
      <c r="C4" s="82" t="s">
        <v>833</v>
      </c>
      <c r="D4" s="82" t="s">
        <v>160</v>
      </c>
      <c r="E4" s="82" t="s">
        <v>834</v>
      </c>
      <c r="F4" s="82" t="s">
        <v>835</v>
      </c>
      <c r="G4" s="82" t="s">
        <v>238</v>
      </c>
      <c r="H4" s="82" t="s">
        <v>512</v>
      </c>
      <c r="I4" s="82" t="s">
        <v>253</v>
      </c>
      <c r="J4" s="82" t="s">
        <v>305</v>
      </c>
      <c r="K4" s="82" t="s">
        <v>501</v>
      </c>
      <c r="L4" s="82" t="s">
        <v>836</v>
      </c>
      <c r="M4" s="82" t="s">
        <v>837</v>
      </c>
      <c r="N4" s="82" t="s">
        <v>80</v>
      </c>
      <c r="O4" s="82" t="s">
        <v>838</v>
      </c>
      <c r="P4" s="82" t="s">
        <v>412</v>
      </c>
      <c r="Q4" s="82" t="s">
        <v>415</v>
      </c>
      <c r="R4" s="82" t="s">
        <v>413</v>
      </c>
      <c r="S4" s="82" t="s">
        <v>839</v>
      </c>
      <c r="T4" s="82" t="s">
        <v>840</v>
      </c>
      <c r="U4" s="82" t="s">
        <v>508</v>
      </c>
      <c r="V4" s="82" t="s">
        <v>504</v>
      </c>
      <c r="W4" s="82" t="s">
        <v>841</v>
      </c>
      <c r="X4" s="82" t="s">
        <v>842</v>
      </c>
      <c r="Y4" s="82" t="s">
        <v>843</v>
      </c>
      <c r="Z4" s="82" t="s">
        <v>844</v>
      </c>
      <c r="AA4" s="82" t="s">
        <v>845</v>
      </c>
      <c r="AB4" s="82" t="s">
        <v>846</v>
      </c>
      <c r="AC4" s="82" t="s">
        <v>847</v>
      </c>
      <c r="AD4" s="82" t="s">
        <v>848</v>
      </c>
      <c r="AE4" s="82" t="s">
        <v>849</v>
      </c>
      <c r="AF4" s="82" t="s">
        <v>850</v>
      </c>
      <c r="AG4" s="82" t="s">
        <v>481</v>
      </c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26" t="e">
        <f>+DA3</f>
        <v>#VALUE!</v>
      </c>
      <c r="DB4" s="26" t="str">
        <f>+DB3</f>
        <v>Shop101</v>
      </c>
      <c r="DC4" s="26"/>
      <c r="DD4" s="26"/>
      <c r="DE4" s="26"/>
      <c r="DF4" s="26"/>
      <c r="DG4" s="28">
        <f>+VALUE(AS3)</f>
        <v>0</v>
      </c>
      <c r="DH4" s="26"/>
      <c r="DI4" s="29"/>
      <c r="DJ4" s="26"/>
      <c r="DK4" s="29"/>
      <c r="DL4" s="26"/>
      <c r="DM4" s="26"/>
    </row>
  </sheetData>
  <sheetProtection algorithmName="SHA-512" hashValue="4W6V4n9HMSxT3rczS12uwxOtV+vvjROH+JgqKL7P5fSJ7LjdOsRf/M11KymJOsqUsUeRL4YiUeL7y0F+qY4TEA==" saltValue="Gmk2aY8H6Mkh1Prw6Hh9WA==" spinCount="100000" sheet="1" objects="1" scenarios="1"/>
  <protectedRanges>
    <protectedRange sqref="DO1" name="Range1"/>
    <protectedRange sqref="DD3" name="Range1_1"/>
  </protectedRanges>
  <mergeCells count="1">
    <mergeCell ref="O1:P1"/>
  </mergeCells>
  <conditionalFormatting sqref="H1">
    <cfRule type="cellIs" dxfId="99" priority="15" operator="equal">
      <formula>#N/A</formula>
    </cfRule>
  </conditionalFormatting>
  <conditionalFormatting sqref="E1">
    <cfRule type="cellIs" dxfId="98" priority="14" operator="equal">
      <formula>#N/A</formula>
    </cfRule>
  </conditionalFormatting>
  <conditionalFormatting sqref="I1">
    <cfRule type="cellIs" dxfId="97" priority="13" operator="equal">
      <formula>#N/A</formula>
    </cfRule>
  </conditionalFormatting>
  <conditionalFormatting sqref="J1:K1">
    <cfRule type="cellIs" dxfId="96" priority="12" operator="equal">
      <formula>#N/A</formula>
    </cfRule>
  </conditionalFormatting>
  <conditionalFormatting sqref="J1:K1">
    <cfRule type="containsText" dxfId="95" priority="10" operator="containsText" text="All Data Import Successfully">
      <formula>NOT(ISERROR(SEARCH("All Data Import Successfully",J1)))</formula>
    </cfRule>
    <cfRule type="containsText" dxfId="94" priority="11" operator="containsText" text="Difference Entry">
      <formula>NOT(ISERROR(SEARCH("Difference Entry",J1)))</formula>
    </cfRule>
  </conditionalFormatting>
  <conditionalFormatting sqref="L2 E2:G2">
    <cfRule type="cellIs" dxfId="93" priority="9" operator="equal">
      <formula>#N/A</formula>
    </cfRule>
  </conditionalFormatting>
  <conditionalFormatting sqref="H2">
    <cfRule type="cellIs" dxfId="92" priority="8" operator="equal">
      <formula>#N/A</formula>
    </cfRule>
  </conditionalFormatting>
  <conditionalFormatting sqref="I2">
    <cfRule type="cellIs" dxfId="91" priority="7" operator="equal">
      <formula>#N/A</formula>
    </cfRule>
  </conditionalFormatting>
  <conditionalFormatting sqref="J2:K2">
    <cfRule type="cellIs" dxfId="90" priority="6" operator="equal">
      <formula>#N/A</formula>
    </cfRule>
  </conditionalFormatting>
  <conditionalFormatting sqref="J2:K2">
    <cfRule type="cellIs" dxfId="89" priority="5" operator="equal">
      <formula>0</formula>
    </cfRule>
  </conditionalFormatting>
  <conditionalFormatting sqref="GD1">
    <cfRule type="cellIs" dxfId="88" priority="3" operator="equal">
      <formula>#N/A</formula>
    </cfRule>
  </conditionalFormatting>
  <conditionalFormatting sqref="GD1">
    <cfRule type="containsText" dxfId="87" priority="1" operator="containsText" text="Others">
      <formula>NOT(ISERROR(SEARCH("Others",GD1)))</formula>
    </cfRule>
    <cfRule type="containsText" dxfId="86" priority="2" operator="containsText" text="#N/A">
      <formula>NOT(ISERROR(SEARCH("#N/A",GD1)))</formula>
    </cfRule>
  </conditionalFormatting>
  <dataValidations count="2">
    <dataValidation type="list" allowBlank="1" showInputMessage="1" showErrorMessage="1" sqref="P2" xr:uid="{93E321F8-6E55-4FAC-9C97-F258384A4325}">
      <formula1>"HSN+%"</formula1>
    </dataValidation>
    <dataValidation type="list" allowBlank="1" showInputMessage="1" showErrorMessage="1" sqref="B1" xr:uid="{D34BD156-63B7-4C18-811D-AED3B6BB7CD4}">
      <formula1>"1,2"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4" tint="0.39997558519241921"/>
  </sheetPr>
  <dimension ref="A1:DT4"/>
  <sheetViews>
    <sheetView workbookViewId="0">
      <selection activeCell="G14" sqref="G14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6" width="9.140625" style="16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9.28515625" style="16" bestFit="1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+IF(ISBLANK(DO3),TRIM(DN3),DO3)</f>
        <v/>
      </c>
      <c r="AL1" s="5"/>
      <c r="BZ1" s="6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+IF(O2=2,COUNTIF(DD:DE,"+++++++++")-2,COUNTIF(DD:DE,"+++++++++")-1)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tr">
        <f>+A3</f>
        <v>Gujarat</v>
      </c>
      <c r="DB2" s="91" t="str">
        <f>+B3</f>
        <v>VMART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ht="15.75" thickBot="1" x14ac:dyDescent="0.3">
      <c r="A3" s="62" t="s">
        <v>5</v>
      </c>
      <c r="B3" s="63" t="s">
        <v>609</v>
      </c>
      <c r="C3" s="8"/>
      <c r="D3" s="62" t="s">
        <v>758</v>
      </c>
      <c r="E3" s="8"/>
      <c r="F3" s="8"/>
      <c r="G3" s="8"/>
      <c r="H3" s="8"/>
      <c r="I3" s="8"/>
      <c r="J3" s="8"/>
      <c r="K3" s="8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 t="str">
        <f>+DA2</f>
        <v>Gujarat</v>
      </c>
      <c r="DB3" s="26" t="str">
        <f>+DB2</f>
        <v>VMART</v>
      </c>
      <c r="DC3" s="27" t="s">
        <v>85</v>
      </c>
      <c r="DD3" s="29" t="str">
        <f>IF($O$2=2,IFERROR(VLOOKUP(H3,Help!X$3:Z$50000,3,0),"+++++++++"),IF($O$2=3,H3,CONCATENATE(DJ3,"%",," ","(",DI3,")")))</f>
        <v>0% ()</v>
      </c>
      <c r="DE3" s="29" t="str">
        <f>IFERROR(VLOOKUP(H3,Help!$A$2:C$170,2,0),"+++++++++")</f>
        <v>+++++++++</v>
      </c>
      <c r="DF3" s="27" t="s">
        <v>85</v>
      </c>
      <c r="DG3" s="28" t="str">
        <f>CONCATENATE(MID(F3,9,2),"/",MID(F3,6,2),"/",MID(F3,1,4))</f>
        <v>//</v>
      </c>
      <c r="DH3" s="58">
        <f>+E3</f>
        <v>0</v>
      </c>
      <c r="DI3" s="29" t="str">
        <f>+IF(ISBLANK(S3),"",S3)</f>
        <v/>
      </c>
      <c r="DJ3" s="187">
        <f>+VALUE((V3))</f>
        <v>0</v>
      </c>
      <c r="DK3" s="29">
        <f>+VALUE(U3)</f>
        <v>0</v>
      </c>
      <c r="DL3" s="73">
        <f>+IF(B3="sale",VALUE(AF3),VALUE(AF3)*-1)</f>
        <v>0</v>
      </c>
      <c r="DM3" s="73">
        <f>++IF(B3="sale",VALUE(AG3),VALUE(AG3)*-1)</f>
        <v>0</v>
      </c>
      <c r="DN3" s="26" t="str">
        <f>CONCATENATE(IF(DE3="+++++++++","State",""),IF(DD3="+++++++++","PrctName",""))</f>
        <v>State</v>
      </c>
      <c r="DO3" s="26" t="str">
        <f>CONCATENATE(IF(DE3="+++++++++",H3,""),IF(DD3="+++++++++",H3,""))</f>
        <v/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ht="15.75" thickBot="1" x14ac:dyDescent="0.3">
      <c r="A4" s="174" t="s">
        <v>610</v>
      </c>
      <c r="B4" s="175" t="s">
        <v>611</v>
      </c>
      <c r="C4" s="175" t="s">
        <v>612</v>
      </c>
      <c r="D4" s="175" t="s">
        <v>613</v>
      </c>
      <c r="E4" s="175" t="s">
        <v>614</v>
      </c>
      <c r="F4" s="175" t="s">
        <v>615</v>
      </c>
      <c r="G4" s="175" t="s">
        <v>616</v>
      </c>
      <c r="H4" s="175" t="s">
        <v>617</v>
      </c>
      <c r="I4" s="175" t="s">
        <v>618</v>
      </c>
      <c r="J4" s="175" t="s">
        <v>619</v>
      </c>
      <c r="K4" s="175" t="s">
        <v>620</v>
      </c>
      <c r="L4" s="175" t="s">
        <v>621</v>
      </c>
      <c r="M4" s="175" t="s">
        <v>622</v>
      </c>
      <c r="N4" s="175" t="s">
        <v>623</v>
      </c>
      <c r="O4" s="175" t="s">
        <v>624</v>
      </c>
      <c r="P4" s="175" t="s">
        <v>625</v>
      </c>
      <c r="Q4" s="175" t="s">
        <v>626</v>
      </c>
      <c r="R4" s="175" t="s">
        <v>627</v>
      </c>
      <c r="S4" s="175" t="s">
        <v>628</v>
      </c>
      <c r="T4" s="175" t="s">
        <v>629</v>
      </c>
      <c r="U4" s="175" t="s">
        <v>116</v>
      </c>
      <c r="V4" s="175" t="s">
        <v>630</v>
      </c>
      <c r="W4" s="175" t="s">
        <v>415</v>
      </c>
      <c r="X4" s="175" t="s">
        <v>412</v>
      </c>
      <c r="Y4" s="175" t="s">
        <v>413</v>
      </c>
      <c r="Z4" s="175" t="s">
        <v>631</v>
      </c>
      <c r="AA4" s="175" t="s">
        <v>632</v>
      </c>
      <c r="AB4" s="175" t="s">
        <v>633</v>
      </c>
      <c r="AC4" s="175" t="s">
        <v>634</v>
      </c>
      <c r="AD4" s="175" t="s">
        <v>635</v>
      </c>
      <c r="AE4" s="175" t="s">
        <v>636</v>
      </c>
      <c r="AF4" s="175" t="s">
        <v>637</v>
      </c>
      <c r="AG4" s="175" t="s">
        <v>638</v>
      </c>
      <c r="AH4" s="175" t="s">
        <v>639</v>
      </c>
      <c r="AI4" s="175" t="s">
        <v>640</v>
      </c>
      <c r="AJ4" s="175" t="s">
        <v>641</v>
      </c>
      <c r="AK4" s="175" t="s">
        <v>642</v>
      </c>
      <c r="AL4" s="175" t="s">
        <v>643</v>
      </c>
      <c r="AM4" s="175" t="s">
        <v>644</v>
      </c>
      <c r="AN4" s="176"/>
      <c r="AP4" s="96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1" t="str">
        <f>+DA3</f>
        <v>Gujarat</v>
      </c>
      <c r="DB4" s="121" t="str">
        <f>+DB3</f>
        <v>VMART</v>
      </c>
      <c r="DC4" s="122"/>
      <c r="DD4" s="121"/>
      <c r="DE4" s="121"/>
      <c r="DF4" s="122"/>
      <c r="DG4" s="123"/>
      <c r="DH4" s="124"/>
      <c r="DI4" s="125"/>
      <c r="DJ4" s="126"/>
      <c r="DK4" s="125"/>
      <c r="DL4" s="127"/>
      <c r="DM4" s="127"/>
      <c r="DN4" s="121"/>
      <c r="DO4" s="121"/>
      <c r="DP4" s="122"/>
    </row>
  </sheetData>
  <sheetProtection algorithmName="SHA-512" hashValue="swagm/LZ+DjU4OttMMPYHDCDR5BpMwyCWFPN/bLRZTEm2BcHJRnOUHPCKaoWuEFuTxAs9A7JzRhumfzxCasyGQ==" saltValue="pcNN41jiCGrWk4xWuvN6mA==" spinCount="100000" sheet="1" objects="1" scenarios="1"/>
  <mergeCells count="1">
    <mergeCell ref="O1:P1"/>
  </mergeCells>
  <conditionalFormatting sqref="H1">
    <cfRule type="cellIs" dxfId="85" priority="12" operator="equal">
      <formula>#N/A</formula>
    </cfRule>
  </conditionalFormatting>
  <conditionalFormatting sqref="E1">
    <cfRule type="cellIs" dxfId="84" priority="11" operator="equal">
      <formula>#N/A</formula>
    </cfRule>
  </conditionalFormatting>
  <conditionalFormatting sqref="I1">
    <cfRule type="cellIs" dxfId="83" priority="10" operator="equal">
      <formula>#N/A</formula>
    </cfRule>
  </conditionalFormatting>
  <conditionalFormatting sqref="J1">
    <cfRule type="cellIs" dxfId="82" priority="9" operator="equal">
      <formula>#N/A</formula>
    </cfRule>
  </conditionalFormatting>
  <conditionalFormatting sqref="J1">
    <cfRule type="containsText" dxfId="81" priority="7" operator="containsText" text="All Data Import Successfully">
      <formula>NOT(ISERROR(SEARCH("All Data Import Successfully",J1)))</formula>
    </cfRule>
    <cfRule type="containsText" dxfId="80" priority="8" operator="containsText" text="Difference Entry">
      <formula>NOT(ISERROR(SEARCH("Difference Entry",J1)))</formula>
    </cfRule>
  </conditionalFormatting>
  <conditionalFormatting sqref="L2 E2:G2">
    <cfRule type="cellIs" dxfId="79" priority="6" operator="equal">
      <formula>#N/A</formula>
    </cfRule>
  </conditionalFormatting>
  <conditionalFormatting sqref="H2">
    <cfRule type="cellIs" dxfId="78" priority="5" operator="equal">
      <formula>#N/A</formula>
    </cfRule>
  </conditionalFormatting>
  <conditionalFormatting sqref="I2">
    <cfRule type="cellIs" dxfId="77" priority="4" operator="equal">
      <formula>#N/A</formula>
    </cfRule>
  </conditionalFormatting>
  <conditionalFormatting sqref="J2">
    <cfRule type="cellIs" dxfId="76" priority="3" operator="equal">
      <formula>#N/A</formula>
    </cfRule>
  </conditionalFormatting>
  <conditionalFormatting sqref="J2">
    <cfRule type="cellIs" dxfId="75" priority="2" operator="equal">
      <formula>0</formula>
    </cfRule>
  </conditionalFormatting>
  <conditionalFormatting sqref="K2">
    <cfRule type="cellIs" dxfId="74" priority="1" operator="equal">
      <formula>#N/A</formula>
    </cfRule>
  </conditionalFormatting>
  <dataValidations count="2">
    <dataValidation type="list" allowBlank="1" showInputMessage="1" showErrorMessage="1" sqref="P2" xr:uid="{00000000-0002-0000-0E00-000000000000}">
      <formula1>"HSN+%,Alias,Product"</formula1>
    </dataValidation>
    <dataValidation type="list" allowBlank="1" showInputMessage="1" showErrorMessage="1" sqref="B1" xr:uid="{00000000-0002-0000-0E00-00000100000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A7988-F172-4AB8-B207-2F9EF326F2F1}">
  <sheetPr codeName="Sheet22">
    <tabColor theme="4" tint="0.39997558519241921"/>
  </sheetPr>
  <dimension ref="A1:DT4"/>
  <sheetViews>
    <sheetView workbookViewId="0">
      <selection activeCell="G21" sqref="G21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7" width="17.5703125" style="16" customWidth="1"/>
    <col min="8" max="8" width="25.85546875" style="16" bestFit="1" customWidth="1"/>
    <col min="9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0" width="9.140625" style="16"/>
    <col min="21" max="21" width="22.85546875" style="16" bestFit="1" customWidth="1"/>
    <col min="22" max="22" width="9.140625" style="16"/>
    <col min="23" max="23" width="12" style="16" bestFit="1" customWidth="1"/>
    <col min="24" max="24" width="19.28515625" style="16" bestFit="1" customWidth="1"/>
    <col min="25" max="25" width="28.5703125" style="16" bestFit="1" customWidth="1"/>
    <col min="26" max="26" width="27" style="16" bestFit="1" customWidth="1"/>
    <col min="27" max="36" width="9.140625" style="16"/>
    <col min="37" max="37" width="17.85546875" style="16" bestFit="1" customWidth="1"/>
    <col min="38" max="45" width="9.140625" style="16"/>
    <col min="46" max="46" width="30.28515625" style="16" bestFit="1" customWidth="1"/>
    <col min="47" max="47" width="20.7109375" style="16" bestFit="1" customWidth="1"/>
    <col min="48" max="50" width="9.140625" style="16"/>
    <col min="51" max="51" width="20.140625" style="16" bestFit="1" customWidth="1"/>
    <col min="52" max="52" width="22.140625" style="16" bestFit="1" customWidth="1"/>
    <col min="53" max="53" width="23" style="16" bestFit="1" customWidth="1"/>
    <col min="54" max="54" width="9.140625" style="16"/>
    <col min="55" max="56" width="19.85546875" style="16" bestFit="1" customWidth="1"/>
    <col min="57" max="104" width="9.140625" style="16"/>
    <col min="105" max="105" width="9.140625" style="17"/>
    <col min="106" max="106" width="17.42578125" style="17" customWidth="1"/>
    <col min="107" max="107" width="27" style="17" customWidth="1"/>
    <col min="108" max="108" width="33.42578125" style="17" customWidth="1"/>
    <col min="109" max="109" width="23" style="17" customWidth="1"/>
    <col min="110" max="110" width="31.7109375" style="17" customWidth="1"/>
    <col min="111" max="111" width="14.140625" style="17" customWidth="1"/>
    <col min="112" max="112" width="29" style="17" customWidth="1"/>
    <col min="113" max="113" width="19.85546875" style="17" customWidth="1"/>
    <col min="114" max="114" width="9.28515625" style="17" bestFit="1" customWidth="1"/>
    <col min="115" max="115" width="20.28515625" style="17" customWidth="1"/>
    <col min="116" max="117" width="9.28515625" style="16" bestFit="1" customWidth="1"/>
    <col min="118" max="118" width="24" style="16" customWidth="1"/>
    <col min="119" max="119" width="22.140625" style="16" customWidth="1"/>
    <col min="120" max="16384" width="9.140625" style="16"/>
  </cols>
  <sheetData>
    <row r="1" spans="1:124" customFormat="1" ht="38.25" customHeight="1" thickBot="1" x14ac:dyDescent="0.3">
      <c r="A1" s="80" t="s">
        <v>144</v>
      </c>
      <c r="B1" s="81">
        <v>1</v>
      </c>
      <c r="C1" s="4"/>
      <c r="D1" s="18"/>
      <c r="E1" s="43" t="s">
        <v>96</v>
      </c>
      <c r="F1" s="44" t="s">
        <v>97</v>
      </c>
      <c r="G1" s="45" t="s">
        <v>98</v>
      </c>
      <c r="H1" s="46" t="s">
        <v>99</v>
      </c>
      <c r="I1" s="47" t="s">
        <v>100</v>
      </c>
      <c r="J1" s="48" t="str">
        <f>+IF(J2=0,"All Data Import Successfully","Difference Entry")</f>
        <v>All Data Import Successfully</v>
      </c>
      <c r="K1" s="16"/>
      <c r="L1" s="18"/>
      <c r="M1" s="3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e">
        <f>+IF(ISBLANK(DO3),TRIM(DN3),DO3)</f>
        <v>#N/A</v>
      </c>
      <c r="AL1" s="5"/>
      <c r="BZ1" s="6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</row>
    <row r="2" spans="1:124" customFormat="1" ht="21.75" thickBot="1" x14ac:dyDescent="0.4">
      <c r="A2" s="30" t="s">
        <v>85</v>
      </c>
      <c r="B2" s="30" t="s">
        <v>85</v>
      </c>
      <c r="C2" s="30" t="s">
        <v>95</v>
      </c>
      <c r="D2" s="31" t="s">
        <v>85</v>
      </c>
      <c r="E2" s="49">
        <f>+COUNTA(A:A)-4</f>
        <v>0</v>
      </c>
      <c r="F2" s="50">
        <f>+COUNTIF($DL:$DL,"&gt;"&amp;0)</f>
        <v>0</v>
      </c>
      <c r="G2" s="51">
        <f>+COUNTIF($DL:$DL,"&lt;"&amp;0)</f>
        <v>0</v>
      </c>
      <c r="H2" s="52">
        <f>+F2+G2</f>
        <v>0</v>
      </c>
      <c r="I2" s="53">
        <f>+SUM(DL:DL)</f>
        <v>0</v>
      </c>
      <c r="J2" s="52">
        <f>+(E2-H2)-COUNTIF(AK:AK,"0")</f>
        <v>0</v>
      </c>
      <c r="K2" s="30"/>
      <c r="L2" s="30"/>
      <c r="M2" s="30" t="s">
        <v>91</v>
      </c>
      <c r="N2" s="85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328</v>
      </c>
      <c r="AE2" s="86" t="s">
        <v>797</v>
      </c>
      <c r="AF2" s="86" t="s">
        <v>794</v>
      </c>
      <c r="AG2" s="86">
        <v>116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90" t="s">
        <v>874</v>
      </c>
      <c r="DB2" s="91" t="s">
        <v>875</v>
      </c>
      <c r="DC2" s="92" t="s">
        <v>73</v>
      </c>
      <c r="DD2" s="92" t="s">
        <v>239</v>
      </c>
      <c r="DE2" s="92" t="s">
        <v>1</v>
      </c>
      <c r="DF2" s="92" t="s">
        <v>74</v>
      </c>
      <c r="DG2" s="92" t="s">
        <v>75</v>
      </c>
      <c r="DH2" s="92" t="s">
        <v>76</v>
      </c>
      <c r="DI2" s="92" t="s">
        <v>55</v>
      </c>
      <c r="DJ2" s="92" t="s">
        <v>54</v>
      </c>
      <c r="DK2" s="92" t="s">
        <v>78</v>
      </c>
      <c r="DL2" s="92" t="s">
        <v>79</v>
      </c>
      <c r="DM2" s="92" t="s">
        <v>80</v>
      </c>
      <c r="DN2" s="92" t="s">
        <v>245</v>
      </c>
      <c r="DO2" s="93" t="s">
        <v>246</v>
      </c>
    </row>
    <row r="3" spans="1:124" customFormat="1" x14ac:dyDescent="0.25">
      <c r="A3" s="62" t="s">
        <v>5</v>
      </c>
      <c r="B3" s="63" t="s">
        <v>873</v>
      </c>
      <c r="C3" s="8"/>
      <c r="D3" s="62" t="s">
        <v>894</v>
      </c>
      <c r="E3" s="8"/>
      <c r="F3" s="8"/>
      <c r="G3" s="8"/>
      <c r="H3" s="8"/>
      <c r="I3" s="8"/>
      <c r="J3" s="8"/>
      <c r="K3" s="74"/>
      <c r="L3" s="8"/>
      <c r="M3" s="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BZ3" s="6"/>
      <c r="DA3" s="29" t="str">
        <f>+$A$3</f>
        <v>Gujarat</v>
      </c>
      <c r="DB3" s="29">
        <f>+E3</f>
        <v>0</v>
      </c>
      <c r="DC3" s="205">
        <f>+M3</f>
        <v>0</v>
      </c>
      <c r="DD3" s="29" t="e">
        <f>IF($O$2=2,IFERROR(VLOOKUP(H3,Help!X$3:Z$50000,3,0),"+++++++++"),IF($O$2=3,H3,CONCATENATE(DJ3,"%",," ","(",DI3,")")))</f>
        <v>#VALUE!</v>
      </c>
      <c r="DE3" s="29" t="e">
        <f>+VLOOKUP(TRIM(R3),Help!$A$2:$B$250,2,0)</f>
        <v>#N/A</v>
      </c>
      <c r="DF3" s="205" t="str">
        <f>+IF(RIGHT(BL3,6)="Return",IF(ISBLANK(BD3),"",BD3),IF(ISBLANK(BC3),"",BC3))</f>
        <v/>
      </c>
      <c r="DG3" s="28">
        <f>+VALUE(AY3)</f>
        <v>0</v>
      </c>
      <c r="DH3" s="29" t="str">
        <f>+IF(RIGHT(BL3,6)="Return",IF(ISBLANK(AZ3),"",AZ3),IF(ISBLANK(C3),"",C3))</f>
        <v/>
      </c>
      <c r="DI3" s="205" t="str">
        <f>+IF(RIGHT(BL3,6)="Return",IF(ISBLANK(BK3),"",BK3),IF(ISBLANK(BT3),"",BT3))</f>
        <v/>
      </c>
      <c r="DJ3" s="61" t="e" cm="1">
        <f t="array" ref="DJ3">--MID(Y3, MIN(SEARCH({0,1,2,3,4,5,6,7,8,9}, Y3 &amp; "0123456789")), FIND("%", Y3) - MIN(SEARCH({0,1,2,3,4,5,6,7,8,9}, Y3 &amp; "0123456789")))</f>
        <v>#VALUE!</v>
      </c>
      <c r="DK3" s="29">
        <f>+H3</f>
        <v>0</v>
      </c>
      <c r="DL3" s="26">
        <f>IFERROR(IF(ISBLANK(X3),0,IF(RIGHT(BL3,6)="Return",-X3,X3)),"0")</f>
        <v>0</v>
      </c>
      <c r="DM3" s="203" t="s">
        <v>85</v>
      </c>
      <c r="DN3" s="26" t="e">
        <f>CONCATENATE(IF(DE3="+++++++++","State",""),IF(DD3="+++++++++","PrctName",""))</f>
        <v>#N/A</v>
      </c>
      <c r="DO3" s="26" t="e">
        <f>CONCATENATE(IF(DE3="+++++++++",AN3,""),IF(DD3="+++++++++",H3,""))</f>
        <v>#N/A</v>
      </c>
      <c r="DP3" s="27" t="s">
        <v>85</v>
      </c>
      <c r="DQ3" s="119"/>
      <c r="DR3" s="120" t="s">
        <v>85</v>
      </c>
      <c r="DS3" s="120" t="s">
        <v>85</v>
      </c>
      <c r="DT3" s="120" t="s">
        <v>85</v>
      </c>
    </row>
    <row r="4" spans="1:124" customFormat="1" x14ac:dyDescent="0.25">
      <c r="A4" s="359" t="s">
        <v>420</v>
      </c>
      <c r="B4" s="359" t="s">
        <v>421</v>
      </c>
      <c r="C4" s="359" t="s">
        <v>422</v>
      </c>
      <c r="D4" s="359" t="s">
        <v>423</v>
      </c>
      <c r="E4" s="359" t="s">
        <v>424</v>
      </c>
      <c r="F4" s="359" t="s">
        <v>305</v>
      </c>
      <c r="G4" s="359" t="s">
        <v>425</v>
      </c>
      <c r="H4" s="359" t="s">
        <v>426</v>
      </c>
      <c r="I4" s="359" t="s">
        <v>427</v>
      </c>
      <c r="J4" s="359" t="s">
        <v>428</v>
      </c>
      <c r="K4" s="359" t="s">
        <v>429</v>
      </c>
      <c r="L4" s="359" t="s">
        <v>430</v>
      </c>
      <c r="M4" s="359" t="s">
        <v>73</v>
      </c>
      <c r="N4" s="359" t="s">
        <v>431</v>
      </c>
      <c r="O4" s="359" t="s">
        <v>432</v>
      </c>
      <c r="P4" s="359" t="s">
        <v>433</v>
      </c>
      <c r="Q4" s="359" t="s">
        <v>434</v>
      </c>
      <c r="R4" s="359" t="s">
        <v>435</v>
      </c>
      <c r="S4" s="359" t="s">
        <v>436</v>
      </c>
      <c r="T4" s="359" t="s">
        <v>437</v>
      </c>
      <c r="U4" s="359" t="s">
        <v>438</v>
      </c>
      <c r="V4" s="359" t="s">
        <v>439</v>
      </c>
      <c r="W4" s="359" t="s">
        <v>440</v>
      </c>
      <c r="X4" s="359" t="s">
        <v>441</v>
      </c>
      <c r="Y4" s="359" t="s">
        <v>442</v>
      </c>
      <c r="Z4" s="359" t="s">
        <v>412</v>
      </c>
      <c r="AA4" s="359" t="s">
        <v>277</v>
      </c>
      <c r="AB4" s="359" t="s">
        <v>413</v>
      </c>
      <c r="AC4" s="359" t="s">
        <v>443</v>
      </c>
      <c r="AD4" s="359" t="s">
        <v>415</v>
      </c>
      <c r="AE4" s="359" t="s">
        <v>275</v>
      </c>
      <c r="AF4" s="359" t="s">
        <v>414</v>
      </c>
      <c r="AG4" s="359" t="s">
        <v>444</v>
      </c>
      <c r="AH4" s="359" t="s">
        <v>445</v>
      </c>
      <c r="AI4" s="359" t="s">
        <v>446</v>
      </c>
      <c r="AJ4" s="359" t="s">
        <v>447</v>
      </c>
      <c r="AK4" s="359" t="s">
        <v>448</v>
      </c>
      <c r="AL4" s="359" t="s">
        <v>449</v>
      </c>
      <c r="AM4" s="359" t="s">
        <v>450</v>
      </c>
      <c r="AN4" s="359" t="s">
        <v>451</v>
      </c>
      <c r="AO4" s="359" t="s">
        <v>452</v>
      </c>
      <c r="AP4" s="359" t="s">
        <v>453</v>
      </c>
      <c r="AQ4" s="359" t="s">
        <v>454</v>
      </c>
      <c r="AR4" s="359" t="s">
        <v>455</v>
      </c>
      <c r="AS4" s="359" t="s">
        <v>456</v>
      </c>
      <c r="AT4" s="359" t="s">
        <v>457</v>
      </c>
      <c r="AU4" s="359" t="s">
        <v>458</v>
      </c>
      <c r="AV4" s="359" t="s">
        <v>459</v>
      </c>
      <c r="AW4" s="359" t="s">
        <v>460</v>
      </c>
      <c r="AX4" s="359" t="s">
        <v>461</v>
      </c>
      <c r="AY4" s="359" t="s">
        <v>462</v>
      </c>
      <c r="AZ4" s="359" t="s">
        <v>463</v>
      </c>
      <c r="BA4" s="359" t="s">
        <v>464</v>
      </c>
      <c r="BB4" s="359" t="s">
        <v>465</v>
      </c>
      <c r="BC4" s="359" t="s">
        <v>466</v>
      </c>
      <c r="BD4" s="359" t="s">
        <v>467</v>
      </c>
      <c r="BE4" s="359" t="s">
        <v>468</v>
      </c>
      <c r="BF4" s="359" t="s">
        <v>469</v>
      </c>
      <c r="BG4" s="359" t="s">
        <v>470</v>
      </c>
      <c r="BH4" s="359" t="s">
        <v>471</v>
      </c>
      <c r="BI4" s="359" t="s">
        <v>472</v>
      </c>
      <c r="BJ4" s="359" t="s">
        <v>473</v>
      </c>
      <c r="BK4" s="359" t="s">
        <v>474</v>
      </c>
      <c r="BL4" s="359" t="s">
        <v>475</v>
      </c>
      <c r="BM4" s="359" t="s">
        <v>476</v>
      </c>
      <c r="BN4" s="359" t="s">
        <v>477</v>
      </c>
      <c r="BO4" s="359" t="s">
        <v>478</v>
      </c>
      <c r="BP4" s="359" t="s">
        <v>479</v>
      </c>
      <c r="BQ4" s="359" t="s">
        <v>480</v>
      </c>
      <c r="BR4" s="359" t="s">
        <v>481</v>
      </c>
      <c r="BS4" s="359" t="s">
        <v>482</v>
      </c>
      <c r="BT4" s="359" t="s">
        <v>55</v>
      </c>
      <c r="BU4" s="359" t="s">
        <v>483</v>
      </c>
      <c r="BV4" s="359" t="s">
        <v>484</v>
      </c>
      <c r="BW4" s="359" t="s">
        <v>485</v>
      </c>
      <c r="BX4" s="359" t="s">
        <v>486</v>
      </c>
      <c r="BY4" s="359" t="s">
        <v>487</v>
      </c>
      <c r="BZ4" s="359"/>
      <c r="CA4" s="359"/>
      <c r="CB4" s="359"/>
      <c r="CC4" s="359"/>
      <c r="CD4" s="359"/>
      <c r="CE4" s="359"/>
      <c r="CF4" s="2"/>
      <c r="CG4" s="2"/>
      <c r="CH4" s="2"/>
      <c r="CI4" s="2"/>
      <c r="CJ4" s="2"/>
      <c r="CK4" s="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25"/>
      <c r="DB4" s="125"/>
      <c r="DC4" s="353"/>
      <c r="DD4" s="125"/>
      <c r="DE4" s="125"/>
      <c r="DF4" s="353"/>
      <c r="DG4" s="355"/>
      <c r="DH4" s="125"/>
      <c r="DI4" s="125"/>
      <c r="DJ4" s="354"/>
      <c r="DK4" s="125"/>
      <c r="DL4" s="121"/>
      <c r="DM4" s="127"/>
      <c r="DN4" s="121"/>
      <c r="DO4" s="121"/>
      <c r="DP4" s="122"/>
    </row>
  </sheetData>
  <sheetProtection algorithmName="SHA-512" hashValue="9HtsMPArM6ijcH/wFsKBz4XcNlu8P1GRUdHB9WndI5tftvJl52IpeKXQLmBlei1ytDwOMav9ghHYBB3xQgkXog==" saltValue="3J8S4rLiGMGMMJ4XtC4uog==" spinCount="100000" sheet="1" objects="1" scenarios="1"/>
  <mergeCells count="1">
    <mergeCell ref="O1:P1"/>
  </mergeCells>
  <conditionalFormatting sqref="H1">
    <cfRule type="cellIs" dxfId="73" priority="12" operator="equal">
      <formula>#N/A</formula>
    </cfRule>
  </conditionalFormatting>
  <conditionalFormatting sqref="E1">
    <cfRule type="cellIs" dxfId="72" priority="11" operator="equal">
      <formula>#N/A</formula>
    </cfRule>
  </conditionalFormatting>
  <conditionalFormatting sqref="I1">
    <cfRule type="cellIs" dxfId="71" priority="10" operator="equal">
      <formula>#N/A</formula>
    </cfRule>
  </conditionalFormatting>
  <conditionalFormatting sqref="J1">
    <cfRule type="cellIs" dxfId="70" priority="9" operator="equal">
      <formula>#N/A</formula>
    </cfRule>
  </conditionalFormatting>
  <conditionalFormatting sqref="J1">
    <cfRule type="containsText" dxfId="69" priority="7" operator="containsText" text="All Data Import Successfully">
      <formula>NOT(ISERROR(SEARCH("All Data Import Successfully",J1)))</formula>
    </cfRule>
    <cfRule type="containsText" dxfId="68" priority="8" operator="containsText" text="Difference Entry">
      <formula>NOT(ISERROR(SEARCH("Difference Entry",J1)))</formula>
    </cfRule>
  </conditionalFormatting>
  <conditionalFormatting sqref="L2 E2:G2">
    <cfRule type="cellIs" dxfId="67" priority="6" operator="equal">
      <formula>#N/A</formula>
    </cfRule>
  </conditionalFormatting>
  <conditionalFormatting sqref="H2">
    <cfRule type="cellIs" dxfId="66" priority="5" operator="equal">
      <formula>#N/A</formula>
    </cfRule>
  </conditionalFormatting>
  <conditionalFormatting sqref="I2">
    <cfRule type="cellIs" dxfId="65" priority="4" operator="equal">
      <formula>#N/A</formula>
    </cfRule>
  </conditionalFormatting>
  <conditionalFormatting sqref="J2">
    <cfRule type="cellIs" dxfId="64" priority="3" operator="equal">
      <formula>#N/A</formula>
    </cfRule>
  </conditionalFormatting>
  <conditionalFormatting sqref="J2">
    <cfRule type="cellIs" dxfId="63" priority="2" operator="equal">
      <formula>0</formula>
    </cfRule>
  </conditionalFormatting>
  <conditionalFormatting sqref="K2">
    <cfRule type="cellIs" dxfId="62" priority="1" operator="equal">
      <formula>#N/A</formula>
    </cfRule>
  </conditionalFormatting>
  <dataValidations count="2">
    <dataValidation type="list" allowBlank="1" showInputMessage="1" showErrorMessage="1" sqref="P2" xr:uid="{1A112E8A-E0E0-4FFE-B842-BE9E3E329045}">
      <formula1>"HSN+%,Alias,Product"</formula1>
    </dataValidation>
    <dataValidation type="list" allowBlank="1" showInputMessage="1" showErrorMessage="1" sqref="B1" xr:uid="{7C60172C-4AA3-48B6-9696-6AECE844F454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402F-0004-48B9-BA3E-7A9AD82F52BB}">
  <sheetPr codeName="Sheet21">
    <tabColor theme="8" tint="0.79998168889431442"/>
  </sheetPr>
  <dimension ref="A1:DX4"/>
  <sheetViews>
    <sheetView showRuler="0" workbookViewId="0">
      <selection activeCell="E19" sqref="E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21.7109375" style="17" bestFit="1" customWidth="1"/>
    <col min="106" max="106" width="12.5703125" style="17" bestFit="1" customWidth="1"/>
    <col min="107" max="107" width="27" style="16" customWidth="1"/>
    <col min="108" max="108" width="33.42578125" style="16" customWidth="1"/>
    <col min="109" max="109" width="23" style="17" customWidth="1"/>
    <col min="110" max="110" width="31.7109375" style="16" customWidth="1"/>
    <col min="111" max="111" width="22.28515625" style="16" bestFit="1" customWidth="1"/>
    <col min="112" max="112" width="29" style="17" customWidth="1"/>
    <col min="113" max="113" width="19.85546875" style="16" customWidth="1"/>
    <col min="114" max="114" width="13.85546875" style="16" customWidth="1"/>
    <col min="115" max="115" width="20.28515625" style="17" customWidth="1"/>
    <col min="116" max="116" width="22.140625" style="17" customWidth="1"/>
    <col min="117" max="117" width="9.42578125" style="16" bestFit="1" customWidth="1"/>
    <col min="118" max="118" width="24" style="16" customWidth="1"/>
    <col min="119" max="119" width="22.140625" style="17" customWidth="1"/>
    <col min="120" max="120" width="9.28515625" style="16" bestFit="1" customWidth="1"/>
    <col min="121" max="121" width="12.140625" style="16" customWidth="1"/>
    <col min="122" max="122" width="22.85546875" style="17" bestFit="1" customWidth="1"/>
    <col min="123" max="123" width="13.7109375" style="16" customWidth="1"/>
    <col min="124" max="124" width="21.28515625" style="16" bestFit="1" customWidth="1"/>
    <col min="125" max="125" width="21.28515625" style="17" bestFit="1" customWidth="1"/>
    <col min="126" max="128" width="21.28515625" style="17" customWidth="1"/>
    <col min="129" max="129" width="21.7109375" style="16" bestFit="1" customWidth="1"/>
    <col min="130" max="130" width="5.42578125" style="16" bestFit="1" customWidth="1"/>
    <col min="131" max="132" width="18.28515625" style="16" bestFit="1" customWidth="1"/>
    <col min="133" max="133" width="6.140625" style="16" bestFit="1" customWidth="1"/>
    <col min="134" max="134" width="15.42578125" style="16" bestFit="1" customWidth="1"/>
    <col min="135" max="135" width="22.28515625" style="16" bestFit="1" customWidth="1"/>
    <col min="136" max="136" width="26.7109375" style="16" bestFit="1" customWidth="1"/>
    <col min="137" max="137" width="9.140625" style="16"/>
    <col min="138" max="138" width="10.85546875" style="16" bestFit="1" customWidth="1"/>
    <col min="139" max="139" width="8.140625" style="16" bestFit="1" customWidth="1"/>
    <col min="140" max="140" width="16.85546875" style="16" bestFit="1" customWidth="1"/>
    <col min="141" max="141" width="8.28515625" style="16" bestFit="1" customWidth="1"/>
    <col min="142" max="142" width="11.5703125" style="16" bestFit="1" customWidth="1"/>
    <col min="143" max="143" width="11" style="16" bestFit="1" customWidth="1"/>
    <col min="144" max="144" width="5.42578125" style="16" bestFit="1" customWidth="1"/>
    <col min="145" max="145" width="8.28515625" style="16" bestFit="1" customWidth="1"/>
    <col min="146" max="146" width="15.5703125" style="16" bestFit="1" customWidth="1"/>
    <col min="147" max="147" width="10.28515625" style="16" bestFit="1" customWidth="1"/>
    <col min="148" max="148" width="21.42578125" style="16" bestFit="1" customWidth="1"/>
    <col min="149" max="149" width="18.28515625" style="16" bestFit="1" customWidth="1"/>
    <col min="150" max="16384" width="9.140625" style="16"/>
  </cols>
  <sheetData>
    <row r="1" spans="1:128" customFormat="1" ht="38.1" customHeight="1" thickBot="1" x14ac:dyDescent="0.3">
      <c r="A1" s="285"/>
      <c r="B1" s="286">
        <v>1</v>
      </c>
      <c r="C1" s="287"/>
      <c r="D1" s="288"/>
      <c r="E1" s="289" t="s">
        <v>96</v>
      </c>
      <c r="F1" s="290" t="s">
        <v>87</v>
      </c>
      <c r="G1" s="291" t="s">
        <v>879</v>
      </c>
      <c r="H1" s="292" t="s">
        <v>892</v>
      </c>
      <c r="I1" s="292" t="s">
        <v>893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7">
        <v>1</v>
      </c>
      <c r="DB1" s="17">
        <v>2</v>
      </c>
      <c r="DC1" s="16">
        <v>3</v>
      </c>
      <c r="DD1" s="16">
        <v>4</v>
      </c>
      <c r="DE1" s="17">
        <v>5</v>
      </c>
      <c r="DF1" s="16">
        <v>6</v>
      </c>
      <c r="DG1" s="16">
        <v>7</v>
      </c>
      <c r="DH1" s="17">
        <v>8</v>
      </c>
      <c r="DI1" s="16">
        <v>9</v>
      </c>
      <c r="DJ1" s="16">
        <v>10</v>
      </c>
      <c r="DK1" s="17">
        <v>11</v>
      </c>
      <c r="DL1" s="17">
        <v>12</v>
      </c>
      <c r="DM1" s="16">
        <v>13</v>
      </c>
      <c r="DN1" s="16">
        <v>14</v>
      </c>
      <c r="DO1" s="17">
        <v>15</v>
      </c>
      <c r="DP1" s="16">
        <v>16</v>
      </c>
      <c r="DQ1" s="16"/>
      <c r="DR1" s="17">
        <v>18</v>
      </c>
      <c r="DS1" s="16"/>
      <c r="DT1" s="16">
        <v>20</v>
      </c>
      <c r="DU1" s="17">
        <v>21</v>
      </c>
      <c r="DV1" s="17"/>
      <c r="DW1" s="17"/>
      <c r="DX1" s="17"/>
    </row>
    <row r="2" spans="1:128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+COUNTIF($DR:$DR,"Sales")</f>
        <v>0</v>
      </c>
      <c r="G2" s="301">
        <f>+COUNTIF($DR:$DR,"Purchase Return")-1</f>
        <v>0</v>
      </c>
      <c r="H2" s="302">
        <f>SUMIF(DS:DS, "&gt;0")</f>
        <v>0</v>
      </c>
      <c r="I2" s="302">
        <f>SUMIF(DS:DS, "&lt;0")</f>
        <v>0</v>
      </c>
      <c r="J2" s="304">
        <f>+F2+G2</f>
        <v>0</v>
      </c>
      <c r="K2" s="305">
        <f>+SUM(DS:DS)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123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361" t="s">
        <v>864</v>
      </c>
      <c r="DB2" s="361" t="s">
        <v>781</v>
      </c>
      <c r="DC2" s="361" t="s">
        <v>230</v>
      </c>
      <c r="DD2" s="361" t="s">
        <v>877</v>
      </c>
      <c r="DE2" s="361" t="s">
        <v>783</v>
      </c>
      <c r="DF2" s="361" t="s">
        <v>865</v>
      </c>
      <c r="DG2" s="362" t="s">
        <v>784</v>
      </c>
      <c r="DH2" s="361" t="s">
        <v>785</v>
      </c>
      <c r="DI2" s="361" t="s">
        <v>786</v>
      </c>
      <c r="DJ2" s="361" t="s">
        <v>420</v>
      </c>
      <c r="DK2" s="361" t="s">
        <v>76</v>
      </c>
      <c r="DL2" s="361" t="s">
        <v>403</v>
      </c>
      <c r="DM2" s="361" t="s">
        <v>787</v>
      </c>
      <c r="DN2" s="361" t="s">
        <v>788</v>
      </c>
      <c r="DO2" s="361" t="s">
        <v>789</v>
      </c>
      <c r="DP2" s="361" t="s">
        <v>426</v>
      </c>
      <c r="DQ2" s="361" t="s">
        <v>318</v>
      </c>
      <c r="DR2" s="363" t="s">
        <v>800</v>
      </c>
      <c r="DS2" s="361" t="s">
        <v>106</v>
      </c>
      <c r="DT2" s="361" t="s">
        <v>878</v>
      </c>
      <c r="DU2" s="361" t="s">
        <v>876</v>
      </c>
      <c r="DV2" s="17"/>
      <c r="DW2" s="17"/>
      <c r="DX2" s="17"/>
    </row>
    <row r="3" spans="1:128" customFormat="1" ht="15.75" thickBot="1" x14ac:dyDescent="0.3">
      <c r="A3" s="345"/>
      <c r="B3" s="346"/>
      <c r="C3" s="308"/>
      <c r="D3" s="309" t="s">
        <v>910</v>
      </c>
      <c r="E3" s="344"/>
      <c r="F3" s="347"/>
      <c r="G3" s="344"/>
      <c r="H3" s="308"/>
      <c r="I3" s="351"/>
      <c r="J3" s="349"/>
      <c r="K3" s="352"/>
      <c r="L3" s="350"/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 t="s">
        <v>441</v>
      </c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9">
        <f>+G3</f>
        <v>0</v>
      </c>
      <c r="DB3" s="29" t="s">
        <v>791</v>
      </c>
      <c r="DC3" s="29" t="e">
        <f>+VLOOKUP(DD3,Help!$AC$3:$AD$20,2,0)</f>
        <v>#N/A</v>
      </c>
      <c r="DD3" s="205">
        <f>+A3</f>
        <v>0</v>
      </c>
      <c r="DE3" s="205">
        <f>+B3</f>
        <v>0</v>
      </c>
      <c r="DF3" s="29">
        <f>+L3</f>
        <v>0</v>
      </c>
      <c r="DG3" s="26" t="s">
        <v>779</v>
      </c>
      <c r="DH3" s="29" t="str">
        <f>+IF(DF3=DA3,"GST","IGST")</f>
        <v>GST</v>
      </c>
      <c r="DI3" s="29" t="s">
        <v>868</v>
      </c>
      <c r="DJ3" s="28">
        <f>+VALUE(P3)</f>
        <v>0</v>
      </c>
      <c r="DK3" s="29">
        <f>+O3</f>
        <v>0</v>
      </c>
      <c r="DL3" s="29" t="str">
        <f>CONCATENATE("GST", " ", DM3, "%", " ", "(", DO3, REPT(" ", 8 - LEN(DO3)), ")")</f>
        <v>GST 0% (        )</v>
      </c>
      <c r="DM3" s="187">
        <f>+IF(X3=0,0,W3*100)</f>
        <v>0</v>
      </c>
      <c r="DN3" s="27" t="s">
        <v>85</v>
      </c>
      <c r="DO3" s="205" t="s">
        <v>85</v>
      </c>
      <c r="DP3" s="29">
        <f>+IF(X3=0,0,T3)</f>
        <v>0</v>
      </c>
      <c r="DQ3" s="89" t="e">
        <f>+DS3/DP3</f>
        <v>#DIV/0!</v>
      </c>
      <c r="DR3" s="205" t="str">
        <f>+IF(B3="FC_TRANSFER","Sales","Purchase Return")</f>
        <v>Purchase Return</v>
      </c>
      <c r="DS3" s="384">
        <f>+IF(B3="FC_REMOVAL",VALUE(IF(X3=0,0,V3*-1)),VALUE(IF(X3=0,0,V3)))</f>
        <v>0</v>
      </c>
      <c r="DT3" s="364" t="e">
        <f>+VLOOKUP(DU3,Help!$AC$3:$AD$20,2,0)</f>
        <v>#N/A</v>
      </c>
      <c r="DU3" s="365" t="str">
        <f>+AG3</f>
        <v>Sales</v>
      </c>
      <c r="DV3" s="360"/>
      <c r="DW3" s="360"/>
      <c r="DX3" s="360"/>
    </row>
    <row r="4" spans="1:128" s="2" customFormat="1" x14ac:dyDescent="0.25">
      <c r="A4" s="356" t="s">
        <v>855</v>
      </c>
      <c r="B4" s="356" t="s">
        <v>156</v>
      </c>
      <c r="C4" s="356" t="s">
        <v>525</v>
      </c>
      <c r="D4" s="356" t="s">
        <v>157</v>
      </c>
      <c r="E4" s="356" t="s">
        <v>856</v>
      </c>
      <c r="F4" s="356" t="s">
        <v>172</v>
      </c>
      <c r="G4" s="356" t="s">
        <v>173</v>
      </c>
      <c r="H4" s="356" t="s">
        <v>174</v>
      </c>
      <c r="I4" s="356" t="s">
        <v>175</v>
      </c>
      <c r="J4" s="356" t="s">
        <v>857</v>
      </c>
      <c r="K4" s="356" t="s">
        <v>176</v>
      </c>
      <c r="L4" s="356" t="s">
        <v>177</v>
      </c>
      <c r="M4" s="356" t="s">
        <v>178</v>
      </c>
      <c r="N4" s="356" t="s">
        <v>179</v>
      </c>
      <c r="O4" s="356" t="s">
        <v>154</v>
      </c>
      <c r="P4" s="356" t="s">
        <v>155</v>
      </c>
      <c r="Q4" s="356" t="s">
        <v>379</v>
      </c>
      <c r="R4" s="356" t="s">
        <v>164</v>
      </c>
      <c r="S4" s="356" t="s">
        <v>166</v>
      </c>
      <c r="T4" s="356" t="s">
        <v>162</v>
      </c>
      <c r="U4" s="356" t="s">
        <v>746</v>
      </c>
      <c r="V4" s="356" t="s">
        <v>540</v>
      </c>
      <c r="W4" s="356" t="s">
        <v>186</v>
      </c>
      <c r="X4" s="356" t="s">
        <v>858</v>
      </c>
      <c r="Y4" s="356" t="s">
        <v>184</v>
      </c>
      <c r="Z4" s="356" t="s">
        <v>859</v>
      </c>
      <c r="AA4" s="356" t="s">
        <v>185</v>
      </c>
      <c r="AB4" s="356" t="s">
        <v>860</v>
      </c>
      <c r="AC4" s="356" t="s">
        <v>183</v>
      </c>
      <c r="AD4" s="356" t="s">
        <v>861</v>
      </c>
      <c r="AE4" s="356" t="s">
        <v>187</v>
      </c>
      <c r="AF4" s="356" t="s">
        <v>862</v>
      </c>
      <c r="AG4" s="356" t="s">
        <v>863</v>
      </c>
      <c r="AH4" s="356" t="s">
        <v>233</v>
      </c>
      <c r="AI4" s="356" t="s">
        <v>234</v>
      </c>
      <c r="AJ4" s="356" t="s">
        <v>235</v>
      </c>
      <c r="AK4" s="356" t="s">
        <v>236</v>
      </c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6"/>
      <c r="DH4" s="17"/>
      <c r="DI4" s="277" t="s">
        <v>85</v>
      </c>
      <c r="DJ4" s="17"/>
      <c r="DK4" s="276"/>
      <c r="DL4" s="125"/>
      <c r="DM4" s="283"/>
      <c r="DN4" s="276"/>
      <c r="DO4" s="276"/>
      <c r="DP4" s="277" t="s">
        <v>85</v>
      </c>
      <c r="DS4" s="383"/>
    </row>
  </sheetData>
  <sheetProtection algorithmName="SHA-512" hashValue="2dOdHT1Qz7YDFj/CDuoG0l1CnLuhbYA9L40FfQK8yccFlZB6bUPka3LUtpYXfrpn+sf4/CM0CeIEArr385zGfg==" saltValue="mrVkPCmiqHqKJnSAbRtK/A==" spinCount="100000" sheet="1" objects="1" scenarios="1"/>
  <mergeCells count="1">
    <mergeCell ref="O1:P1"/>
  </mergeCells>
  <conditionalFormatting sqref="J1">
    <cfRule type="cellIs" dxfId="61" priority="11" operator="equal">
      <formula>#N/A</formula>
    </cfRule>
  </conditionalFormatting>
  <conditionalFormatting sqref="E1">
    <cfRule type="cellIs" dxfId="60" priority="10" operator="equal">
      <formula>#N/A</formula>
    </cfRule>
  </conditionalFormatting>
  <conditionalFormatting sqref="K1">
    <cfRule type="cellIs" dxfId="59" priority="9" operator="equal">
      <formula>#N/A</formula>
    </cfRule>
  </conditionalFormatting>
  <conditionalFormatting sqref="L1">
    <cfRule type="cellIs" dxfId="58" priority="8" operator="equal">
      <formula>#N/A</formula>
    </cfRule>
  </conditionalFormatting>
  <conditionalFormatting sqref="L1">
    <cfRule type="containsText" dxfId="57" priority="6" operator="containsText" text="All Data Import Successfully">
      <formula>NOT(ISERROR(SEARCH("All Data Import Successfully",L1)))</formula>
    </cfRule>
    <cfRule type="containsText" dxfId="56" priority="7" operator="containsText" text="Difference Entry">
      <formula>NOT(ISERROR(SEARCH("Difference Entry",L1)))</formula>
    </cfRule>
  </conditionalFormatting>
  <conditionalFormatting sqref="E2:I2">
    <cfRule type="cellIs" dxfId="55" priority="5" operator="equal">
      <formula>#N/A</formula>
    </cfRule>
  </conditionalFormatting>
  <conditionalFormatting sqref="J2">
    <cfRule type="cellIs" dxfId="54" priority="4" operator="equal">
      <formula>#N/A</formula>
    </cfRule>
  </conditionalFormatting>
  <conditionalFormatting sqref="K2">
    <cfRule type="cellIs" dxfId="53" priority="3" operator="equal">
      <formula>#N/A</formula>
    </cfRule>
  </conditionalFormatting>
  <conditionalFormatting sqref="L2">
    <cfRule type="cellIs" dxfId="52" priority="2" operator="equal">
      <formula>#N/A</formula>
    </cfRule>
  </conditionalFormatting>
  <conditionalFormatting sqref="L2">
    <cfRule type="cellIs" dxfId="51" priority="1" operator="equal">
      <formula>0</formula>
    </cfRule>
  </conditionalFormatting>
  <dataValidations disablePrompts="1" count="2">
    <dataValidation type="list" allowBlank="1" showInputMessage="1" showErrorMessage="1" sqref="P2" xr:uid="{27E10B3D-CC75-4159-93FF-3CDFEA1580FC}">
      <formula1>"HSN+%,Alias,Product"</formula1>
    </dataValidation>
    <dataValidation type="list" allowBlank="1" showInputMessage="1" showErrorMessage="1" sqref="B1" xr:uid="{32C72DAE-192D-488B-86BD-5BC2FF3E4270}">
      <formula1>"1,2"</formula1>
    </dataValidation>
  </dataValidation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theme="7" tint="0.39997558519241921"/>
  </sheetPr>
  <dimension ref="A1:EG4"/>
  <sheetViews>
    <sheetView showRuler="0" workbookViewId="0">
      <selection activeCell="J19" sqref="J19"/>
    </sheetView>
  </sheetViews>
  <sheetFormatPr defaultRowHeight="15" x14ac:dyDescent="0.25"/>
  <cols>
    <col min="1" max="3" width="17.5703125" style="16" customWidth="1"/>
    <col min="4" max="4" width="19.42578125" style="16" bestFit="1" customWidth="1"/>
    <col min="5" max="5" width="17.5703125" style="16" customWidth="1"/>
    <col min="6" max="6" width="19" style="16" customWidth="1"/>
    <col min="7" max="10" width="17.5703125" style="16" customWidth="1"/>
    <col min="11" max="11" width="18.28515625" style="16" customWidth="1"/>
    <col min="12" max="13" width="17.5703125" style="16" customWidth="1"/>
    <col min="14" max="14" width="29.42578125" style="16" customWidth="1"/>
    <col min="15" max="15" width="16.140625" style="16" customWidth="1"/>
    <col min="16" max="16" width="17" style="16" customWidth="1"/>
    <col min="17" max="17" width="9.140625" style="16"/>
    <col min="18" max="18" width="19" style="16" bestFit="1" customWidth="1"/>
    <col min="19" max="24" width="9.140625" style="16"/>
    <col min="25" max="25" width="28.5703125" style="16" bestFit="1" customWidth="1"/>
    <col min="26" max="26" width="17.85546875" style="16" bestFit="1" customWidth="1"/>
    <col min="27" max="27" width="18.42578125" style="16" bestFit="1" customWidth="1"/>
    <col min="28" max="28" width="18.28515625" style="16" bestFit="1" customWidth="1"/>
    <col min="29" max="29" width="19.42578125" style="16" bestFit="1" customWidth="1"/>
    <col min="30" max="30" width="23" style="16" bestFit="1" customWidth="1"/>
    <col min="31" max="31" width="18.85546875" style="16" bestFit="1" customWidth="1"/>
    <col min="32" max="32" width="25.7109375" style="16" bestFit="1" customWidth="1"/>
    <col min="33" max="33" width="17.5703125" style="16" bestFit="1" customWidth="1"/>
    <col min="34" max="34" width="18.140625" style="16" bestFit="1" customWidth="1"/>
    <col min="35" max="35" width="18" style="16" bestFit="1" customWidth="1"/>
    <col min="36" max="36" width="19.85546875" style="16" bestFit="1" customWidth="1"/>
    <col min="37" max="37" width="17.85546875" style="16" bestFit="1" customWidth="1"/>
    <col min="38" max="104" width="9.140625" style="16"/>
    <col min="105" max="105" width="11.7109375" style="16" bestFit="1" customWidth="1"/>
    <col min="106" max="106" width="12.5703125" style="16" bestFit="1" customWidth="1"/>
    <col min="107" max="107" width="27" style="16" customWidth="1"/>
    <col min="108" max="108" width="33.42578125" style="16" customWidth="1"/>
    <col min="109" max="109" width="23" style="16" customWidth="1"/>
    <col min="110" max="110" width="31.7109375" style="16" customWidth="1"/>
    <col min="111" max="111" width="14.140625" style="16" customWidth="1"/>
    <col min="112" max="112" width="29" style="16" customWidth="1"/>
    <col min="113" max="113" width="19.85546875" style="16" customWidth="1"/>
    <col min="114" max="114" width="13.85546875" style="16" customWidth="1"/>
    <col min="115" max="115" width="20.28515625" style="16" customWidth="1"/>
    <col min="116" max="116" width="22.140625" style="16" customWidth="1"/>
    <col min="117" max="117" width="9.28515625" style="16" bestFit="1" customWidth="1"/>
    <col min="118" max="118" width="24" style="16" customWidth="1"/>
    <col min="119" max="119" width="22.140625" style="17" customWidth="1"/>
    <col min="120" max="120" width="9.140625" style="16"/>
    <col min="121" max="121" width="15.28515625" style="16" customWidth="1"/>
    <col min="122" max="122" width="22.85546875" style="16" bestFit="1" customWidth="1"/>
    <col min="123" max="16384" width="9.140625" style="16"/>
  </cols>
  <sheetData>
    <row r="1" spans="1:137" customFormat="1" ht="38.1" customHeight="1" thickBot="1" x14ac:dyDescent="0.3">
      <c r="A1" s="285"/>
      <c r="B1" s="286"/>
      <c r="C1" s="287"/>
      <c r="D1" s="288"/>
      <c r="E1" s="289" t="s">
        <v>96</v>
      </c>
      <c r="F1" s="290" t="s">
        <v>801</v>
      </c>
      <c r="G1" s="291" t="s">
        <v>802</v>
      </c>
      <c r="H1" s="292" t="s">
        <v>803</v>
      </c>
      <c r="I1" s="293" t="s">
        <v>804</v>
      </c>
      <c r="J1" s="294" t="s">
        <v>99</v>
      </c>
      <c r="K1" s="295" t="s">
        <v>100</v>
      </c>
      <c r="L1" s="296" t="str">
        <f>+IF(L2=0,"All Data Import Successfully","Difference Entry")</f>
        <v>All Data Import Successfully</v>
      </c>
      <c r="M1" s="310"/>
      <c r="N1" s="84" t="s">
        <v>247</v>
      </c>
      <c r="O1" s="395" t="s">
        <v>237</v>
      </c>
      <c r="P1" s="396"/>
      <c r="AB1">
        <v>0</v>
      </c>
      <c r="AD1" s="280" t="s">
        <v>798</v>
      </c>
      <c r="AE1" s="280" t="s">
        <v>792</v>
      </c>
      <c r="AF1" s="280" t="s">
        <v>54</v>
      </c>
      <c r="AG1" s="280" t="s">
        <v>749</v>
      </c>
      <c r="AH1" s="5" t="str">
        <f>+IF(ISBLANK(DO4),TRIM(DN4),DO4)</f>
        <v/>
      </c>
      <c r="AL1" s="5"/>
      <c r="BZ1" s="6"/>
      <c r="DA1" s="16">
        <v>1</v>
      </c>
      <c r="DB1" s="16">
        <v>2</v>
      </c>
      <c r="DC1" s="16">
        <v>3</v>
      </c>
      <c r="DD1" s="16">
        <v>4</v>
      </c>
      <c r="DE1" s="16">
        <v>5</v>
      </c>
      <c r="DF1" s="16">
        <v>6</v>
      </c>
      <c r="DG1" s="16">
        <v>7</v>
      </c>
      <c r="DH1" s="16">
        <v>8</v>
      </c>
      <c r="DI1" s="16">
        <v>9</v>
      </c>
      <c r="DJ1" s="16">
        <v>10</v>
      </c>
      <c r="DK1" s="16">
        <v>11</v>
      </c>
      <c r="DL1" s="16">
        <v>12</v>
      </c>
      <c r="DM1" s="16">
        <v>13</v>
      </c>
      <c r="DN1" s="16">
        <v>14</v>
      </c>
      <c r="DO1" s="16">
        <v>15</v>
      </c>
      <c r="DP1" s="16">
        <v>16</v>
      </c>
      <c r="DQ1" s="16"/>
      <c r="DR1" s="16">
        <v>18</v>
      </c>
      <c r="DS1" s="16">
        <v>19</v>
      </c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</row>
    <row r="2" spans="1:137" customFormat="1" ht="38.1" customHeight="1" thickBot="1" x14ac:dyDescent="0.4">
      <c r="A2" s="297" t="s">
        <v>85</v>
      </c>
      <c r="B2" s="284" t="s">
        <v>85</v>
      </c>
      <c r="C2" s="284"/>
      <c r="D2" s="298" t="s">
        <v>85</v>
      </c>
      <c r="E2" s="299">
        <f>+COUNTA(A:A)-2</f>
        <v>0</v>
      </c>
      <c r="F2" s="300">
        <f>+COUNTIF($DR:$DR,"Purchase")-1</f>
        <v>0</v>
      </c>
      <c r="G2" s="301">
        <f>+COUNTIF($DR:$DR,"GST Expense")</f>
        <v>0</v>
      </c>
      <c r="H2" s="302">
        <f>+COUNTIF($DR:$DR,"Pur CN")</f>
        <v>0</v>
      </c>
      <c r="I2" s="303">
        <f>+COUNTIF($DR:$DR,"Pur DN")</f>
        <v>0</v>
      </c>
      <c r="J2" s="304">
        <f>+F2+G2+H2+I2</f>
        <v>0</v>
      </c>
      <c r="K2" s="305">
        <f>+SUM(DQ:DQ)</f>
        <v>0</v>
      </c>
      <c r="L2" s="306">
        <f>+(E2-J2)-COUNTIF(AK:AK,"0")</f>
        <v>0</v>
      </c>
      <c r="M2" s="311"/>
      <c r="N2" s="312">
        <f>+IF(O2=2,COUNTIF(DD:DE,"+++++++++")-2,COUNTIF(DD:DE,"+++++++++"))</f>
        <v>0</v>
      </c>
      <c r="O2" s="94">
        <f>+IF(P2="HSN+%",1,IF(P2="Alias",2,3))</f>
        <v>1</v>
      </c>
      <c r="P2" s="95" t="s">
        <v>298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86" t="s">
        <v>16</v>
      </c>
      <c r="AE2" s="86" t="s">
        <v>793</v>
      </c>
      <c r="AF2" s="86" t="s">
        <v>795</v>
      </c>
      <c r="AG2" s="86">
        <v>121</v>
      </c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11"/>
      <c r="AV2" s="11"/>
      <c r="AW2" s="11"/>
      <c r="AX2" s="11"/>
      <c r="AY2" s="11"/>
      <c r="AZ2" s="11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78" t="s">
        <v>71</v>
      </c>
      <c r="DB2" s="278" t="s">
        <v>781</v>
      </c>
      <c r="DC2" s="278" t="s">
        <v>72</v>
      </c>
      <c r="DD2" s="278" t="s">
        <v>782</v>
      </c>
      <c r="DE2" s="278" t="s">
        <v>783</v>
      </c>
      <c r="DF2" s="278" t="s">
        <v>780</v>
      </c>
      <c r="DG2" s="278" t="s">
        <v>784</v>
      </c>
      <c r="DH2" s="278" t="s">
        <v>785</v>
      </c>
      <c r="DI2" s="278" t="s">
        <v>786</v>
      </c>
      <c r="DJ2" s="278" t="s">
        <v>420</v>
      </c>
      <c r="DK2" s="278" t="s">
        <v>76</v>
      </c>
      <c r="DL2" s="278" t="s">
        <v>403</v>
      </c>
      <c r="DM2" s="278" t="s">
        <v>787</v>
      </c>
      <c r="DN2" s="278" t="s">
        <v>788</v>
      </c>
      <c r="DO2" s="278" t="s">
        <v>789</v>
      </c>
      <c r="DP2" s="278" t="s">
        <v>426</v>
      </c>
      <c r="DQ2" s="278" t="s">
        <v>799</v>
      </c>
      <c r="DR2" s="279" t="s">
        <v>800</v>
      </c>
      <c r="DS2" s="278" t="s">
        <v>790</v>
      </c>
    </row>
    <row r="3" spans="1:137" customFormat="1" ht="15.75" thickBot="1" x14ac:dyDescent="0.3">
      <c r="A3" s="345"/>
      <c r="B3" s="346"/>
      <c r="C3" s="308"/>
      <c r="D3" s="309" t="s">
        <v>85</v>
      </c>
      <c r="E3" s="344"/>
      <c r="F3" s="347"/>
      <c r="G3" s="344"/>
      <c r="H3" s="308"/>
      <c r="I3" s="351" t="s">
        <v>852</v>
      </c>
      <c r="J3" s="349"/>
      <c r="K3" s="352" t="s">
        <v>851</v>
      </c>
      <c r="L3" s="350" t="s">
        <v>913</v>
      </c>
      <c r="M3" s="348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5"/>
      <c r="AV3" s="5"/>
      <c r="AW3" s="5"/>
      <c r="AX3" s="5"/>
      <c r="AY3" s="5"/>
      <c r="AZ3" s="5"/>
      <c r="BZ3" s="6"/>
      <c r="DA3" s="26">
        <f>+IF(D3="Regular",G3,H3)</f>
        <v>0</v>
      </c>
      <c r="DB3" s="26" t="s">
        <v>791</v>
      </c>
      <c r="DC3" s="26">
        <f>+B3</f>
        <v>0</v>
      </c>
      <c r="DD3" s="205">
        <f>+A3</f>
        <v>0</v>
      </c>
      <c r="DE3" s="27" t="s">
        <v>85</v>
      </c>
      <c r="DF3" s="29" t="str">
        <f>IFERROR(VLOOKUP(VALUE(LEFT(A3,2)),Help!$E$2:G$50,2,0),"+++++++++")</f>
        <v>+++++++++</v>
      </c>
      <c r="DG3" s="26" t="s">
        <v>779</v>
      </c>
      <c r="DH3" s="26" t="str">
        <f>+IF(DF3=DA3,"GST","IGST")</f>
        <v>IGST</v>
      </c>
      <c r="DI3" s="29" t="str">
        <f>IF(D3="Regular",IF(I3=0,"Bill","Tax"),IF(J3=0,"Bill","Tax"))</f>
        <v>Bill</v>
      </c>
      <c r="DJ3" s="28">
        <f>+IF(D3="Regular",VALUE(E3),VALUE(F3))</f>
        <v>0</v>
      </c>
      <c r="DK3" s="281">
        <f>+C3</f>
        <v>0</v>
      </c>
      <c r="DL3" s="281" t="str">
        <f>CONCATENATE("GST", " ", DM3, "%", " ", "(", DO3, REPT(" ", 8 - LEN(DO3)), ")")</f>
        <v>GST % (        )</v>
      </c>
      <c r="DM3" s="187" t="str">
        <f>IFERROR(IF(D3="Regular", ROUND(((J3+K3+L3)*100/I3),0), ROUND(((K3+L3+M3)*100/J3),0)),"")</f>
        <v/>
      </c>
      <c r="DN3" s="27" t="s">
        <v>85</v>
      </c>
      <c r="DO3" s="205" t="s">
        <v>85</v>
      </c>
      <c r="DP3" s="29">
        <v>1</v>
      </c>
      <c r="DQ3" s="73">
        <f>+IF(D3="Regular",I3,J3)</f>
        <v>0</v>
      </c>
      <c r="DR3" s="27" t="str">
        <f>+IF(D3="Regular","Purchase",IF(D3="Credit Note","Pur CN","Purchase"))</f>
        <v>Purchase</v>
      </c>
      <c r="DS3" s="120" t="s">
        <v>85</v>
      </c>
    </row>
    <row r="4" spans="1:137" s="2" customFormat="1" ht="24" x14ac:dyDescent="0.25">
      <c r="A4" s="307" t="s">
        <v>762</v>
      </c>
      <c r="B4" s="307" t="s">
        <v>763</v>
      </c>
      <c r="C4" s="275" t="s">
        <v>422</v>
      </c>
      <c r="D4" s="275" t="s">
        <v>773</v>
      </c>
      <c r="E4" s="275" t="s">
        <v>155</v>
      </c>
      <c r="F4" s="275" t="s">
        <v>774</v>
      </c>
      <c r="G4" s="307" t="s">
        <v>764</v>
      </c>
      <c r="H4" s="307" t="s">
        <v>765</v>
      </c>
      <c r="I4" s="307" t="s">
        <v>766</v>
      </c>
      <c r="J4" s="275" t="s">
        <v>775</v>
      </c>
      <c r="K4" s="275" t="s">
        <v>776</v>
      </c>
      <c r="L4" s="275" t="s">
        <v>777</v>
      </c>
      <c r="M4" s="275" t="s">
        <v>778</v>
      </c>
      <c r="N4" s="275" t="s">
        <v>854</v>
      </c>
      <c r="O4" s="275" t="s">
        <v>767</v>
      </c>
      <c r="P4" s="275" t="s">
        <v>768</v>
      </c>
      <c r="Q4" s="275" t="s">
        <v>769</v>
      </c>
      <c r="R4" s="275" t="s">
        <v>770</v>
      </c>
      <c r="S4" s="275" t="s">
        <v>771</v>
      </c>
      <c r="T4" s="275" t="s">
        <v>481</v>
      </c>
      <c r="U4" s="275" t="s">
        <v>772</v>
      </c>
      <c r="V4" s="16"/>
      <c r="AP4" s="282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7"/>
      <c r="DB4" s="17"/>
      <c r="DC4" s="277"/>
      <c r="DD4" s="17"/>
      <c r="DE4" s="276"/>
      <c r="DF4" s="17"/>
      <c r="DG4" s="17"/>
      <c r="DH4" s="17"/>
      <c r="DI4" s="277" t="s">
        <v>85</v>
      </c>
      <c r="DJ4" s="17"/>
      <c r="DK4" s="276"/>
      <c r="DL4" s="343"/>
      <c r="DM4" s="283"/>
      <c r="DN4" s="276"/>
      <c r="DO4" s="276"/>
      <c r="DP4" s="277" t="s">
        <v>85</v>
      </c>
    </row>
  </sheetData>
  <sheetProtection algorithmName="SHA-512" hashValue="Fv7rzC2vvfpiNCtpgmUx30m+iIFyWhck31j611Th+lpgSXoWUIZrdgNi73YWY4kystH3ka/M9Lukxv4rZaW7Ow==" saltValue="pYKV2wCF/O96eEqK812tPg==" spinCount="100000" sheet="1" objects="1" scenarios="1"/>
  <mergeCells count="1">
    <mergeCell ref="O1:P1"/>
  </mergeCells>
  <phoneticPr fontId="43" type="noConversion"/>
  <conditionalFormatting sqref="H1:J1">
    <cfRule type="cellIs" dxfId="50" priority="12" operator="equal">
      <formula>#N/A</formula>
    </cfRule>
  </conditionalFormatting>
  <conditionalFormatting sqref="E1">
    <cfRule type="cellIs" dxfId="49" priority="11" operator="equal">
      <formula>#N/A</formula>
    </cfRule>
  </conditionalFormatting>
  <conditionalFormatting sqref="K1">
    <cfRule type="cellIs" dxfId="48" priority="10" operator="equal">
      <formula>#N/A</formula>
    </cfRule>
  </conditionalFormatting>
  <conditionalFormatting sqref="L1">
    <cfRule type="cellIs" dxfId="47" priority="9" operator="equal">
      <formula>#N/A</formula>
    </cfRule>
  </conditionalFormatting>
  <conditionalFormatting sqref="L1">
    <cfRule type="containsText" dxfId="46" priority="7" operator="containsText" text="All Data Import Successfully">
      <formula>NOT(ISERROR(SEARCH("All Data Import Successfully",L1)))</formula>
    </cfRule>
    <cfRule type="containsText" dxfId="45" priority="8" operator="containsText" text="Difference Entry">
      <formula>NOT(ISERROR(SEARCH("Difference Entry",L1)))</formula>
    </cfRule>
  </conditionalFormatting>
  <conditionalFormatting sqref="E2:G2">
    <cfRule type="cellIs" dxfId="44" priority="6" operator="equal">
      <formula>#N/A</formula>
    </cfRule>
  </conditionalFormatting>
  <conditionalFormatting sqref="H2:J2">
    <cfRule type="cellIs" dxfId="43" priority="5" operator="equal">
      <formula>#N/A</formula>
    </cfRule>
  </conditionalFormatting>
  <conditionalFormatting sqref="K2">
    <cfRule type="cellIs" dxfId="42" priority="4" operator="equal">
      <formula>#N/A</formula>
    </cfRule>
  </conditionalFormatting>
  <conditionalFormatting sqref="L2">
    <cfRule type="cellIs" dxfId="41" priority="3" operator="equal">
      <formula>#N/A</formula>
    </cfRule>
  </conditionalFormatting>
  <conditionalFormatting sqref="L2">
    <cfRule type="cellIs" dxfId="40" priority="2" operator="equal">
      <formula>0</formula>
    </cfRule>
  </conditionalFormatting>
  <dataValidations count="2">
    <dataValidation type="list" allowBlank="1" showInputMessage="1" showErrorMessage="1" sqref="B1" xr:uid="{00000000-0002-0000-0F00-000000000000}">
      <formula1>"1,2"</formula1>
    </dataValidation>
    <dataValidation type="list" allowBlank="1" showInputMessage="1" showErrorMessage="1" sqref="P2" xr:uid="{00000000-0002-0000-0F00-000001000000}">
      <formula1>"HSN+%,Alias,Product"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">
    <tabColor theme="9" tint="-0.249977111117893"/>
  </sheetPr>
  <dimension ref="A1:XEK528"/>
  <sheetViews>
    <sheetView tabSelected="1" workbookViewId="0">
      <pane ySplit="1" topLeftCell="A2" activePane="bottomLeft" state="frozen"/>
      <selection activeCell="G24" sqref="G24"/>
      <selection pane="bottomLeft" activeCell="D27" sqref="D27"/>
    </sheetView>
  </sheetViews>
  <sheetFormatPr defaultRowHeight="15" x14ac:dyDescent="0.25"/>
  <cols>
    <col min="1" max="2" width="35.7109375" style="141" customWidth="1"/>
    <col min="3" max="3" width="15" style="142" customWidth="1"/>
    <col min="4" max="4" width="19.28515625" style="16" customWidth="1"/>
    <col min="5" max="5" width="19.5703125" style="16" customWidth="1"/>
    <col min="6" max="6" width="26.5703125" style="16" customWidth="1"/>
    <col min="7" max="7" width="19" style="16" customWidth="1"/>
    <col min="8" max="8" width="9.140625" style="16"/>
    <col min="9" max="9" width="23.140625" style="16" customWidth="1"/>
    <col min="10" max="10" width="6.7109375" style="16" customWidth="1"/>
    <col min="11" max="11" width="9.28515625" style="16" customWidth="1"/>
    <col min="12" max="12" width="15.7109375" style="16" customWidth="1"/>
    <col min="13" max="13" width="16.28515625" style="16" customWidth="1"/>
    <col min="14" max="14" width="22.28515625" style="16" customWidth="1"/>
    <col min="15" max="15" width="29.85546875" style="16" customWidth="1"/>
    <col min="16" max="16" width="11.140625" style="16" customWidth="1"/>
    <col min="17" max="17" width="6" style="16" customWidth="1"/>
    <col min="18" max="18" width="3" style="16" customWidth="1"/>
    <col min="19" max="19" width="24.5703125" style="16" customWidth="1"/>
    <col min="20" max="25" width="20.140625" style="16" customWidth="1"/>
    <col min="26" max="26" width="22.28515625" style="16" customWidth="1"/>
    <col min="27" max="27" width="33.7109375" style="16" customWidth="1"/>
    <col min="28" max="28" width="9.140625" style="16"/>
    <col min="29" max="29" width="26.28515625" style="16" customWidth="1"/>
    <col min="30" max="30" width="32.7109375" style="21" customWidth="1"/>
    <col min="31" max="83" width="9.140625" style="16"/>
    <col min="84" max="84" width="10.7109375" style="16" bestFit="1" customWidth="1"/>
    <col min="85" max="16384" width="9.140625" style="16"/>
  </cols>
  <sheetData>
    <row r="1" spans="1:135" customFormat="1" ht="24" thickBot="1" x14ac:dyDescent="0.4">
      <c r="A1" s="197" t="s">
        <v>104</v>
      </c>
      <c r="B1" s="198" t="s">
        <v>306</v>
      </c>
      <c r="C1" s="184" t="s">
        <v>54</v>
      </c>
      <c r="D1" s="185" t="s">
        <v>55</v>
      </c>
      <c r="E1" s="188" t="s">
        <v>0</v>
      </c>
      <c r="F1" s="189" t="s">
        <v>1</v>
      </c>
      <c r="G1" s="190"/>
      <c r="H1" s="191"/>
      <c r="I1" s="397"/>
      <c r="J1" s="398"/>
      <c r="K1" s="399"/>
      <c r="N1" s="400" t="s">
        <v>812</v>
      </c>
      <c r="O1" s="401"/>
      <c r="P1" s="16"/>
      <c r="T1" s="86">
        <v>7</v>
      </c>
      <c r="U1" s="86">
        <v>6</v>
      </c>
      <c r="V1" s="86">
        <v>5</v>
      </c>
      <c r="W1" s="86">
        <v>4</v>
      </c>
      <c r="X1" s="86">
        <v>3</v>
      </c>
      <c r="Y1" s="86">
        <v>2</v>
      </c>
      <c r="Z1" s="86">
        <v>1</v>
      </c>
      <c r="AD1" s="6"/>
      <c r="AO1" s="369" t="str">
        <f>IF(AP1="",IF(AN1&lt;&gt;"", SUMIFS($L$5:$L$150000, $N$5:$N$150000, AN1), ""),"")</f>
        <v/>
      </c>
      <c r="AP1" s="370" t="str">
        <f>IF(AN1="", "", INDEX($A$5:$A$150000, MATCH(AN1, $N$5:$N$150000, 0)))</f>
        <v/>
      </c>
      <c r="AQ1" s="371" t="str">
        <f>IF(AN1="", "", INDEX($B$5:$B$150000, MATCH(AN1, $N$5:$N$150000, 0)))</f>
        <v/>
      </c>
      <c r="AR1" s="369" t="str">
        <f>IF(AN1="", "", INDEX($C$5:$C$150000, MATCH(AN1, $N$5:$N$150000, 0)))</f>
        <v/>
      </c>
      <c r="AS1" s="369" t="str">
        <f>AY1 &amp; "%" &amp; " (" &amp; AX1 &amp; ")"</f>
        <v>% ()</v>
      </c>
      <c r="AT1" s="371" t="e">
        <f>+IF(AU1="",INDEX($E$5:$E$150000,MATCH(AN1,$N$5:$N$150000,0)),INDEX(Help!$F$2:$F$49,MATCH(VALUE(LEFT(AU1,2)),Help!$E$2:$E$49,0)))</f>
        <v>#N/A</v>
      </c>
      <c r="AU1" s="372" t="str">
        <f>IF(AN1="", "", IFERROR(INDEX($F$5:$F$150000, MATCH(AN1, $N$5:$N$150000, 0)), ""))</f>
        <v/>
      </c>
      <c r="AV1" s="371" t="str">
        <f>IF(AN1="", "", IFERROR(INDEX($O$5:$O$150000, MATCH(AN1, $N$5:$N$150000, 0)), ""))</f>
        <v/>
      </c>
      <c r="AW1" s="370" t="str">
        <f>SUBSTITUTE(AN1,"R-","")</f>
        <v/>
      </c>
      <c r="AX1" s="370" t="str">
        <f>IF($Q1="", "", IFERROR(VALUE(INDEX($I$5:$I$150000, MATCH($Q1, $N$5:$N$150000, 0))), ""))</f>
        <v/>
      </c>
      <c r="AY1" s="370" t="str">
        <f>IF($Q1="", "", IFERROR(INDEX($J$5:$J$150000, MATCH($Q1, $N$5:$N$150000, 0)), ""))</f>
        <v/>
      </c>
      <c r="AZ1" s="370">
        <f>IF(VALUE(SUMIF($N$5:$N$150000,AN1,$K$5:$K$150000))=0, 1, VALUE(SUMIF($N$5:$N$150000,AN1,$K$5:$K$150000)))</f>
        <v>1</v>
      </c>
      <c r="BA1" s="102" t="str">
        <f>IF(AN1="", "", SUMIFS($L$5:$L$150000, $N$5:$N$150000, AN1))</f>
        <v/>
      </c>
      <c r="BB1" s="102" t="str">
        <f>IF(AN1="", "", SUMIFS($M$5:$M$150000, $N$5:$N$150000, AN1))</f>
        <v/>
      </c>
      <c r="BC1" s="329" t="e">
        <f>+BA1/AZ1</f>
        <v>#VALUE!</v>
      </c>
      <c r="BD1" s="103" t="s">
        <v>85</v>
      </c>
      <c r="BE1" s="99" t="e">
        <f>+IF(AT1=$W$2,"ECom GST","ECom IGST")</f>
        <v>#N/A</v>
      </c>
    </row>
    <row r="2" spans="1:135" customFormat="1" ht="17.25" x14ac:dyDescent="0.25">
      <c r="A2" s="195" t="s">
        <v>2</v>
      </c>
      <c r="B2" s="196" t="s">
        <v>2</v>
      </c>
      <c r="C2" s="182">
        <v>0</v>
      </c>
      <c r="D2" s="183">
        <v>1818</v>
      </c>
      <c r="E2" s="177">
        <v>37</v>
      </c>
      <c r="F2" s="168" t="s">
        <v>3</v>
      </c>
      <c r="G2" s="168" t="s">
        <v>4</v>
      </c>
      <c r="H2" s="169"/>
      <c r="I2" s="192"/>
      <c r="J2" s="193"/>
      <c r="K2" s="194"/>
      <c r="M2" s="16"/>
      <c r="N2" s="318"/>
      <c r="O2" s="320"/>
      <c r="P2" s="16"/>
      <c r="T2" s="87" t="s">
        <v>86</v>
      </c>
      <c r="U2" s="87" t="s">
        <v>84</v>
      </c>
      <c r="V2" s="87" t="s">
        <v>83</v>
      </c>
      <c r="W2" s="87" t="s">
        <v>240</v>
      </c>
      <c r="X2" s="87" t="s">
        <v>241</v>
      </c>
      <c r="Y2" s="87" t="s">
        <v>242</v>
      </c>
      <c r="Z2" s="87" t="s">
        <v>244</v>
      </c>
      <c r="AA2" s="87" t="s">
        <v>243</v>
      </c>
      <c r="AC2" s="388" t="s">
        <v>866</v>
      </c>
      <c r="AD2" s="389" t="s">
        <v>72</v>
      </c>
      <c r="AO2" t="s">
        <v>488</v>
      </c>
      <c r="BA2" s="65">
        <v>0</v>
      </c>
      <c r="BB2" s="65"/>
      <c r="BC2" s="65">
        <v>0</v>
      </c>
      <c r="DA2" t="s">
        <v>492</v>
      </c>
    </row>
    <row r="3" spans="1:135" customFormat="1" ht="17.25" x14ac:dyDescent="0.25">
      <c r="A3" s="139" t="s">
        <v>5</v>
      </c>
      <c r="B3" s="179" t="s">
        <v>5</v>
      </c>
      <c r="C3" s="180">
        <v>3</v>
      </c>
      <c r="D3" s="181">
        <v>1818</v>
      </c>
      <c r="E3" s="178">
        <v>12</v>
      </c>
      <c r="F3" s="166" t="s">
        <v>6</v>
      </c>
      <c r="G3" s="166" t="s">
        <v>7</v>
      </c>
      <c r="H3" s="167" t="s">
        <v>101</v>
      </c>
      <c r="I3" s="192"/>
      <c r="J3" s="193"/>
      <c r="K3" s="194"/>
      <c r="M3" s="16"/>
      <c r="N3" s="318"/>
      <c r="O3" s="320"/>
      <c r="P3" s="16"/>
      <c r="T3" s="88"/>
      <c r="Z3" s="88"/>
      <c r="AA3" s="88"/>
      <c r="AC3" s="390"/>
      <c r="AD3" s="391"/>
    </row>
    <row r="4" spans="1:135" customFormat="1" ht="17.25" x14ac:dyDescent="0.25">
      <c r="A4" s="139" t="s">
        <v>8</v>
      </c>
      <c r="B4" s="179" t="s">
        <v>8</v>
      </c>
      <c r="C4" s="180">
        <v>5</v>
      </c>
      <c r="D4" s="181">
        <v>5555</v>
      </c>
      <c r="E4" s="178">
        <v>18</v>
      </c>
      <c r="F4" s="166" t="s">
        <v>9</v>
      </c>
      <c r="G4" s="166" t="s">
        <v>10</v>
      </c>
      <c r="H4" s="167" t="s">
        <v>101</v>
      </c>
      <c r="I4" s="192"/>
      <c r="J4" s="193"/>
      <c r="K4" s="194"/>
      <c r="N4" s="318"/>
      <c r="O4" s="319"/>
      <c r="P4" s="16"/>
      <c r="T4" s="88"/>
      <c r="Z4" s="88"/>
      <c r="AA4" s="88"/>
      <c r="AC4" s="390"/>
      <c r="AD4" s="391"/>
    </row>
    <row r="5" spans="1:135" customFormat="1" ht="17.25" x14ac:dyDescent="0.25">
      <c r="A5" s="228" t="s">
        <v>11</v>
      </c>
      <c r="B5" s="229" t="s">
        <v>11</v>
      </c>
      <c r="C5" s="230">
        <v>12</v>
      </c>
      <c r="D5" s="231">
        <v>1212</v>
      </c>
      <c r="E5" s="232">
        <v>10</v>
      </c>
      <c r="F5" s="233" t="s">
        <v>12</v>
      </c>
      <c r="G5" s="233" t="s">
        <v>13</v>
      </c>
      <c r="H5" s="234" t="s">
        <v>101</v>
      </c>
      <c r="I5" s="235"/>
      <c r="J5" s="236"/>
      <c r="K5" s="237"/>
      <c r="L5" s="16"/>
      <c r="M5" s="17"/>
      <c r="N5" s="318"/>
      <c r="O5" s="320"/>
      <c r="P5" s="16"/>
      <c r="Q5" s="16"/>
      <c r="R5" s="16"/>
      <c r="S5" s="16"/>
      <c r="T5" s="88"/>
      <c r="Z5" s="88"/>
      <c r="AA5" s="88"/>
      <c r="AB5" s="16"/>
      <c r="AC5" s="390"/>
      <c r="AD5" s="391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16"/>
      <c r="CZ5" s="16"/>
      <c r="DA5" s="238" t="s">
        <v>5</v>
      </c>
      <c r="DB5" s="238" t="s">
        <v>84</v>
      </c>
      <c r="DC5" s="239" t="s">
        <v>85</v>
      </c>
      <c r="DD5" s="238" t="s">
        <v>494</v>
      </c>
      <c r="DE5" s="238" t="s">
        <v>494</v>
      </c>
      <c r="DF5" s="239" t="s">
        <v>85</v>
      </c>
      <c r="DG5" s="240" t="e">
        <v>#VALUE!</v>
      </c>
      <c r="DH5" s="238">
        <v>9648.5200000000677</v>
      </c>
      <c r="DI5" s="241" t="e">
        <v>#N/A</v>
      </c>
      <c r="DJ5" s="238">
        <v>0</v>
      </c>
      <c r="DK5" s="242" t="s">
        <v>85</v>
      </c>
      <c r="DL5" s="243">
        <v>0</v>
      </c>
      <c r="DM5" s="243">
        <v>0</v>
      </c>
      <c r="DN5" s="238" t="s">
        <v>496</v>
      </c>
      <c r="DO5" s="238" t="s">
        <v>495</v>
      </c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</row>
    <row r="6" spans="1:135" customFormat="1" ht="17.25" x14ac:dyDescent="0.25">
      <c r="A6" s="228" t="s">
        <v>12</v>
      </c>
      <c r="B6" s="229" t="s">
        <v>12</v>
      </c>
      <c r="C6" s="230">
        <v>18</v>
      </c>
      <c r="D6" s="231">
        <v>1818</v>
      </c>
      <c r="E6" s="232">
        <v>22</v>
      </c>
      <c r="F6" s="233" t="s">
        <v>46</v>
      </c>
      <c r="G6" s="233" t="s">
        <v>321</v>
      </c>
      <c r="H6" s="234" t="s">
        <v>101</v>
      </c>
      <c r="I6" s="235"/>
      <c r="J6" s="236"/>
      <c r="K6" s="237"/>
      <c r="L6" s="16"/>
      <c r="M6" s="16"/>
      <c r="N6" s="322" t="s">
        <v>806</v>
      </c>
      <c r="O6" s="323"/>
      <c r="P6" s="16"/>
      <c r="Q6" s="16"/>
      <c r="R6" s="16"/>
      <c r="S6" s="16"/>
      <c r="T6" s="88"/>
      <c r="U6" s="88"/>
      <c r="Z6" s="88"/>
      <c r="AA6" s="88"/>
      <c r="AB6" s="16"/>
      <c r="AC6" s="390"/>
      <c r="AD6" s="391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</row>
    <row r="7" spans="1:135" customFormat="1" ht="18" thickBot="1" x14ac:dyDescent="0.3">
      <c r="A7" s="228" t="s">
        <v>14</v>
      </c>
      <c r="B7" s="229" t="s">
        <v>14</v>
      </c>
      <c r="C7" s="244">
        <v>28</v>
      </c>
      <c r="D7" s="245">
        <v>2828</v>
      </c>
      <c r="E7" s="232">
        <v>7</v>
      </c>
      <c r="F7" s="233" t="s">
        <v>15</v>
      </c>
      <c r="G7" s="233" t="s">
        <v>16</v>
      </c>
      <c r="H7" s="234" t="s">
        <v>101</v>
      </c>
      <c r="I7" s="235"/>
      <c r="J7" s="236"/>
      <c r="K7" s="237"/>
      <c r="L7" s="321" t="s">
        <v>830</v>
      </c>
      <c r="M7" s="321" t="b">
        <v>1</v>
      </c>
      <c r="N7" s="322" t="s">
        <v>72</v>
      </c>
      <c r="O7" s="323"/>
      <c r="P7" s="16"/>
      <c r="Q7" s="16"/>
      <c r="R7" s="16"/>
      <c r="S7" s="16"/>
      <c r="T7" s="88"/>
      <c r="Z7" s="88"/>
      <c r="AA7" s="88"/>
      <c r="AB7" s="16"/>
      <c r="AC7" s="390"/>
      <c r="AD7" s="391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</row>
    <row r="8" spans="1:135" customFormat="1" ht="17.25" x14ac:dyDescent="0.25">
      <c r="A8" s="228" t="s">
        <v>17</v>
      </c>
      <c r="B8" s="246" t="s">
        <v>17</v>
      </c>
      <c r="C8" s="247" t="str">
        <f t="shared" ref="C8:C21" si="0">+IFERROR(IF(B8="","",(VLOOKUP(B8,$F$2:$H$55,3,0))),"State Wrong")</f>
        <v>OK</v>
      </c>
      <c r="D8" s="16"/>
      <c r="E8" s="248">
        <v>30</v>
      </c>
      <c r="F8" s="233" t="s">
        <v>18</v>
      </c>
      <c r="G8" s="233" t="s">
        <v>19</v>
      </c>
      <c r="H8" s="234" t="s">
        <v>101</v>
      </c>
      <c r="I8" s="235"/>
      <c r="J8" s="236"/>
      <c r="K8" s="237"/>
      <c r="L8" s="321" t="s">
        <v>829</v>
      </c>
      <c r="M8" s="321" t="b">
        <v>1</v>
      </c>
      <c r="N8" s="322" t="s">
        <v>807</v>
      </c>
      <c r="O8" s="323"/>
      <c r="P8" s="16"/>
      <c r="Q8" s="16"/>
      <c r="R8" s="16"/>
      <c r="S8" s="16"/>
      <c r="T8" s="88"/>
      <c r="Z8" s="88"/>
      <c r="AA8" s="88"/>
      <c r="AB8" s="16"/>
      <c r="AC8" s="390"/>
      <c r="AD8" s="391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</row>
    <row r="9" spans="1:135" customFormat="1" ht="17.25" x14ac:dyDescent="0.25">
      <c r="A9" s="228" t="s">
        <v>20</v>
      </c>
      <c r="B9" s="246" t="s">
        <v>20</v>
      </c>
      <c r="C9" s="142" t="str">
        <f t="shared" si="0"/>
        <v>OK</v>
      </c>
      <c r="D9" s="16"/>
      <c r="E9" s="248">
        <v>24</v>
      </c>
      <c r="F9" s="233" t="s">
        <v>5</v>
      </c>
      <c r="G9" s="233" t="s">
        <v>21</v>
      </c>
      <c r="H9" s="234" t="s">
        <v>101</v>
      </c>
      <c r="I9" s="235"/>
      <c r="J9" s="236"/>
      <c r="K9" s="237"/>
      <c r="L9" s="321" t="s">
        <v>813</v>
      </c>
      <c r="M9" s="321" t="b">
        <v>1</v>
      </c>
      <c r="N9" s="322" t="s">
        <v>808</v>
      </c>
      <c r="O9" s="324"/>
      <c r="P9" s="16"/>
      <c r="Q9" s="16"/>
      <c r="R9" s="16"/>
      <c r="S9" s="16"/>
      <c r="T9" s="88"/>
      <c r="W9" s="88"/>
      <c r="X9" s="88"/>
      <c r="Z9" s="88"/>
      <c r="AA9" s="88"/>
      <c r="AB9" s="16"/>
      <c r="AC9" s="390"/>
      <c r="AD9" s="391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16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16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16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</row>
    <row r="10" spans="1:135" customFormat="1" ht="17.25" x14ac:dyDescent="0.25">
      <c r="A10" s="140" t="s">
        <v>146</v>
      </c>
      <c r="B10" s="249" t="s">
        <v>66</v>
      </c>
      <c r="C10" s="142" t="str">
        <f t="shared" si="0"/>
        <v>OK</v>
      </c>
      <c r="D10" s="16"/>
      <c r="E10" s="248">
        <v>6</v>
      </c>
      <c r="F10" s="233" t="s">
        <v>23</v>
      </c>
      <c r="G10" s="233" t="s">
        <v>24</v>
      </c>
      <c r="H10" s="234" t="s">
        <v>101</v>
      </c>
      <c r="I10" s="235"/>
      <c r="J10" s="236"/>
      <c r="K10" s="237"/>
      <c r="L10" s="321" t="s">
        <v>814</v>
      </c>
      <c r="M10" s="321" t="b">
        <v>1</v>
      </c>
      <c r="N10" s="322" t="s">
        <v>810</v>
      </c>
      <c r="O10" s="323"/>
      <c r="P10" s="16"/>
      <c r="Q10" s="16"/>
      <c r="R10" s="16"/>
      <c r="S10" s="16"/>
      <c r="T10" s="88"/>
      <c r="U10" s="88"/>
      <c r="W10" s="88"/>
      <c r="X10" s="88"/>
      <c r="Z10" s="88"/>
      <c r="AA10" s="88"/>
      <c r="AB10" s="16"/>
      <c r="AC10" s="390"/>
      <c r="AD10" s="391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</row>
    <row r="11" spans="1:135" customFormat="1" ht="17.25" x14ac:dyDescent="0.25">
      <c r="A11" s="228" t="s">
        <v>22</v>
      </c>
      <c r="B11" s="246" t="s">
        <v>50</v>
      </c>
      <c r="C11" s="142" t="str">
        <f t="shared" si="0"/>
        <v>OK</v>
      </c>
      <c r="D11" s="16"/>
      <c r="E11" s="248">
        <v>2</v>
      </c>
      <c r="F11" s="233" t="s">
        <v>26</v>
      </c>
      <c r="G11" s="233" t="s">
        <v>27</v>
      </c>
      <c r="H11" s="234" t="s">
        <v>101</v>
      </c>
      <c r="I11" s="235"/>
      <c r="J11" s="236"/>
      <c r="K11" s="237"/>
      <c r="L11" s="16" t="s">
        <v>908</v>
      </c>
      <c r="M11" s="321" t="b">
        <v>1</v>
      </c>
      <c r="N11" s="322" t="s">
        <v>811</v>
      </c>
      <c r="O11" s="324"/>
      <c r="P11" s="16"/>
      <c r="Q11" s="16"/>
      <c r="R11" s="16"/>
      <c r="S11" s="16"/>
      <c r="AA11" s="88"/>
      <c r="AB11" s="16"/>
      <c r="AC11" s="392"/>
      <c r="AD11" s="391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16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16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16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</row>
    <row r="12" spans="1:135" customFormat="1" ht="17.25" x14ac:dyDescent="0.25">
      <c r="A12" s="228" t="s">
        <v>25</v>
      </c>
      <c r="B12" s="246" t="s">
        <v>25</v>
      </c>
      <c r="C12" s="142" t="str">
        <f t="shared" si="0"/>
        <v>OK</v>
      </c>
      <c r="D12" s="16"/>
      <c r="E12" s="248">
        <v>1</v>
      </c>
      <c r="F12" s="233" t="s">
        <v>29</v>
      </c>
      <c r="G12" s="233" t="s">
        <v>30</v>
      </c>
      <c r="H12" s="234" t="s">
        <v>101</v>
      </c>
      <c r="I12" s="235"/>
      <c r="J12" s="236"/>
      <c r="K12" s="237"/>
      <c r="L12" s="321" t="s">
        <v>815</v>
      </c>
      <c r="M12" s="321" t="b">
        <v>1</v>
      </c>
      <c r="N12" s="322" t="s">
        <v>809</v>
      </c>
      <c r="O12" s="324"/>
      <c r="P12" s="16"/>
      <c r="Q12" s="16"/>
      <c r="R12" s="16"/>
      <c r="S12" s="16"/>
      <c r="T12" s="88"/>
      <c r="U12" s="88"/>
      <c r="Z12" s="88"/>
      <c r="AA12" s="88"/>
      <c r="AB12" s="16"/>
      <c r="AC12" s="392"/>
      <c r="AD12" s="391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</row>
    <row r="13" spans="1:135" customFormat="1" ht="18" thickBot="1" x14ac:dyDescent="0.3">
      <c r="A13" s="228" t="s">
        <v>28</v>
      </c>
      <c r="B13" s="246" t="s">
        <v>28</v>
      </c>
      <c r="C13" s="142" t="str">
        <f t="shared" si="0"/>
        <v>OK</v>
      </c>
      <c r="D13" s="16"/>
      <c r="E13" s="248">
        <v>20</v>
      </c>
      <c r="F13" s="233" t="s">
        <v>8</v>
      </c>
      <c r="G13" s="233" t="s">
        <v>32</v>
      </c>
      <c r="H13" s="234" t="s">
        <v>101</v>
      </c>
      <c r="I13" s="235"/>
      <c r="J13" s="236"/>
      <c r="K13" s="237"/>
      <c r="L13" s="321" t="s">
        <v>816</v>
      </c>
      <c r="M13" s="321" t="b">
        <v>1</v>
      </c>
      <c r="N13" s="325" t="s">
        <v>832</v>
      </c>
      <c r="O13" s="328"/>
      <c r="P13" s="16"/>
      <c r="Q13" s="16"/>
      <c r="R13" s="16"/>
      <c r="S13" s="16"/>
      <c r="T13" s="83"/>
      <c r="Z13" s="83"/>
      <c r="AA13" s="88"/>
      <c r="AB13" s="16"/>
      <c r="AC13" s="392"/>
      <c r="AD13" s="391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16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16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16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16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</row>
    <row r="14" spans="1:135" customFormat="1" ht="17.25" x14ac:dyDescent="0.25">
      <c r="A14" s="228" t="s">
        <v>31</v>
      </c>
      <c r="B14" s="246" t="s">
        <v>31</v>
      </c>
      <c r="C14" s="142" t="str">
        <f t="shared" si="0"/>
        <v>OK</v>
      </c>
      <c r="D14" s="16"/>
      <c r="E14" s="248">
        <v>29</v>
      </c>
      <c r="F14" s="233" t="s">
        <v>14</v>
      </c>
      <c r="G14" s="233" t="s">
        <v>34</v>
      </c>
      <c r="H14" s="234" t="s">
        <v>101</v>
      </c>
      <c r="I14" s="235"/>
      <c r="J14" s="236"/>
      <c r="K14" s="237"/>
      <c r="L14" s="321" t="s">
        <v>817</v>
      </c>
      <c r="M14" s="321" t="b">
        <v>1</v>
      </c>
      <c r="N14" s="327"/>
      <c r="O14" s="18"/>
      <c r="P14" s="16"/>
      <c r="Q14" s="16"/>
      <c r="R14" s="16"/>
      <c r="S14" s="16"/>
      <c r="T14" s="83"/>
      <c r="Z14" s="83"/>
      <c r="AA14" s="88"/>
      <c r="AB14" s="16"/>
      <c r="AC14" s="392"/>
      <c r="AD14" s="391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  <c r="DT14" s="16"/>
      <c r="DU14" s="16"/>
      <c r="DV14" s="16"/>
      <c r="DW14" s="16"/>
      <c r="DX14" s="16"/>
      <c r="DY14" s="16"/>
      <c r="DZ14" s="16"/>
      <c r="EA14" s="16"/>
      <c r="EB14" s="16"/>
      <c r="EC14" s="16"/>
      <c r="ED14" s="16"/>
      <c r="EE14" s="16"/>
    </row>
    <row r="15" spans="1:135" customFormat="1" ht="17.25" x14ac:dyDescent="0.25">
      <c r="A15" s="228" t="s">
        <v>33</v>
      </c>
      <c r="B15" s="246" t="s">
        <v>33</v>
      </c>
      <c r="C15" s="142" t="str">
        <f t="shared" si="0"/>
        <v>OK</v>
      </c>
      <c r="D15" s="16"/>
      <c r="E15" s="248">
        <v>32</v>
      </c>
      <c r="F15" s="233" t="s">
        <v>11</v>
      </c>
      <c r="G15" s="233" t="s">
        <v>35</v>
      </c>
      <c r="H15" s="234" t="s">
        <v>101</v>
      </c>
      <c r="I15" s="235"/>
      <c r="J15" s="236"/>
      <c r="K15" s="237"/>
      <c r="L15" s="321" t="s">
        <v>818</v>
      </c>
      <c r="M15" s="321" t="b">
        <v>1</v>
      </c>
      <c r="N15" s="16"/>
      <c r="O15" s="16"/>
      <c r="P15" s="16"/>
      <c r="Q15" s="16"/>
      <c r="R15" s="16"/>
      <c r="S15" s="16"/>
      <c r="T15" s="88"/>
      <c r="U15" s="88"/>
      <c r="Z15" s="88"/>
      <c r="AA15" s="88"/>
      <c r="AB15" s="16"/>
      <c r="AC15" s="392"/>
      <c r="AD15" s="391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16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</row>
    <row r="16" spans="1:135" customFormat="1" ht="17.25" x14ac:dyDescent="0.25">
      <c r="A16" s="228" t="s">
        <v>3</v>
      </c>
      <c r="B16" s="246" t="s">
        <v>3</v>
      </c>
      <c r="C16" s="142">
        <f t="shared" si="0"/>
        <v>0</v>
      </c>
      <c r="D16" s="16"/>
      <c r="E16" s="248">
        <v>31</v>
      </c>
      <c r="F16" s="233" t="s">
        <v>322</v>
      </c>
      <c r="G16" s="233" t="s">
        <v>323</v>
      </c>
      <c r="H16" s="234" t="s">
        <v>101</v>
      </c>
      <c r="I16" s="235"/>
      <c r="J16" s="236"/>
      <c r="K16" s="237"/>
      <c r="L16" s="321" t="s">
        <v>819</v>
      </c>
      <c r="M16" s="321" t="b">
        <v>1</v>
      </c>
      <c r="N16" s="16"/>
      <c r="O16" s="316"/>
      <c r="P16" s="16"/>
      <c r="Q16" s="16"/>
      <c r="R16" s="16"/>
      <c r="S16" s="16"/>
      <c r="AA16" s="88"/>
      <c r="AB16" s="16"/>
      <c r="AC16" s="392"/>
      <c r="AD16" s="391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16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</row>
    <row r="17" spans="1:135 16348:16365" customFormat="1" ht="17.25" x14ac:dyDescent="0.25">
      <c r="A17" s="228" t="s">
        <v>36</v>
      </c>
      <c r="B17" s="246" t="s">
        <v>51</v>
      </c>
      <c r="C17" s="142" t="str">
        <f t="shared" si="0"/>
        <v>OK</v>
      </c>
      <c r="D17" s="16"/>
      <c r="E17" s="248">
        <v>23</v>
      </c>
      <c r="F17" s="233" t="s">
        <v>17</v>
      </c>
      <c r="G17" s="233" t="s">
        <v>38</v>
      </c>
      <c r="H17" s="234" t="s">
        <v>101</v>
      </c>
      <c r="I17" s="235"/>
      <c r="J17" s="236"/>
      <c r="K17" s="237"/>
      <c r="L17" s="321" t="s">
        <v>822</v>
      </c>
      <c r="M17" s="321" t="b">
        <v>1</v>
      </c>
      <c r="N17" s="16"/>
      <c r="O17" s="16"/>
      <c r="P17" s="16"/>
      <c r="Q17" s="16"/>
      <c r="R17" s="16"/>
      <c r="S17" s="16"/>
      <c r="T17" s="88"/>
      <c r="U17" s="88"/>
      <c r="Z17" s="88"/>
      <c r="AA17" s="88"/>
      <c r="AB17" s="16"/>
      <c r="AC17" s="392"/>
      <c r="AD17" s="391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16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16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</row>
    <row r="18" spans="1:135 16348:16365" customFormat="1" ht="17.25" x14ac:dyDescent="0.25">
      <c r="A18" s="228" t="s">
        <v>37</v>
      </c>
      <c r="B18" s="246" t="s">
        <v>37</v>
      </c>
      <c r="C18" s="142" t="str">
        <f t="shared" si="0"/>
        <v>OK</v>
      </c>
      <c r="D18" s="16"/>
      <c r="E18" s="248">
        <v>27</v>
      </c>
      <c r="F18" s="233" t="s">
        <v>2</v>
      </c>
      <c r="G18" s="233" t="s">
        <v>40</v>
      </c>
      <c r="H18" s="234" t="s">
        <v>101</v>
      </c>
      <c r="I18" s="235"/>
      <c r="J18" s="236"/>
      <c r="K18" s="237"/>
      <c r="L18" s="321" t="s">
        <v>820</v>
      </c>
      <c r="M18" s="321" t="b">
        <v>0</v>
      </c>
      <c r="N18" s="16"/>
      <c r="O18" s="16"/>
      <c r="P18" s="16"/>
      <c r="Q18" s="16"/>
      <c r="R18" s="16"/>
      <c r="S18" s="16"/>
      <c r="AA18" s="88"/>
      <c r="AB18" s="16"/>
      <c r="AC18" s="392"/>
      <c r="AD18" s="391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16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16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</row>
    <row r="19" spans="1:135 16348:16365" customFormat="1" ht="17.25" x14ac:dyDescent="0.25">
      <c r="A19" s="228" t="s">
        <v>39</v>
      </c>
      <c r="B19" s="246" t="s">
        <v>39</v>
      </c>
      <c r="C19" s="142" t="str">
        <f t="shared" si="0"/>
        <v>OK</v>
      </c>
      <c r="D19" s="16"/>
      <c r="E19" s="248">
        <v>14</v>
      </c>
      <c r="F19" s="233" t="s">
        <v>39</v>
      </c>
      <c r="G19" s="233" t="s">
        <v>41</v>
      </c>
      <c r="H19" s="234" t="s">
        <v>101</v>
      </c>
      <c r="I19" s="235"/>
      <c r="J19" s="236"/>
      <c r="K19" s="237"/>
      <c r="L19" s="321" t="s">
        <v>821</v>
      </c>
      <c r="M19" s="321" t="b">
        <v>0</v>
      </c>
      <c r="N19" s="16"/>
      <c r="O19" s="16"/>
      <c r="P19" s="16"/>
      <c r="Q19" s="16"/>
      <c r="R19" s="16"/>
      <c r="S19" s="16"/>
      <c r="T19" s="88"/>
      <c r="U19" s="88"/>
      <c r="Z19" s="88"/>
      <c r="AA19" s="88"/>
      <c r="AB19" s="16"/>
      <c r="AC19" s="392"/>
      <c r="AD19" s="391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16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16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</row>
    <row r="20" spans="1:135 16348:16365" customFormat="1" ht="17.25" x14ac:dyDescent="0.25">
      <c r="A20" s="228" t="s">
        <v>15</v>
      </c>
      <c r="B20" s="246" t="s">
        <v>15</v>
      </c>
      <c r="C20" s="142" t="str">
        <f t="shared" si="0"/>
        <v>OK</v>
      </c>
      <c r="D20" s="16"/>
      <c r="E20" s="248">
        <v>17</v>
      </c>
      <c r="F20" s="233" t="s">
        <v>42</v>
      </c>
      <c r="G20" s="233" t="s">
        <v>43</v>
      </c>
      <c r="H20" s="234" t="s">
        <v>101</v>
      </c>
      <c r="I20" s="235"/>
      <c r="J20" s="236"/>
      <c r="K20" s="237"/>
      <c r="L20" s="321" t="s">
        <v>823</v>
      </c>
      <c r="M20" s="321" t="b">
        <v>1</v>
      </c>
      <c r="N20" s="16"/>
      <c r="O20" s="16"/>
      <c r="P20" s="16"/>
      <c r="Q20" s="16"/>
      <c r="R20" s="16"/>
      <c r="S20" s="16"/>
      <c r="AA20" s="88"/>
      <c r="AB20" s="16"/>
      <c r="AC20" s="392"/>
      <c r="AD20" s="391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16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16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</row>
    <row r="21" spans="1:135 16348:16365" customFormat="1" ht="17.25" x14ac:dyDescent="0.25">
      <c r="A21" s="228" t="s">
        <v>9</v>
      </c>
      <c r="B21" s="246" t="s">
        <v>9</v>
      </c>
      <c r="C21" s="142" t="str">
        <f t="shared" si="0"/>
        <v>OK</v>
      </c>
      <c r="D21" s="16"/>
      <c r="E21" s="248">
        <v>15</v>
      </c>
      <c r="F21" s="233" t="s">
        <v>44</v>
      </c>
      <c r="G21" s="233" t="s">
        <v>45</v>
      </c>
      <c r="H21" s="234" t="s">
        <v>101</v>
      </c>
      <c r="I21" s="235"/>
      <c r="J21" s="236"/>
      <c r="K21" s="237"/>
      <c r="L21" s="321" t="s">
        <v>824</v>
      </c>
      <c r="M21" s="321" t="b">
        <v>0</v>
      </c>
      <c r="N21" s="16"/>
      <c r="O21" s="16"/>
      <c r="P21" s="16"/>
      <c r="Q21" s="16"/>
      <c r="R21" s="16"/>
      <c r="S21" s="16"/>
      <c r="T21" s="88"/>
      <c r="Z21" s="88"/>
      <c r="AA21" s="88"/>
      <c r="AB21" s="16"/>
      <c r="AC21" s="392"/>
      <c r="AD21" s="391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BP21" s="16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16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6"/>
      <c r="CX21" s="16"/>
      <c r="CY21" s="16"/>
      <c r="CZ21" s="16"/>
      <c r="DA21" s="16"/>
      <c r="DB21" s="16"/>
      <c r="DC21" s="16"/>
      <c r="DD21" s="16"/>
      <c r="DE21" s="16"/>
      <c r="DF21" s="16"/>
      <c r="DG21" s="16"/>
      <c r="DH21" s="16"/>
      <c r="DI21" s="16"/>
      <c r="DJ21" s="16"/>
      <c r="DK21" s="16"/>
      <c r="DL21" s="16"/>
      <c r="DM21" s="16"/>
      <c r="DN21" s="16"/>
      <c r="DO21" s="16"/>
      <c r="DP21" s="16"/>
      <c r="DQ21" s="16"/>
      <c r="DR21" s="16"/>
      <c r="DS21" s="16"/>
      <c r="DT21" s="16"/>
      <c r="DU21" s="16"/>
      <c r="DV21" s="16"/>
      <c r="DW21" s="16"/>
      <c r="DX21" s="16"/>
      <c r="DY21" s="16"/>
      <c r="DZ21" s="16"/>
      <c r="EA21" s="16"/>
      <c r="EB21" s="16"/>
      <c r="EC21" s="16"/>
      <c r="ED21" s="16"/>
      <c r="EE21" s="16"/>
    </row>
    <row r="22" spans="1:135 16348:16365" customFormat="1" ht="18" thickBot="1" x14ac:dyDescent="0.3">
      <c r="A22" s="228" t="s">
        <v>23</v>
      </c>
      <c r="B22" s="246" t="s">
        <v>23</v>
      </c>
      <c r="C22" s="142" t="str">
        <f t="shared" ref="C22:C76" si="1">+IFERROR(IF(B22="","",(VLOOKUP(B22,$F$2:$H$55,3,0))),"State Wrong")</f>
        <v>OK</v>
      </c>
      <c r="D22" s="16"/>
      <c r="E22" s="248">
        <v>13</v>
      </c>
      <c r="F22" s="233" t="s">
        <v>47</v>
      </c>
      <c r="G22" s="233" t="s">
        <v>48</v>
      </c>
      <c r="H22" s="234" t="s">
        <v>101</v>
      </c>
      <c r="I22" s="235"/>
      <c r="J22" s="236"/>
      <c r="K22" s="237"/>
      <c r="L22" s="321" t="s">
        <v>825</v>
      </c>
      <c r="M22" s="321" t="b">
        <v>0</v>
      </c>
      <c r="N22" s="16"/>
      <c r="O22" s="16"/>
      <c r="P22" s="16"/>
      <c r="Q22" s="16"/>
      <c r="R22" s="16"/>
      <c r="S22" s="16"/>
      <c r="T22" s="88"/>
      <c r="U22" s="88"/>
      <c r="Z22" s="88"/>
      <c r="AA22" s="88"/>
      <c r="AB22" s="16"/>
      <c r="AC22" s="393"/>
      <c r="AD22" s="394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16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16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</row>
    <row r="23" spans="1:135 16348:16365" customFormat="1" ht="17.25" x14ac:dyDescent="0.25">
      <c r="A23" s="228" t="s">
        <v>46</v>
      </c>
      <c r="B23" s="246" t="s">
        <v>46</v>
      </c>
      <c r="C23" s="142" t="str">
        <f t="shared" si="1"/>
        <v>OK</v>
      </c>
      <c r="D23" s="16"/>
      <c r="E23" s="248">
        <v>21</v>
      </c>
      <c r="F23" s="233" t="s">
        <v>50</v>
      </c>
      <c r="G23" s="233" t="s">
        <v>324</v>
      </c>
      <c r="H23" s="234" t="s">
        <v>101</v>
      </c>
      <c r="I23" s="235"/>
      <c r="J23" s="236"/>
      <c r="K23" s="237"/>
      <c r="L23" s="321" t="s">
        <v>826</v>
      </c>
      <c r="M23" s="321" t="b">
        <v>0</v>
      </c>
      <c r="N23" s="16"/>
      <c r="O23" s="16"/>
      <c r="P23" s="16"/>
      <c r="Q23" s="16"/>
      <c r="R23" s="16"/>
      <c r="S23" s="16"/>
      <c r="T23" s="88"/>
      <c r="U23" s="88"/>
      <c r="Z23" s="88"/>
      <c r="AA23" s="88"/>
      <c r="AB23" s="16"/>
      <c r="AC23" s="16"/>
      <c r="AD23" s="21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16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16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</row>
    <row r="24" spans="1:135 16348:16365" customFormat="1" ht="17.25" x14ac:dyDescent="0.25">
      <c r="A24" s="228" t="s">
        <v>49</v>
      </c>
      <c r="B24" s="246" t="s">
        <v>49</v>
      </c>
      <c r="C24" s="142" t="str">
        <f t="shared" si="1"/>
        <v>OK</v>
      </c>
      <c r="D24" s="16"/>
      <c r="E24" s="248">
        <v>34</v>
      </c>
      <c r="F24" s="233" t="s">
        <v>51</v>
      </c>
      <c r="G24" s="233" t="s">
        <v>52</v>
      </c>
      <c r="H24" s="234" t="s">
        <v>101</v>
      </c>
      <c r="I24" s="235"/>
      <c r="J24" s="236"/>
      <c r="K24" s="237"/>
      <c r="L24" s="321" t="s">
        <v>853</v>
      </c>
      <c r="M24" s="321" t="b">
        <v>1</v>
      </c>
      <c r="N24" s="16"/>
      <c r="O24" s="16"/>
      <c r="P24" s="16"/>
      <c r="Q24" s="16"/>
      <c r="R24" s="16"/>
      <c r="S24" s="16"/>
      <c r="T24" s="88"/>
      <c r="Z24" s="88"/>
      <c r="AA24" s="88"/>
      <c r="AB24" s="16"/>
      <c r="AC24" s="16"/>
      <c r="AD24" s="21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16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16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16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</row>
    <row r="25" spans="1:135 16348:16365" customFormat="1" ht="17.25" x14ac:dyDescent="0.25">
      <c r="A25" s="228" t="s">
        <v>18</v>
      </c>
      <c r="B25" s="246" t="s">
        <v>18</v>
      </c>
      <c r="C25" s="142" t="str">
        <f t="shared" si="1"/>
        <v>OK</v>
      </c>
      <c r="D25" s="16"/>
      <c r="E25" s="248">
        <v>3</v>
      </c>
      <c r="F25" s="233" t="s">
        <v>33</v>
      </c>
      <c r="G25" s="233" t="s">
        <v>56</v>
      </c>
      <c r="H25" s="234" t="s">
        <v>101</v>
      </c>
      <c r="I25" s="235"/>
      <c r="J25" s="236"/>
      <c r="K25" s="237"/>
      <c r="L25" s="321" t="s">
        <v>827</v>
      </c>
      <c r="M25" s="16" t="b">
        <v>0</v>
      </c>
      <c r="N25" s="16"/>
      <c r="O25" s="16"/>
      <c r="P25" s="16"/>
      <c r="Q25" s="16"/>
      <c r="R25" s="16"/>
      <c r="S25" s="16"/>
      <c r="T25" s="88"/>
      <c r="Z25" s="88"/>
      <c r="AA25" s="88"/>
      <c r="AB25" s="16"/>
      <c r="AC25" s="16"/>
      <c r="AD25" s="21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16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</row>
    <row r="26" spans="1:135 16348:16365" customFormat="1" ht="17.25" x14ac:dyDescent="0.25">
      <c r="A26" s="228" t="s">
        <v>53</v>
      </c>
      <c r="B26" s="246" t="s">
        <v>53</v>
      </c>
      <c r="C26" s="142" t="str">
        <f t="shared" si="1"/>
        <v>OK</v>
      </c>
      <c r="D26" s="16"/>
      <c r="E26" s="248">
        <v>8</v>
      </c>
      <c r="F26" s="233" t="s">
        <v>20</v>
      </c>
      <c r="G26" s="233" t="s">
        <v>57</v>
      </c>
      <c r="H26" s="234" t="s">
        <v>101</v>
      </c>
      <c r="I26" s="235"/>
      <c r="J26" s="236"/>
      <c r="K26" s="237"/>
      <c r="L26" s="321" t="s">
        <v>872</v>
      </c>
      <c r="M26" s="16" t="b">
        <v>1</v>
      </c>
      <c r="N26" s="16"/>
      <c r="O26" s="16"/>
      <c r="P26" s="16"/>
      <c r="Q26" s="16"/>
      <c r="R26" s="16"/>
      <c r="S26" s="16"/>
      <c r="T26" s="88"/>
      <c r="Z26" s="88"/>
      <c r="AA26" s="88"/>
      <c r="AB26" s="16"/>
      <c r="AC26" s="16"/>
      <c r="AD26" s="21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16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16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16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</row>
    <row r="27" spans="1:135 16348:16365" customFormat="1" ht="17.25" x14ac:dyDescent="0.25">
      <c r="A27" s="228" t="s">
        <v>47</v>
      </c>
      <c r="B27" s="246" t="s">
        <v>47</v>
      </c>
      <c r="C27" s="142" t="str">
        <f t="shared" si="1"/>
        <v>OK</v>
      </c>
      <c r="D27" s="16"/>
      <c r="E27" s="248">
        <v>11</v>
      </c>
      <c r="F27" s="233" t="s">
        <v>59</v>
      </c>
      <c r="G27" s="233" t="s">
        <v>60</v>
      </c>
      <c r="H27" s="234" t="s">
        <v>101</v>
      </c>
      <c r="I27" s="235"/>
      <c r="J27" s="236"/>
      <c r="K27" s="237"/>
      <c r="L27" s="321" t="s">
        <v>867</v>
      </c>
      <c r="M27" s="16" t="b">
        <v>0</v>
      </c>
      <c r="N27" s="16"/>
      <c r="O27" s="16"/>
      <c r="P27" s="16"/>
      <c r="Q27" s="16"/>
      <c r="R27" s="16"/>
      <c r="S27" s="16"/>
      <c r="T27" s="88"/>
      <c r="Z27" s="88"/>
      <c r="AA27" s="88"/>
      <c r="AB27" s="16"/>
      <c r="AC27" s="16"/>
      <c r="AD27" s="21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16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16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</row>
    <row r="28" spans="1:135 16348:16365" customFormat="1" ht="17.25" x14ac:dyDescent="0.25">
      <c r="A28" s="228" t="s">
        <v>58</v>
      </c>
      <c r="B28" s="246" t="s">
        <v>58</v>
      </c>
      <c r="C28" s="142" t="str">
        <f t="shared" si="1"/>
        <v>OK</v>
      </c>
      <c r="D28" s="16"/>
      <c r="E28" s="248">
        <v>33</v>
      </c>
      <c r="F28" s="233" t="s">
        <v>28</v>
      </c>
      <c r="G28" s="233" t="s">
        <v>61</v>
      </c>
      <c r="H28" s="234" t="s">
        <v>101</v>
      </c>
      <c r="I28" s="235"/>
      <c r="J28" s="236"/>
      <c r="K28" s="237"/>
      <c r="L28" s="321" t="s">
        <v>828</v>
      </c>
      <c r="M28" s="16" t="b">
        <v>1</v>
      </c>
      <c r="N28" s="16"/>
      <c r="O28" s="16"/>
      <c r="P28" s="16"/>
      <c r="Q28" s="16"/>
      <c r="R28" s="16"/>
      <c r="S28" s="16"/>
      <c r="T28" s="88"/>
      <c r="Z28" s="88"/>
      <c r="AA28" s="88"/>
      <c r="AB28" s="16"/>
      <c r="AC28" s="16"/>
      <c r="AD28" s="21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  <c r="BC28" s="16"/>
      <c r="BD28" s="16"/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  <c r="CB28" s="16"/>
      <c r="CC28" s="16"/>
      <c r="CD28" s="16"/>
      <c r="CE28" s="16"/>
      <c r="CF28" s="16"/>
      <c r="CG28" s="16"/>
      <c r="CH28" s="16"/>
      <c r="CI28" s="16"/>
      <c r="CJ28" s="16"/>
      <c r="CK28" s="16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  <c r="DD28" s="16"/>
      <c r="DE28" s="16"/>
      <c r="DF28" s="16"/>
      <c r="DG28" s="16"/>
      <c r="DH28" s="16"/>
      <c r="DI28" s="16"/>
      <c r="DJ28" s="16"/>
      <c r="DK28" s="16"/>
      <c r="DL28" s="16"/>
      <c r="DM28" s="16"/>
      <c r="DN28" s="16"/>
      <c r="DO28" s="16"/>
      <c r="DP28" s="16"/>
      <c r="DQ28" s="16"/>
      <c r="DR28" s="16"/>
      <c r="DS28" s="16"/>
      <c r="DT28" s="16"/>
      <c r="DU28" s="16"/>
      <c r="DV28" s="16"/>
      <c r="DW28" s="16"/>
      <c r="DX28" s="16"/>
      <c r="DY28" s="16"/>
      <c r="DZ28" s="16"/>
      <c r="EA28" s="16"/>
      <c r="EB28" s="16"/>
      <c r="EC28" s="16"/>
      <c r="ED28" s="16"/>
      <c r="EE28" s="16"/>
    </row>
    <row r="29" spans="1:135 16348:16365" customFormat="1" ht="17.25" x14ac:dyDescent="0.25">
      <c r="A29" s="228" t="s">
        <v>26</v>
      </c>
      <c r="B29" s="246" t="s">
        <v>26</v>
      </c>
      <c r="C29" s="142" t="str">
        <f t="shared" si="1"/>
        <v>OK</v>
      </c>
      <c r="D29" s="16"/>
      <c r="E29" s="248">
        <v>36</v>
      </c>
      <c r="F29" s="233" t="s">
        <v>31</v>
      </c>
      <c r="G29" s="233" t="s">
        <v>325</v>
      </c>
      <c r="H29" s="234" t="s">
        <v>101</v>
      </c>
      <c r="I29" s="235"/>
      <c r="J29" s="236"/>
      <c r="K29" s="237"/>
      <c r="L29" s="16"/>
      <c r="M29" s="16"/>
      <c r="N29" s="16"/>
      <c r="O29" s="16"/>
      <c r="P29" s="16"/>
      <c r="Q29" s="16"/>
      <c r="R29" s="16"/>
      <c r="S29" s="16"/>
      <c r="T29" s="88"/>
      <c r="Z29" s="88"/>
      <c r="AA29" s="88"/>
      <c r="AB29" s="16"/>
      <c r="AC29" s="16"/>
      <c r="AD29" s="21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</row>
    <row r="30" spans="1:135 16348:16365" customFormat="1" ht="17.25" x14ac:dyDescent="0.25">
      <c r="A30" s="228" t="s">
        <v>62</v>
      </c>
      <c r="B30" s="246" t="s">
        <v>62</v>
      </c>
      <c r="C30" s="142" t="str">
        <f t="shared" si="1"/>
        <v>OK</v>
      </c>
      <c r="D30" s="16"/>
      <c r="E30" s="248">
        <v>16</v>
      </c>
      <c r="F30" s="233" t="s">
        <v>53</v>
      </c>
      <c r="G30" s="233" t="s">
        <v>326</v>
      </c>
      <c r="H30" s="234" t="s">
        <v>101</v>
      </c>
      <c r="I30" s="235"/>
      <c r="J30" s="236"/>
      <c r="K30" s="237"/>
      <c r="L30" s="16"/>
      <c r="M30" s="16"/>
      <c r="O30" s="16"/>
      <c r="P30" s="16"/>
      <c r="Q30" s="16"/>
      <c r="R30" s="16"/>
      <c r="S30" s="16"/>
      <c r="AA30" s="88"/>
      <c r="AB30" s="16"/>
      <c r="AC30" s="16"/>
      <c r="AD30" s="21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16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16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</row>
    <row r="31" spans="1:135 16348:16365" customFormat="1" ht="17.25" x14ac:dyDescent="0.25">
      <c r="A31" s="228" t="s">
        <v>63</v>
      </c>
      <c r="B31" s="246" t="s">
        <v>63</v>
      </c>
      <c r="C31" s="142" t="str">
        <f t="shared" si="1"/>
        <v>OK</v>
      </c>
      <c r="D31" s="16"/>
      <c r="E31" s="248">
        <v>9</v>
      </c>
      <c r="F31" s="233" t="s">
        <v>25</v>
      </c>
      <c r="G31" s="233" t="s">
        <v>64</v>
      </c>
      <c r="H31" s="234" t="s">
        <v>101</v>
      </c>
      <c r="I31" s="235"/>
      <c r="J31" s="236"/>
      <c r="K31" s="237"/>
      <c r="L31" s="16"/>
      <c r="M31" s="16"/>
      <c r="O31" s="16"/>
      <c r="P31" s="16"/>
      <c r="Q31" s="16"/>
      <c r="R31" s="16"/>
      <c r="S31" s="16"/>
      <c r="AA31" s="88"/>
      <c r="AB31" s="16"/>
      <c r="AC31" s="16"/>
      <c r="AD31" s="21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16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16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</row>
    <row r="32" spans="1:135 16348:16365" customFormat="1" ht="18" thickBot="1" x14ac:dyDescent="0.3">
      <c r="A32" s="228" t="s">
        <v>42</v>
      </c>
      <c r="B32" s="246" t="s">
        <v>42</v>
      </c>
      <c r="C32" s="142" t="str">
        <f t="shared" si="1"/>
        <v>OK</v>
      </c>
      <c r="D32" s="16"/>
      <c r="E32" s="248">
        <v>5</v>
      </c>
      <c r="F32" s="233" t="s">
        <v>49</v>
      </c>
      <c r="G32" s="233" t="s">
        <v>327</v>
      </c>
      <c r="H32" s="234" t="s">
        <v>101</v>
      </c>
      <c r="I32" s="235"/>
      <c r="J32" s="250"/>
      <c r="K32" s="237"/>
      <c r="L32" s="16"/>
      <c r="M32" s="16"/>
      <c r="O32" s="16"/>
      <c r="P32" s="16"/>
      <c r="Q32" s="16"/>
      <c r="R32" s="16"/>
      <c r="S32" s="16"/>
      <c r="T32" s="88"/>
      <c r="Z32" s="88"/>
      <c r="AA32" s="88"/>
      <c r="AB32" s="16"/>
      <c r="AC32" s="16"/>
      <c r="AD32" s="21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16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16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16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XDT32" s="16"/>
      <c r="XDU32" s="67"/>
      <c r="XDV32" s="16"/>
      <c r="XDZ32" s="64"/>
      <c r="XEC32" s="64"/>
      <c r="XEE32" s="64"/>
      <c r="XEJ32" s="65"/>
      <c r="XEK32" s="65"/>
    </row>
    <row r="33" spans="1:135 16348:16365" customFormat="1" ht="18" thickBot="1" x14ac:dyDescent="0.3">
      <c r="A33" s="228" t="s">
        <v>6</v>
      </c>
      <c r="B33" s="246" t="s">
        <v>6</v>
      </c>
      <c r="C33" s="142" t="str">
        <f t="shared" si="1"/>
        <v>OK</v>
      </c>
      <c r="D33" s="16"/>
      <c r="E33" s="248">
        <v>19</v>
      </c>
      <c r="F33" s="233" t="s">
        <v>37</v>
      </c>
      <c r="G33" s="233" t="s">
        <v>65</v>
      </c>
      <c r="H33" s="234" t="s">
        <v>101</v>
      </c>
      <c r="I33" s="251"/>
      <c r="J33" s="236"/>
      <c r="K33" s="237"/>
      <c r="L33" s="16"/>
      <c r="M33" s="16"/>
      <c r="O33" s="16"/>
      <c r="P33" s="16"/>
      <c r="Q33" s="16"/>
      <c r="R33" s="16"/>
      <c r="S33" s="16"/>
      <c r="T33" s="88"/>
      <c r="U33" s="88"/>
      <c r="W33" s="88"/>
      <c r="X33" s="88"/>
      <c r="Z33" s="88"/>
      <c r="AA33" s="88"/>
      <c r="AB33" s="16"/>
      <c r="AC33" s="16"/>
      <c r="AD33" s="21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  <c r="CU33" s="16"/>
      <c r="CV33" s="16"/>
      <c r="CW33" s="16"/>
      <c r="CX33" s="16"/>
      <c r="CY33" s="16"/>
      <c r="CZ33" s="16"/>
      <c r="DA33" s="16"/>
      <c r="DB33" s="16"/>
      <c r="DC33" s="16"/>
      <c r="DD33" s="16"/>
      <c r="DE33" s="16"/>
      <c r="DF33" s="16"/>
      <c r="DG33" s="16"/>
      <c r="DH33" s="16"/>
      <c r="DI33" s="16"/>
      <c r="DJ33" s="16"/>
      <c r="DK33" s="16"/>
      <c r="DL33" s="16"/>
      <c r="DM33" s="16"/>
      <c r="DN33" s="16"/>
      <c r="DO33" s="16"/>
      <c r="DP33" s="16"/>
      <c r="DQ33" s="16"/>
      <c r="DR33" s="16"/>
      <c r="DS33" s="16"/>
      <c r="DT33" s="16"/>
      <c r="DU33" s="16"/>
      <c r="DV33" s="16"/>
      <c r="DW33" s="16"/>
      <c r="DX33" s="16"/>
      <c r="DY33" s="16"/>
      <c r="DZ33" s="16"/>
      <c r="EA33" s="16"/>
      <c r="EB33" s="16"/>
      <c r="EC33" s="16"/>
      <c r="ED33" s="16"/>
      <c r="EE33" s="16"/>
      <c r="XDT33" s="55"/>
      <c r="XDU33" s="66"/>
      <c r="XDV33" s="55"/>
      <c r="XDY33" s="13"/>
      <c r="XDZ33" s="14"/>
      <c r="XEA33" s="14"/>
      <c r="XEB33" s="14"/>
      <c r="XEC33" s="14"/>
      <c r="XED33" s="14"/>
      <c r="XEE33" s="14"/>
      <c r="XEF33" s="14"/>
      <c r="XEG33" s="14"/>
      <c r="XEH33" s="14"/>
      <c r="XEI33" s="14"/>
      <c r="XEJ33" s="14"/>
      <c r="XEK33" s="15"/>
    </row>
    <row r="34" spans="1:135 16348:16365" customFormat="1" x14ac:dyDescent="0.25">
      <c r="A34" s="228" t="s">
        <v>59</v>
      </c>
      <c r="B34" s="246" t="s">
        <v>59</v>
      </c>
      <c r="C34" s="142" t="str">
        <f t="shared" si="1"/>
        <v>OK</v>
      </c>
      <c r="D34" s="16"/>
      <c r="E34" s="252">
        <v>26</v>
      </c>
      <c r="F34" s="253" t="s">
        <v>62</v>
      </c>
      <c r="G34" s="254" t="s">
        <v>328</v>
      </c>
      <c r="H34" s="234" t="s">
        <v>101</v>
      </c>
      <c r="I34" s="251"/>
      <c r="J34" s="236"/>
      <c r="K34" s="237"/>
      <c r="L34" s="16"/>
      <c r="M34" s="16"/>
      <c r="O34" s="16"/>
      <c r="P34" s="16"/>
      <c r="Q34" s="16"/>
      <c r="R34" s="16"/>
      <c r="S34" s="16"/>
      <c r="T34" s="88"/>
      <c r="U34" s="88"/>
      <c r="W34" s="88"/>
      <c r="X34" s="88"/>
      <c r="Z34" s="88"/>
      <c r="AA34" s="88"/>
      <c r="AB34" s="16"/>
      <c r="AC34" s="16"/>
      <c r="AD34" s="21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16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16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16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16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</row>
    <row r="35" spans="1:135 16348:16365" customFormat="1" x14ac:dyDescent="0.25">
      <c r="A35" s="228" t="s">
        <v>44</v>
      </c>
      <c r="B35" s="246" t="s">
        <v>44</v>
      </c>
      <c r="C35" s="142" t="str">
        <f t="shared" si="1"/>
        <v>OK</v>
      </c>
      <c r="D35" s="16"/>
      <c r="E35" s="252">
        <v>4</v>
      </c>
      <c r="F35" s="254" t="s">
        <v>66</v>
      </c>
      <c r="G35" s="254" t="s">
        <v>148</v>
      </c>
      <c r="H35" s="234" t="s">
        <v>101</v>
      </c>
      <c r="I35" s="251"/>
      <c r="J35" s="236"/>
      <c r="K35" s="237"/>
      <c r="L35" s="16"/>
      <c r="M35" s="16"/>
      <c r="O35" s="16"/>
      <c r="P35" s="16"/>
      <c r="Q35" s="16"/>
      <c r="R35" s="16"/>
      <c r="S35" s="16"/>
      <c r="T35" s="88"/>
      <c r="U35" s="88"/>
      <c r="Z35" s="88"/>
      <c r="AA35" s="88"/>
      <c r="AB35" s="16"/>
      <c r="AC35" s="16"/>
      <c r="AD35" s="21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  <c r="BC35" s="16"/>
      <c r="BD35" s="16"/>
      <c r="BE35" s="16"/>
      <c r="BF35" s="16"/>
      <c r="BG35" s="16"/>
      <c r="BH35" s="16"/>
      <c r="BI35" s="16"/>
      <c r="BJ35" s="16"/>
      <c r="BK35" s="16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6"/>
      <c r="CC35" s="16"/>
      <c r="CD35" s="16"/>
      <c r="CE35" s="16"/>
      <c r="CF35" s="16"/>
      <c r="CG35" s="16"/>
      <c r="CH35" s="16"/>
      <c r="CI35" s="16"/>
      <c r="CJ35" s="16"/>
      <c r="CK35" s="16"/>
      <c r="CL35" s="16"/>
      <c r="CM35" s="16"/>
      <c r="CN35" s="16"/>
      <c r="CO35" s="16"/>
      <c r="CP35" s="16"/>
      <c r="CQ35" s="16"/>
      <c r="CR35" s="16"/>
      <c r="CS35" s="16"/>
      <c r="CT35" s="16"/>
      <c r="CU35" s="16"/>
      <c r="CV35" s="16"/>
      <c r="CW35" s="16"/>
      <c r="CX35" s="16"/>
      <c r="CY35" s="16"/>
      <c r="CZ35" s="16"/>
      <c r="DA35" s="16"/>
      <c r="DB35" s="16"/>
      <c r="DC35" s="16"/>
      <c r="DD35" s="16"/>
      <c r="DE35" s="16"/>
      <c r="DF35" s="16"/>
      <c r="DG35" s="16"/>
      <c r="DH35" s="16"/>
      <c r="DI35" s="16"/>
      <c r="DJ35" s="16"/>
      <c r="DK35" s="16"/>
      <c r="DL35" s="16"/>
      <c r="DM35" s="16"/>
      <c r="DN35" s="16"/>
      <c r="DO35" s="16"/>
      <c r="DP35" s="16"/>
      <c r="DQ35" s="16"/>
      <c r="DR35" s="16"/>
      <c r="DS35" s="16"/>
      <c r="DT35" s="16"/>
      <c r="DU35" s="16"/>
      <c r="DV35" s="16"/>
      <c r="DW35" s="16"/>
      <c r="DX35" s="16"/>
      <c r="DY35" s="16"/>
      <c r="DZ35" s="16"/>
      <c r="EA35" s="16"/>
      <c r="EB35" s="16"/>
      <c r="EC35" s="16"/>
      <c r="ED35" s="16"/>
      <c r="EE35" s="16"/>
    </row>
    <row r="36" spans="1:135 16348:16365" customFormat="1" x14ac:dyDescent="0.25">
      <c r="A36" s="228" t="s">
        <v>329</v>
      </c>
      <c r="B36" s="246" t="s">
        <v>11</v>
      </c>
      <c r="C36" s="142" t="str">
        <f t="shared" si="1"/>
        <v>OK</v>
      </c>
      <c r="D36" s="16"/>
      <c r="E36" s="252">
        <v>35</v>
      </c>
      <c r="F36" s="253" t="s">
        <v>63</v>
      </c>
      <c r="G36" s="254" t="s">
        <v>147</v>
      </c>
      <c r="H36" s="234" t="s">
        <v>101</v>
      </c>
      <c r="I36" s="251"/>
      <c r="J36" s="236"/>
      <c r="K36" s="237"/>
      <c r="L36" s="16"/>
      <c r="M36" s="16"/>
      <c r="O36" s="16"/>
      <c r="P36" s="16"/>
      <c r="Q36" s="16"/>
      <c r="R36" s="16"/>
      <c r="S36" s="16"/>
      <c r="T36" s="88"/>
      <c r="Z36" s="88"/>
      <c r="AA36" s="88"/>
      <c r="AB36" s="16"/>
      <c r="AC36" s="16"/>
      <c r="AD36" s="21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16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16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16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16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</row>
    <row r="37" spans="1:135 16348:16365" customFormat="1" ht="15.75" thickBot="1" x14ac:dyDescent="0.3">
      <c r="A37" s="228" t="s">
        <v>330</v>
      </c>
      <c r="B37" s="246" t="s">
        <v>17</v>
      </c>
      <c r="C37" s="142" t="str">
        <f t="shared" si="1"/>
        <v>OK</v>
      </c>
      <c r="D37" s="16"/>
      <c r="E37" s="255">
        <v>38</v>
      </c>
      <c r="F37" s="256" t="s">
        <v>108</v>
      </c>
      <c r="G37" s="256" t="s">
        <v>150</v>
      </c>
      <c r="H37" s="257" t="s">
        <v>101</v>
      </c>
      <c r="I37" s="258"/>
      <c r="J37" s="259"/>
      <c r="K37" s="260"/>
      <c r="L37" s="16"/>
      <c r="M37" s="16"/>
      <c r="O37" s="16"/>
      <c r="P37" s="16"/>
      <c r="Q37" s="16"/>
      <c r="R37" s="16"/>
      <c r="S37" s="16"/>
      <c r="T37" s="88"/>
      <c r="Z37" s="88"/>
      <c r="AA37" s="88"/>
      <c r="AB37" s="16"/>
      <c r="AC37" s="16"/>
      <c r="AD37" s="21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16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16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16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16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</row>
    <row r="38" spans="1:135 16348:16365" customFormat="1" x14ac:dyDescent="0.25">
      <c r="A38" s="228" t="s">
        <v>331</v>
      </c>
      <c r="B38" s="246" t="s">
        <v>17</v>
      </c>
      <c r="C38" s="142" t="str">
        <f t="shared" si="1"/>
        <v>OK</v>
      </c>
      <c r="D38" s="261"/>
      <c r="E38" s="261"/>
      <c r="F38" s="261"/>
      <c r="G38" s="261"/>
      <c r="H38" s="261"/>
      <c r="I38" s="262"/>
      <c r="J38" s="16"/>
      <c r="K38" s="16"/>
      <c r="L38" s="16"/>
      <c r="M38" s="16"/>
      <c r="O38" s="16"/>
      <c r="P38" s="16"/>
      <c r="Q38" s="16"/>
      <c r="R38" s="16"/>
      <c r="S38" s="16"/>
      <c r="T38" s="88"/>
      <c r="Z38" s="88"/>
      <c r="AA38" s="88"/>
      <c r="AB38" s="16"/>
      <c r="AC38" s="16"/>
      <c r="AD38" s="21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</row>
    <row r="39" spans="1:135 16348:16365" customFormat="1" x14ac:dyDescent="0.25">
      <c r="A39" s="228" t="s">
        <v>332</v>
      </c>
      <c r="B39" s="246" t="s">
        <v>22</v>
      </c>
      <c r="C39" s="142" t="str">
        <f t="shared" si="1"/>
        <v>OK</v>
      </c>
      <c r="D39" s="261"/>
      <c r="E39" s="261"/>
      <c r="F39" s="261"/>
      <c r="G39" s="261"/>
      <c r="H39" s="261"/>
      <c r="I39" s="262"/>
      <c r="J39" s="16"/>
      <c r="K39" s="16"/>
      <c r="L39" s="16"/>
      <c r="M39" s="16"/>
      <c r="O39" s="16"/>
      <c r="P39" s="16"/>
      <c r="Q39" s="16"/>
      <c r="R39" s="16"/>
      <c r="S39" s="16"/>
      <c r="T39" s="88"/>
      <c r="Z39" s="88"/>
      <c r="AA39" s="88"/>
      <c r="AB39" s="16"/>
      <c r="AC39" s="16"/>
      <c r="AD39" s="21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</row>
    <row r="40" spans="1:135 16348:16365" customFormat="1" x14ac:dyDescent="0.25">
      <c r="A40" s="228" t="s">
        <v>333</v>
      </c>
      <c r="B40" s="246" t="s">
        <v>22</v>
      </c>
      <c r="C40" s="142" t="str">
        <f t="shared" si="1"/>
        <v>OK</v>
      </c>
      <c r="D40" s="261"/>
      <c r="E40" s="261"/>
      <c r="F40" s="261"/>
      <c r="G40" s="261"/>
      <c r="H40" s="261"/>
      <c r="I40" s="262"/>
      <c r="J40" s="16"/>
      <c r="K40" s="16"/>
      <c r="L40" s="16"/>
      <c r="M40" s="16"/>
      <c r="O40" s="16"/>
      <c r="P40" s="16"/>
      <c r="Q40" s="16"/>
      <c r="R40" s="16"/>
      <c r="S40" s="16"/>
      <c r="T40" s="88"/>
      <c r="Z40" s="88"/>
      <c r="AA40" s="88"/>
      <c r="AB40" s="16"/>
      <c r="AC40" s="16"/>
      <c r="AD40" s="21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</row>
    <row r="41" spans="1:135 16348:16365" customFormat="1" x14ac:dyDescent="0.25">
      <c r="A41" s="228" t="s">
        <v>334</v>
      </c>
      <c r="B41" s="246" t="s">
        <v>25</v>
      </c>
      <c r="C41" s="142" t="str">
        <f t="shared" si="1"/>
        <v>OK</v>
      </c>
      <c r="D41" s="261"/>
      <c r="E41" s="261"/>
      <c r="F41" s="261"/>
      <c r="G41" s="261"/>
      <c r="H41" s="261"/>
      <c r="I41" s="262"/>
      <c r="J41" s="16"/>
      <c r="K41" s="16"/>
      <c r="L41" s="16"/>
      <c r="M41" s="16"/>
      <c r="O41" s="16"/>
      <c r="P41" s="16"/>
      <c r="Q41" s="16"/>
      <c r="R41" s="16"/>
      <c r="S41" s="16"/>
      <c r="T41" s="88"/>
      <c r="Z41" s="88"/>
      <c r="AA41" s="88"/>
      <c r="AB41" s="16"/>
      <c r="AC41" s="16"/>
      <c r="AD41" s="21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</row>
    <row r="42" spans="1:135 16348:16365" customFormat="1" x14ac:dyDescent="0.25">
      <c r="A42" s="228" t="s">
        <v>335</v>
      </c>
      <c r="B42" s="246" t="s">
        <v>25</v>
      </c>
      <c r="C42" s="142" t="str">
        <f t="shared" si="1"/>
        <v>OK</v>
      </c>
      <c r="D42" s="261"/>
      <c r="E42" s="261"/>
      <c r="F42" s="261"/>
      <c r="G42" s="261"/>
      <c r="H42" s="261"/>
      <c r="I42" s="262"/>
      <c r="J42" s="16"/>
      <c r="K42" s="16"/>
      <c r="L42" s="16"/>
      <c r="M42" s="16"/>
      <c r="O42" s="16"/>
      <c r="P42" s="16"/>
      <c r="Q42" s="16"/>
      <c r="R42" s="16"/>
      <c r="S42" s="16"/>
      <c r="T42" s="88"/>
      <c r="Z42" s="88"/>
      <c r="AA42" s="88"/>
      <c r="AB42" s="16"/>
      <c r="AC42" s="16"/>
      <c r="AD42" s="21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</row>
    <row r="43" spans="1:135 16348:16365" customFormat="1" x14ac:dyDescent="0.25">
      <c r="A43" s="228" t="s">
        <v>336</v>
      </c>
      <c r="B43" s="246" t="s">
        <v>28</v>
      </c>
      <c r="C43" s="142" t="str">
        <f t="shared" si="1"/>
        <v>OK</v>
      </c>
      <c r="D43" s="261"/>
      <c r="E43" s="261"/>
      <c r="F43" s="261"/>
      <c r="G43" s="261"/>
      <c r="H43" s="261"/>
      <c r="I43" s="262"/>
      <c r="J43" s="16"/>
      <c r="K43" s="16"/>
      <c r="L43" s="16"/>
      <c r="M43" s="16"/>
      <c r="O43" s="16"/>
      <c r="P43" s="16"/>
      <c r="Q43" s="16"/>
      <c r="R43" s="16"/>
      <c r="S43" s="16"/>
      <c r="T43" s="88"/>
      <c r="Z43" s="88"/>
      <c r="AA43" s="88"/>
      <c r="AB43" s="16"/>
      <c r="AC43" s="16"/>
      <c r="AD43" s="21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</row>
    <row r="44" spans="1:135 16348:16365" customFormat="1" x14ac:dyDescent="0.25">
      <c r="A44" s="228" t="s">
        <v>67</v>
      </c>
      <c r="B44" s="246" t="s">
        <v>28</v>
      </c>
      <c r="C44" s="142" t="str">
        <f t="shared" si="1"/>
        <v>OK</v>
      </c>
      <c r="D44" s="261"/>
      <c r="E44" s="261"/>
      <c r="F44" s="261"/>
      <c r="G44" s="261"/>
      <c r="H44" s="261"/>
      <c r="I44" s="262"/>
      <c r="J44" s="16"/>
      <c r="K44" s="16"/>
      <c r="L44" s="16"/>
      <c r="M44" s="16"/>
      <c r="O44" s="16"/>
      <c r="P44" s="16"/>
      <c r="Q44" s="16"/>
      <c r="R44" s="16"/>
      <c r="S44" s="16"/>
      <c r="T44" s="88"/>
      <c r="W44" s="88"/>
      <c r="X44" s="88"/>
      <c r="Z44" s="88"/>
      <c r="AA44" s="88"/>
      <c r="AB44" s="16"/>
      <c r="AC44" s="16"/>
      <c r="AD44" s="21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</row>
    <row r="45" spans="1:135 16348:16365" customFormat="1" x14ac:dyDescent="0.25">
      <c r="A45" s="228" t="s">
        <v>68</v>
      </c>
      <c r="B45" s="246" t="s">
        <v>3</v>
      </c>
      <c r="C45" s="142">
        <f t="shared" si="1"/>
        <v>0</v>
      </c>
      <c r="D45" s="261"/>
      <c r="E45" s="261"/>
      <c r="F45" s="261"/>
      <c r="G45" s="261"/>
      <c r="H45" s="261"/>
      <c r="I45" s="262"/>
      <c r="J45" s="16"/>
      <c r="K45" s="16"/>
      <c r="L45" s="16"/>
      <c r="M45" s="16"/>
      <c r="O45" s="16"/>
      <c r="P45" s="16"/>
      <c r="Q45" s="16"/>
      <c r="R45" s="16"/>
      <c r="S45" s="16"/>
      <c r="T45" s="88"/>
      <c r="U45" s="88"/>
      <c r="W45" s="88"/>
      <c r="X45" s="88"/>
      <c r="Z45" s="88"/>
      <c r="AA45" s="88"/>
      <c r="AB45" s="16"/>
      <c r="AC45" s="16"/>
      <c r="AD45" s="21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16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16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16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16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</row>
    <row r="46" spans="1:135 16348:16365" customFormat="1" x14ac:dyDescent="0.25">
      <c r="A46" s="228" t="s">
        <v>337</v>
      </c>
      <c r="B46" s="246" t="s">
        <v>3</v>
      </c>
      <c r="C46" s="142">
        <f t="shared" si="1"/>
        <v>0</v>
      </c>
      <c r="D46" s="261"/>
      <c r="E46" s="261"/>
      <c r="F46" s="261"/>
      <c r="G46" s="261"/>
      <c r="H46" s="261"/>
      <c r="I46" s="262"/>
      <c r="J46" s="16"/>
      <c r="K46" s="16"/>
      <c r="L46" s="16"/>
      <c r="M46" s="16"/>
      <c r="O46" s="16"/>
      <c r="P46" s="16"/>
      <c r="Q46" s="16"/>
      <c r="R46" s="16"/>
      <c r="S46" s="16"/>
      <c r="T46" s="88"/>
      <c r="W46" s="88"/>
      <c r="X46" s="88"/>
      <c r="Z46" s="88"/>
      <c r="AA46" s="88"/>
      <c r="AB46" s="16"/>
      <c r="AC46" s="16"/>
      <c r="AD46" s="21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16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16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16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16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</row>
    <row r="47" spans="1:135 16348:16365" customFormat="1" x14ac:dyDescent="0.25">
      <c r="A47" s="228" t="s">
        <v>338</v>
      </c>
      <c r="B47" s="246" t="s">
        <v>3</v>
      </c>
      <c r="C47" s="142">
        <f t="shared" si="1"/>
        <v>0</v>
      </c>
      <c r="D47" s="261"/>
      <c r="E47" s="261"/>
      <c r="F47" s="261"/>
      <c r="G47" s="261"/>
      <c r="H47" s="261"/>
      <c r="I47" s="262"/>
      <c r="J47" s="16"/>
      <c r="K47" s="16"/>
      <c r="L47" s="16"/>
      <c r="M47" s="16"/>
      <c r="O47" s="16"/>
      <c r="P47" s="16"/>
      <c r="Q47" s="16"/>
      <c r="R47" s="16"/>
      <c r="S47" s="16"/>
      <c r="T47" s="88"/>
      <c r="U47" s="88"/>
      <c r="Z47" s="88"/>
      <c r="AA47" s="88"/>
      <c r="AB47" s="16"/>
      <c r="AC47" s="16"/>
      <c r="AD47" s="21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16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16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16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16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</row>
    <row r="48" spans="1:135 16348:16365" customFormat="1" x14ac:dyDescent="0.25">
      <c r="A48" s="228" t="s">
        <v>339</v>
      </c>
      <c r="B48" s="246" t="s">
        <v>51</v>
      </c>
      <c r="C48" s="142" t="str">
        <f t="shared" si="1"/>
        <v>OK</v>
      </c>
      <c r="D48" s="261"/>
      <c r="E48" s="261"/>
      <c r="F48" s="261"/>
      <c r="G48" s="261"/>
      <c r="H48" s="261"/>
      <c r="I48" s="262"/>
      <c r="J48" s="16"/>
      <c r="K48" s="16"/>
      <c r="L48" s="16"/>
      <c r="M48" s="16"/>
      <c r="O48" s="16"/>
      <c r="P48" s="16"/>
      <c r="Q48" s="16"/>
      <c r="R48" s="16"/>
      <c r="S48" s="16"/>
      <c r="T48" s="88"/>
      <c r="U48" s="88"/>
      <c r="Z48" s="88"/>
      <c r="AA48" s="88"/>
      <c r="AB48" s="16"/>
      <c r="AC48" s="16"/>
      <c r="AD48" s="21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16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16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16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16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</row>
    <row r="49" spans="1:135" customFormat="1" x14ac:dyDescent="0.25">
      <c r="A49" s="228" t="s">
        <v>340</v>
      </c>
      <c r="B49" s="246" t="s">
        <v>46</v>
      </c>
      <c r="C49" s="142" t="str">
        <f t="shared" si="1"/>
        <v>OK</v>
      </c>
      <c r="D49" s="261"/>
      <c r="E49" s="261"/>
      <c r="F49" s="261"/>
      <c r="G49" s="261"/>
      <c r="H49" s="261"/>
      <c r="I49" s="262"/>
      <c r="J49" s="16"/>
      <c r="K49" s="16"/>
      <c r="L49" s="16"/>
      <c r="M49" s="16"/>
      <c r="O49" s="16"/>
      <c r="P49" s="16"/>
      <c r="Q49" s="16"/>
      <c r="R49" s="16"/>
      <c r="S49" s="16"/>
      <c r="T49" s="88"/>
      <c r="U49" s="88"/>
      <c r="W49" s="88"/>
      <c r="X49" s="88"/>
      <c r="Z49" s="88"/>
      <c r="AA49" s="88"/>
      <c r="AB49" s="16"/>
      <c r="AC49" s="16"/>
      <c r="AD49" s="21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6"/>
      <c r="CC49" s="16"/>
      <c r="CD49" s="16"/>
      <c r="CE49" s="16"/>
      <c r="CF49" s="16"/>
      <c r="CG49" s="16"/>
      <c r="CH49" s="16"/>
      <c r="CI49" s="16"/>
      <c r="CJ49" s="16"/>
      <c r="CK49" s="16"/>
      <c r="CL49" s="16"/>
      <c r="CM49" s="16"/>
      <c r="CN49" s="16"/>
      <c r="CO49" s="16"/>
      <c r="CP49" s="16"/>
      <c r="CQ49" s="16"/>
      <c r="CR49" s="16"/>
      <c r="CS49" s="16"/>
      <c r="CT49" s="16"/>
      <c r="CU49" s="16"/>
      <c r="CV49" s="16"/>
      <c r="CW49" s="16"/>
      <c r="CX49" s="16"/>
      <c r="CY49" s="16"/>
      <c r="CZ49" s="16"/>
      <c r="DA49" s="16"/>
      <c r="DB49" s="16"/>
      <c r="DC49" s="16"/>
      <c r="DD49" s="16"/>
      <c r="DE49" s="16"/>
      <c r="DF49" s="16"/>
      <c r="DG49" s="16"/>
      <c r="DH49" s="16"/>
      <c r="DI49" s="16"/>
      <c r="DJ49" s="16"/>
      <c r="DK49" s="16"/>
      <c r="DL49" s="16"/>
      <c r="DM49" s="16"/>
      <c r="DN49" s="16"/>
      <c r="DO49" s="16"/>
      <c r="DP49" s="16"/>
      <c r="DQ49" s="16"/>
      <c r="DR49" s="16"/>
      <c r="DS49" s="16"/>
      <c r="DT49" s="16"/>
      <c r="DU49" s="16"/>
      <c r="DV49" s="16"/>
      <c r="DW49" s="16"/>
      <c r="DX49" s="16"/>
      <c r="DY49" s="16"/>
      <c r="DZ49" s="16"/>
      <c r="EA49" s="16"/>
      <c r="EB49" s="16"/>
      <c r="EC49" s="16"/>
      <c r="ED49" s="16"/>
      <c r="EE49" s="16"/>
    </row>
    <row r="50" spans="1:135" customFormat="1" x14ac:dyDescent="0.25">
      <c r="A50" s="228" t="s">
        <v>69</v>
      </c>
      <c r="B50" s="246" t="s">
        <v>58</v>
      </c>
      <c r="C50" s="142" t="str">
        <f t="shared" si="1"/>
        <v>OK</v>
      </c>
      <c r="D50" s="261"/>
      <c r="E50" s="261"/>
      <c r="F50" s="261"/>
      <c r="G50" s="261"/>
      <c r="H50" s="261"/>
      <c r="I50" s="262"/>
      <c r="J50" s="16"/>
      <c r="K50" s="16"/>
      <c r="L50" s="16"/>
      <c r="M50" s="16"/>
      <c r="O50" s="16"/>
      <c r="P50" s="16"/>
      <c r="Q50" s="16"/>
      <c r="R50" s="16"/>
      <c r="S50" s="16"/>
      <c r="T50" s="88"/>
      <c r="Z50" s="88"/>
      <c r="AA50" s="88"/>
      <c r="AB50" s="16"/>
      <c r="AC50" s="16"/>
      <c r="AD50" s="21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16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16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16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16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</row>
    <row r="51" spans="1:135" customFormat="1" x14ac:dyDescent="0.25">
      <c r="A51" s="228" t="s">
        <v>341</v>
      </c>
      <c r="B51" s="246" t="s">
        <v>58</v>
      </c>
      <c r="C51" s="142" t="str">
        <f t="shared" si="1"/>
        <v>OK</v>
      </c>
      <c r="D51" s="16"/>
      <c r="E51" s="17"/>
      <c r="F51" s="16"/>
      <c r="G51" s="16"/>
      <c r="H51" s="16"/>
      <c r="I51" s="262"/>
      <c r="J51" s="16"/>
      <c r="K51" s="16"/>
      <c r="L51" s="16"/>
      <c r="M51" s="16"/>
      <c r="O51" s="16"/>
      <c r="P51" s="16"/>
      <c r="Q51" s="16"/>
      <c r="R51" s="16"/>
      <c r="S51" s="16"/>
      <c r="T51" s="88"/>
      <c r="Z51" s="88"/>
      <c r="AA51" s="88"/>
      <c r="AB51" s="16"/>
      <c r="AC51" s="16"/>
      <c r="AD51" s="21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16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16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16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</row>
    <row r="52" spans="1:135" customFormat="1" x14ac:dyDescent="0.25">
      <c r="A52" s="228" t="s">
        <v>342</v>
      </c>
      <c r="B52" s="246" t="s">
        <v>62</v>
      </c>
      <c r="C52" s="142" t="str">
        <f t="shared" si="1"/>
        <v>OK</v>
      </c>
      <c r="D52" s="16"/>
      <c r="E52" s="17"/>
      <c r="F52" s="16"/>
      <c r="G52" s="16"/>
      <c r="H52" s="16"/>
      <c r="I52" s="262"/>
      <c r="J52" s="16"/>
      <c r="K52" s="16"/>
      <c r="L52" s="16"/>
      <c r="M52" s="16"/>
      <c r="O52" s="16"/>
      <c r="P52" s="16"/>
      <c r="Q52" s="16"/>
      <c r="R52" s="16"/>
      <c r="S52" s="16"/>
      <c r="T52" s="88"/>
      <c r="Z52" s="88"/>
      <c r="AA52" s="88"/>
      <c r="AB52" s="16"/>
      <c r="AC52" s="16"/>
      <c r="AD52" s="21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16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16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16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</row>
    <row r="53" spans="1:135" customFormat="1" x14ac:dyDescent="0.25">
      <c r="A53" s="228" t="s">
        <v>70</v>
      </c>
      <c r="B53" s="246" t="s">
        <v>62</v>
      </c>
      <c r="C53" s="142" t="str">
        <f t="shared" si="1"/>
        <v>OK</v>
      </c>
      <c r="D53" s="16"/>
      <c r="E53" s="17"/>
      <c r="F53" s="16"/>
      <c r="G53" s="16"/>
      <c r="H53" s="16"/>
      <c r="I53" s="262"/>
      <c r="J53" s="16"/>
      <c r="K53" s="16"/>
      <c r="L53" s="16"/>
      <c r="M53" s="16"/>
      <c r="O53" s="16"/>
      <c r="P53" s="16"/>
      <c r="Q53" s="16"/>
      <c r="R53" s="16"/>
      <c r="S53" s="16"/>
      <c r="T53" s="88"/>
      <c r="Z53" s="88"/>
      <c r="AA53" s="88"/>
      <c r="AB53" s="16"/>
      <c r="AC53" s="16"/>
      <c r="AD53" s="21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16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16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16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16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</row>
    <row r="54" spans="1:135" customFormat="1" x14ac:dyDescent="0.25">
      <c r="A54" s="228" t="s">
        <v>343</v>
      </c>
      <c r="B54" s="246" t="s">
        <v>62</v>
      </c>
      <c r="C54" s="142" t="str">
        <f t="shared" si="1"/>
        <v>OK</v>
      </c>
      <c r="D54" s="16"/>
      <c r="E54" s="17"/>
      <c r="F54" s="16"/>
      <c r="G54" s="16"/>
      <c r="H54" s="16"/>
      <c r="I54" s="262"/>
      <c r="J54" s="16"/>
      <c r="K54" s="16"/>
      <c r="L54" s="16"/>
      <c r="M54" s="16"/>
      <c r="O54" s="16"/>
      <c r="P54" s="16"/>
      <c r="Q54" s="16"/>
      <c r="R54" s="16"/>
      <c r="S54" s="16"/>
      <c r="T54" s="88"/>
      <c r="Z54" s="88"/>
      <c r="AA54" s="88"/>
      <c r="AB54" s="16"/>
      <c r="AC54" s="16"/>
      <c r="AD54" s="21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16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16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16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16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</row>
    <row r="55" spans="1:135" customFormat="1" x14ac:dyDescent="0.25">
      <c r="A55" s="228" t="s">
        <v>344</v>
      </c>
      <c r="B55" s="246" t="s">
        <v>62</v>
      </c>
      <c r="C55" s="142" t="str">
        <f t="shared" si="1"/>
        <v>OK</v>
      </c>
      <c r="D55" s="16"/>
      <c r="E55" s="17"/>
      <c r="F55" s="16"/>
      <c r="G55" s="16"/>
      <c r="H55" s="16"/>
      <c r="I55" s="262"/>
      <c r="J55" s="16"/>
      <c r="K55" s="16"/>
      <c r="L55" s="16"/>
      <c r="M55" s="16"/>
      <c r="O55" s="16"/>
      <c r="P55" s="16"/>
      <c r="Q55" s="16"/>
      <c r="R55" s="16"/>
      <c r="S55" s="16"/>
      <c r="T55" s="88"/>
      <c r="Z55" s="88"/>
      <c r="AA55" s="88"/>
      <c r="AB55" s="16"/>
      <c r="AC55" s="16"/>
      <c r="AD55" s="21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</row>
    <row r="56" spans="1:135" customFormat="1" x14ac:dyDescent="0.25">
      <c r="A56" s="228" t="s">
        <v>345</v>
      </c>
      <c r="B56" s="246" t="s">
        <v>62</v>
      </c>
      <c r="C56" s="142" t="str">
        <f t="shared" si="1"/>
        <v>OK</v>
      </c>
      <c r="D56" s="16"/>
      <c r="E56" s="17"/>
      <c r="F56" s="16"/>
      <c r="G56" s="16"/>
      <c r="H56" s="16"/>
      <c r="I56" s="262"/>
      <c r="J56" s="16"/>
      <c r="K56" s="16"/>
      <c r="L56" s="16"/>
      <c r="M56" s="16"/>
      <c r="O56" s="16"/>
      <c r="P56" s="16"/>
      <c r="Q56" s="16"/>
      <c r="R56" s="16"/>
      <c r="S56" s="16"/>
      <c r="T56" s="88"/>
      <c r="Z56" s="88"/>
      <c r="AA56" s="88"/>
      <c r="AB56" s="16"/>
      <c r="AC56" s="16"/>
      <c r="AD56" s="21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  <c r="BK56" s="16"/>
      <c r="BL56" s="16"/>
      <c r="BM56" s="16"/>
      <c r="BN56" s="16"/>
      <c r="BO56" s="16"/>
      <c r="BP56" s="16"/>
      <c r="BQ56" s="16"/>
      <c r="BR56" s="16"/>
      <c r="BS56" s="16"/>
      <c r="BT56" s="16"/>
      <c r="BU56" s="16"/>
      <c r="BV56" s="16"/>
      <c r="BW56" s="16"/>
      <c r="BX56" s="16"/>
      <c r="BY56" s="16"/>
      <c r="BZ56" s="16"/>
      <c r="CA56" s="16"/>
      <c r="CB56" s="16"/>
      <c r="CC56" s="16"/>
      <c r="CD56" s="16"/>
      <c r="CE56" s="16"/>
      <c r="CF56" s="16"/>
      <c r="CG56" s="16"/>
      <c r="CH56" s="16"/>
      <c r="CI56" s="16"/>
      <c r="CJ56" s="16"/>
      <c r="CK56" s="16"/>
      <c r="CL56" s="16"/>
      <c r="CM56" s="16"/>
      <c r="CN56" s="16"/>
      <c r="CO56" s="16"/>
      <c r="CP56" s="16"/>
      <c r="CQ56" s="16"/>
      <c r="CR56" s="16"/>
      <c r="CS56" s="16"/>
      <c r="CT56" s="16"/>
      <c r="CU56" s="16"/>
      <c r="CV56" s="16"/>
      <c r="CW56" s="16"/>
      <c r="CX56" s="16"/>
      <c r="CY56" s="16"/>
      <c r="CZ56" s="16"/>
      <c r="DA56" s="16"/>
      <c r="DB56" s="16"/>
      <c r="DC56" s="16"/>
      <c r="DD56" s="16"/>
      <c r="DE56" s="16"/>
      <c r="DF56" s="16"/>
      <c r="DG56" s="16"/>
      <c r="DH56" s="16"/>
      <c r="DI56" s="16"/>
      <c r="DJ56" s="16"/>
      <c r="DK56" s="16"/>
      <c r="DL56" s="16"/>
      <c r="DM56" s="16"/>
      <c r="DN56" s="16"/>
      <c r="DO56" s="16"/>
      <c r="DP56" s="16"/>
      <c r="DQ56" s="16"/>
      <c r="DR56" s="16"/>
      <c r="DS56" s="16"/>
      <c r="DT56" s="16"/>
      <c r="DU56" s="16"/>
      <c r="DV56" s="16"/>
      <c r="DW56" s="16"/>
      <c r="DX56" s="16"/>
      <c r="DY56" s="16"/>
      <c r="DZ56" s="16"/>
      <c r="EA56" s="16"/>
      <c r="EB56" s="16"/>
      <c r="EC56" s="16"/>
      <c r="ED56" s="16"/>
      <c r="EE56" s="16"/>
    </row>
    <row r="57" spans="1:135" customFormat="1" x14ac:dyDescent="0.25">
      <c r="A57" s="228" t="s">
        <v>346</v>
      </c>
      <c r="B57" s="246" t="s">
        <v>63</v>
      </c>
      <c r="C57" s="142" t="str">
        <f t="shared" si="1"/>
        <v>OK</v>
      </c>
      <c r="D57" s="16"/>
      <c r="E57" s="17"/>
      <c r="F57" s="16"/>
      <c r="G57" s="16"/>
      <c r="H57" s="16"/>
      <c r="I57" s="262"/>
      <c r="J57" s="16"/>
      <c r="K57" s="16"/>
      <c r="L57" s="16"/>
      <c r="M57" s="16"/>
      <c r="O57" s="16"/>
      <c r="P57" s="16"/>
      <c r="Q57" s="16"/>
      <c r="R57" s="16"/>
      <c r="S57" s="16"/>
      <c r="T57" s="88"/>
      <c r="Z57" s="88"/>
      <c r="AA57" s="88"/>
      <c r="AB57" s="16"/>
      <c r="AC57" s="16"/>
      <c r="AD57" s="21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16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16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16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16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</row>
    <row r="58" spans="1:135" customFormat="1" x14ac:dyDescent="0.25">
      <c r="A58" s="263" t="s">
        <v>347</v>
      </c>
      <c r="B58" s="246" t="s">
        <v>63</v>
      </c>
      <c r="C58" s="142" t="str">
        <f t="shared" si="1"/>
        <v>OK</v>
      </c>
      <c r="D58" s="16"/>
      <c r="E58" s="17"/>
      <c r="F58" s="16"/>
      <c r="G58" s="16"/>
      <c r="H58" s="16"/>
      <c r="I58" s="262"/>
      <c r="J58" s="16"/>
      <c r="K58" s="16"/>
      <c r="L58" s="16"/>
      <c r="M58" s="16"/>
      <c r="O58" s="16"/>
      <c r="P58" s="16"/>
      <c r="Q58" s="16"/>
      <c r="R58" s="16"/>
      <c r="S58" s="16"/>
      <c r="AA58" s="88"/>
      <c r="AB58" s="16"/>
      <c r="AC58" s="16"/>
      <c r="AD58" s="21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16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16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16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16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</row>
    <row r="59" spans="1:135" customFormat="1" x14ac:dyDescent="0.25">
      <c r="A59" s="263" t="s">
        <v>348</v>
      </c>
      <c r="B59" s="246" t="s">
        <v>25</v>
      </c>
      <c r="C59" s="142" t="str">
        <f t="shared" si="1"/>
        <v>OK</v>
      </c>
      <c r="D59" s="16"/>
      <c r="E59" s="17"/>
      <c r="F59" s="16"/>
      <c r="G59" s="16"/>
      <c r="H59" s="16"/>
      <c r="I59" s="262"/>
      <c r="J59" s="16"/>
      <c r="K59" s="16"/>
      <c r="L59" s="16"/>
      <c r="M59" s="16"/>
      <c r="O59" s="16"/>
      <c r="P59" s="16"/>
      <c r="Q59" s="16"/>
      <c r="R59" s="16"/>
      <c r="S59" s="16"/>
      <c r="T59" s="88"/>
      <c r="Z59" s="88"/>
      <c r="AA59" s="88"/>
      <c r="AB59" s="16"/>
      <c r="AC59" s="16"/>
      <c r="AD59" s="21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16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16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16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</row>
    <row r="60" spans="1:135" customFormat="1" x14ac:dyDescent="0.25">
      <c r="A60" s="263" t="s">
        <v>349</v>
      </c>
      <c r="B60" s="246" t="s">
        <v>11</v>
      </c>
      <c r="C60" s="142" t="str">
        <f t="shared" si="1"/>
        <v>OK</v>
      </c>
      <c r="D60" s="16"/>
      <c r="E60" s="17"/>
      <c r="F60" s="16"/>
      <c r="G60" s="16"/>
      <c r="H60" s="16"/>
      <c r="I60" s="262"/>
      <c r="J60" s="16"/>
      <c r="K60" s="16"/>
      <c r="L60" s="16"/>
      <c r="M60" s="16"/>
      <c r="O60" s="16"/>
      <c r="P60" s="16"/>
      <c r="Q60" s="16"/>
      <c r="R60" s="16"/>
      <c r="S60" s="16"/>
      <c r="T60" s="88"/>
      <c r="Z60" s="88"/>
      <c r="AA60" s="88"/>
      <c r="AB60" s="16"/>
      <c r="AC60" s="16"/>
      <c r="AD60" s="21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16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16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16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</row>
    <row r="61" spans="1:135" customFormat="1" x14ac:dyDescent="0.25">
      <c r="A61" s="211" t="s">
        <v>89</v>
      </c>
      <c r="B61" s="246" t="s">
        <v>62</v>
      </c>
      <c r="C61" s="142" t="str">
        <f t="shared" si="1"/>
        <v>OK</v>
      </c>
      <c r="D61" s="16"/>
      <c r="E61" s="17"/>
      <c r="F61" s="16"/>
      <c r="G61" s="16"/>
      <c r="H61" s="16"/>
      <c r="I61" s="262"/>
      <c r="J61" s="16"/>
      <c r="K61" s="16"/>
      <c r="L61" s="16"/>
      <c r="M61" s="16"/>
      <c r="O61" s="16"/>
      <c r="P61" s="16"/>
      <c r="Q61" s="16"/>
      <c r="R61" s="16"/>
      <c r="S61" s="16"/>
      <c r="T61" s="88"/>
      <c r="Z61" s="88"/>
      <c r="AA61" s="88"/>
      <c r="AB61" s="16"/>
      <c r="AC61" s="16"/>
      <c r="AD61" s="21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16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16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16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16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</row>
    <row r="62" spans="1:135" customFormat="1" x14ac:dyDescent="0.25">
      <c r="A62" s="211" t="s">
        <v>92</v>
      </c>
      <c r="B62" s="246" t="s">
        <v>58</v>
      </c>
      <c r="C62" s="142" t="str">
        <f t="shared" si="1"/>
        <v>OK</v>
      </c>
      <c r="D62" s="16"/>
      <c r="E62" s="17"/>
      <c r="F62" s="16"/>
      <c r="G62" s="16"/>
      <c r="H62" s="16"/>
      <c r="I62" s="262"/>
      <c r="J62" s="16"/>
      <c r="K62" s="16"/>
      <c r="L62" s="16"/>
      <c r="M62" s="16"/>
      <c r="O62" s="16"/>
      <c r="P62" s="16"/>
      <c r="Q62" s="16"/>
      <c r="R62" s="16"/>
      <c r="S62" s="16"/>
      <c r="T62" s="88"/>
      <c r="U62" s="88"/>
      <c r="Z62" s="88"/>
      <c r="AA62" s="88"/>
      <c r="AB62" s="16"/>
      <c r="AC62" s="16"/>
      <c r="AD62" s="21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16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16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16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16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</row>
    <row r="63" spans="1:135" customFormat="1" x14ac:dyDescent="0.25">
      <c r="A63" s="211" t="s">
        <v>350</v>
      </c>
      <c r="B63" s="246" t="s">
        <v>2</v>
      </c>
      <c r="C63" s="142" t="str">
        <f t="shared" si="1"/>
        <v>OK</v>
      </c>
      <c r="D63" s="16"/>
      <c r="E63" s="17"/>
      <c r="F63" s="16"/>
      <c r="G63" s="16"/>
      <c r="H63" s="16"/>
      <c r="I63" s="262"/>
      <c r="J63" s="16"/>
      <c r="K63" s="16"/>
      <c r="L63" s="16"/>
      <c r="M63" s="16"/>
      <c r="O63" s="16"/>
      <c r="P63" s="16"/>
      <c r="Q63" s="16"/>
      <c r="R63" s="16"/>
      <c r="S63" s="16"/>
      <c r="T63" s="88"/>
      <c r="Z63" s="88"/>
      <c r="AA63" s="88"/>
      <c r="AB63" s="16"/>
      <c r="AC63" s="16"/>
      <c r="AD63" s="21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  <c r="BK63" s="16"/>
      <c r="BL63" s="16"/>
      <c r="BM63" s="16"/>
      <c r="BN63" s="16"/>
      <c r="BO63" s="16"/>
      <c r="BP63" s="16"/>
      <c r="BQ63" s="16"/>
      <c r="BR63" s="16"/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6"/>
      <c r="CE63" s="16"/>
      <c r="CF63" s="16"/>
      <c r="CG63" s="16"/>
      <c r="CH63" s="16"/>
      <c r="CI63" s="16"/>
      <c r="CJ63" s="16"/>
      <c r="CK63" s="16"/>
      <c r="CL63" s="16"/>
      <c r="CM63" s="16"/>
      <c r="CN63" s="16"/>
      <c r="CO63" s="16"/>
      <c r="CP63" s="16"/>
      <c r="CQ63" s="16"/>
      <c r="CR63" s="16"/>
      <c r="CS63" s="16"/>
      <c r="CT63" s="16"/>
      <c r="CU63" s="16"/>
      <c r="CV63" s="16"/>
      <c r="CW63" s="16"/>
      <c r="CX63" s="16"/>
      <c r="CY63" s="16"/>
      <c r="CZ63" s="16"/>
      <c r="DA63" s="16"/>
      <c r="DB63" s="16"/>
      <c r="DC63" s="16"/>
      <c r="DD63" s="16"/>
      <c r="DE63" s="16"/>
      <c r="DF63" s="16"/>
      <c r="DG63" s="16"/>
      <c r="DH63" s="16"/>
      <c r="DI63" s="16"/>
      <c r="DJ63" s="16"/>
      <c r="DK63" s="16"/>
      <c r="DL63" s="16"/>
      <c r="DM63" s="16"/>
      <c r="DN63" s="16"/>
      <c r="DO63" s="16"/>
      <c r="DP63" s="16"/>
      <c r="DQ63" s="16"/>
      <c r="DR63" s="16"/>
      <c r="DS63" s="16"/>
      <c r="DT63" s="16"/>
      <c r="DU63" s="16"/>
      <c r="DV63" s="16"/>
      <c r="DW63" s="16"/>
      <c r="DX63" s="16"/>
      <c r="DY63" s="16"/>
      <c r="DZ63" s="16"/>
      <c r="EA63" s="16"/>
      <c r="EB63" s="16"/>
      <c r="EC63" s="16"/>
      <c r="ED63" s="16"/>
      <c r="EE63" s="16"/>
    </row>
    <row r="64" spans="1:135" customFormat="1" x14ac:dyDescent="0.25">
      <c r="A64" s="211" t="s">
        <v>94</v>
      </c>
      <c r="B64" s="246" t="s">
        <v>63</v>
      </c>
      <c r="C64" s="142" t="str">
        <f t="shared" si="1"/>
        <v>OK</v>
      </c>
      <c r="D64" s="16"/>
      <c r="E64" s="17"/>
      <c r="F64" s="16"/>
      <c r="G64" s="16"/>
      <c r="H64" s="16"/>
      <c r="I64" s="262"/>
      <c r="J64" s="16"/>
      <c r="K64" s="16"/>
      <c r="L64" s="16"/>
      <c r="M64" s="16"/>
      <c r="O64" s="16"/>
      <c r="P64" s="16"/>
      <c r="Q64" s="16"/>
      <c r="R64" s="16"/>
      <c r="S64" s="16"/>
      <c r="AA64" s="88"/>
      <c r="AB64" s="16"/>
      <c r="AC64" s="16"/>
      <c r="AD64" s="21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  <c r="BK64" s="16"/>
      <c r="BL64" s="16"/>
      <c r="BM64" s="16"/>
      <c r="BN64" s="16"/>
      <c r="BO64" s="16"/>
      <c r="BP64" s="16"/>
      <c r="BQ64" s="16"/>
      <c r="BR64" s="16"/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6"/>
      <c r="CE64" s="16"/>
      <c r="CF64" s="16"/>
      <c r="CG64" s="16"/>
      <c r="CH64" s="16"/>
      <c r="CI64" s="16"/>
      <c r="CJ64" s="16"/>
      <c r="CK64" s="16"/>
      <c r="CL64" s="16"/>
      <c r="CM64" s="16"/>
      <c r="CN64" s="16"/>
      <c r="CO64" s="16"/>
      <c r="CP64" s="16"/>
      <c r="CQ64" s="16"/>
      <c r="CR64" s="16"/>
      <c r="CS64" s="16"/>
      <c r="CT64" s="16"/>
      <c r="CU64" s="16"/>
      <c r="CV64" s="16"/>
      <c r="CW64" s="16"/>
      <c r="CX64" s="16"/>
      <c r="CY64" s="16"/>
      <c r="CZ64" s="16"/>
      <c r="DA64" s="16"/>
      <c r="DB64" s="16"/>
      <c r="DC64" s="16"/>
      <c r="DD64" s="16"/>
      <c r="DE64" s="16"/>
      <c r="DF64" s="16"/>
      <c r="DG64" s="16"/>
      <c r="DH64" s="16"/>
      <c r="DI64" s="16"/>
      <c r="DJ64" s="16"/>
      <c r="DK64" s="16"/>
      <c r="DL64" s="16"/>
      <c r="DM64" s="16"/>
      <c r="DN64" s="16"/>
      <c r="DO64" s="16"/>
      <c r="DP64" s="16"/>
      <c r="DQ64" s="16"/>
      <c r="DR64" s="16"/>
      <c r="DS64" s="16"/>
      <c r="DT64" s="16"/>
      <c r="DU64" s="16"/>
      <c r="DV64" s="16"/>
      <c r="DW64" s="16"/>
      <c r="DX64" s="16"/>
      <c r="DY64" s="16"/>
      <c r="DZ64" s="16"/>
      <c r="EA64" s="16"/>
      <c r="EB64" s="16"/>
      <c r="EC64" s="16"/>
      <c r="ED64" s="16"/>
      <c r="EE64" s="16"/>
    </row>
    <row r="65" spans="1:135" customFormat="1" ht="17.25" x14ac:dyDescent="0.25">
      <c r="A65" s="264" t="s">
        <v>4</v>
      </c>
      <c r="B65" s="265" t="s">
        <v>3</v>
      </c>
      <c r="C65" s="142">
        <f t="shared" si="1"/>
        <v>0</v>
      </c>
      <c r="D65" s="16"/>
      <c r="E65" s="17"/>
      <c r="F65" s="16"/>
      <c r="G65" s="16"/>
      <c r="H65" s="16"/>
      <c r="I65" s="262"/>
      <c r="J65" s="16"/>
      <c r="K65" s="16"/>
      <c r="L65" s="16"/>
      <c r="M65" s="16"/>
      <c r="O65" s="16"/>
      <c r="P65" s="16"/>
      <c r="Q65" s="16"/>
      <c r="R65" s="16"/>
      <c r="S65" s="16"/>
      <c r="T65" s="88"/>
      <c r="Z65" s="88"/>
      <c r="AA65" s="88"/>
      <c r="AB65" s="16"/>
      <c r="AC65" s="16"/>
      <c r="AD65" s="21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</row>
    <row r="66" spans="1:135" customFormat="1" ht="17.25" x14ac:dyDescent="0.25">
      <c r="A66" s="264" t="s">
        <v>7</v>
      </c>
      <c r="B66" s="265" t="s">
        <v>6</v>
      </c>
      <c r="C66" s="142" t="str">
        <f t="shared" si="1"/>
        <v>OK</v>
      </c>
      <c r="D66" s="16"/>
      <c r="E66" s="17"/>
      <c r="F66" s="16"/>
      <c r="G66" s="16"/>
      <c r="H66" s="16"/>
      <c r="I66" s="262"/>
      <c r="J66" s="16"/>
      <c r="K66" s="16"/>
      <c r="L66" s="16"/>
      <c r="M66" s="16"/>
      <c r="O66" s="16"/>
      <c r="P66" s="16"/>
      <c r="Q66" s="16"/>
      <c r="R66" s="16"/>
      <c r="S66" s="16"/>
      <c r="T66" s="88"/>
      <c r="Z66" s="88"/>
      <c r="AA66" s="88"/>
      <c r="AB66" s="16"/>
      <c r="AC66" s="16"/>
      <c r="AD66" s="21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</row>
    <row r="67" spans="1:135" customFormat="1" ht="17.25" x14ac:dyDescent="0.25">
      <c r="A67" s="264" t="s">
        <v>10</v>
      </c>
      <c r="B67" s="265" t="s">
        <v>9</v>
      </c>
      <c r="C67" s="142" t="str">
        <f t="shared" si="1"/>
        <v>OK</v>
      </c>
      <c r="D67" s="16"/>
      <c r="E67" s="17"/>
      <c r="F67" s="16"/>
      <c r="G67" s="16"/>
      <c r="H67" s="16"/>
      <c r="I67" s="262"/>
      <c r="J67" s="16"/>
      <c r="K67" s="16"/>
      <c r="L67" s="16"/>
      <c r="M67" s="16"/>
      <c r="O67" s="16"/>
      <c r="P67" s="16"/>
      <c r="Q67" s="16"/>
      <c r="R67" s="16"/>
      <c r="S67" s="16"/>
      <c r="T67" s="88"/>
      <c r="W67" s="88"/>
      <c r="X67" s="88"/>
      <c r="Z67" s="88"/>
      <c r="AA67" s="88"/>
      <c r="AB67" s="16"/>
      <c r="AC67" s="16"/>
      <c r="AD67" s="21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</row>
    <row r="68" spans="1:135" customFormat="1" ht="17.25" x14ac:dyDescent="0.25">
      <c r="A68" s="264" t="s">
        <v>13</v>
      </c>
      <c r="B68" s="265" t="s">
        <v>12</v>
      </c>
      <c r="C68" s="142" t="str">
        <f t="shared" si="1"/>
        <v>OK</v>
      </c>
      <c r="D68" s="16"/>
      <c r="E68" s="17"/>
      <c r="F68" s="16"/>
      <c r="G68" s="16"/>
      <c r="H68" s="16"/>
      <c r="I68" s="262"/>
      <c r="J68" s="16"/>
      <c r="K68" s="16"/>
      <c r="L68" s="16"/>
      <c r="M68" s="16"/>
      <c r="O68" s="16"/>
      <c r="P68" s="16"/>
      <c r="Q68" s="16"/>
      <c r="R68" s="16"/>
      <c r="S68" s="16"/>
      <c r="T68" s="88"/>
      <c r="W68" s="88"/>
      <c r="X68" s="88"/>
      <c r="Z68" s="88"/>
      <c r="AA68" s="88"/>
      <c r="AB68" s="16"/>
      <c r="AC68" s="16"/>
      <c r="AD68" s="21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</row>
    <row r="69" spans="1:135" customFormat="1" ht="17.25" x14ac:dyDescent="0.25">
      <c r="A69" s="264" t="s">
        <v>321</v>
      </c>
      <c r="B69" s="265" t="s">
        <v>46</v>
      </c>
      <c r="C69" s="142" t="str">
        <f t="shared" si="1"/>
        <v>OK</v>
      </c>
      <c r="D69" s="16"/>
      <c r="E69" s="17"/>
      <c r="F69" s="16"/>
      <c r="G69" s="16"/>
      <c r="H69" s="16"/>
      <c r="I69" s="262"/>
      <c r="J69" s="16"/>
      <c r="K69" s="16"/>
      <c r="L69" s="16"/>
      <c r="M69" s="16"/>
      <c r="O69" s="16"/>
      <c r="P69" s="16"/>
      <c r="Q69" s="16"/>
      <c r="R69" s="16"/>
      <c r="S69" s="16"/>
      <c r="T69" s="88"/>
      <c r="U69" s="88"/>
      <c r="W69" s="88"/>
      <c r="X69" s="88"/>
      <c r="Z69" s="88"/>
      <c r="AA69" s="88"/>
      <c r="AB69" s="16"/>
      <c r="AC69" s="16"/>
      <c r="AD69" s="21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  <c r="BK69" s="16"/>
      <c r="BL69" s="16"/>
      <c r="BM69" s="16"/>
      <c r="BN69" s="16"/>
      <c r="BO69" s="16"/>
      <c r="BP69" s="16"/>
      <c r="BQ69" s="16"/>
      <c r="BR69" s="16"/>
      <c r="BS69" s="16"/>
      <c r="BT69" s="16"/>
      <c r="BU69" s="16"/>
      <c r="BV69" s="16"/>
      <c r="BW69" s="16"/>
      <c r="BX69" s="16"/>
      <c r="BY69" s="16"/>
      <c r="BZ69" s="16"/>
      <c r="CA69" s="16"/>
      <c r="CB69" s="16"/>
      <c r="CC69" s="16"/>
      <c r="CD69" s="16"/>
      <c r="CE69" s="16"/>
      <c r="CF69" s="16"/>
      <c r="CG69" s="16"/>
      <c r="CH69" s="16"/>
      <c r="CI69" s="16"/>
      <c r="CJ69" s="16"/>
      <c r="CK69" s="16"/>
      <c r="CL69" s="16"/>
      <c r="CM69" s="16"/>
      <c r="CN69" s="16"/>
      <c r="CO69" s="16"/>
      <c r="CP69" s="16"/>
      <c r="CQ69" s="16"/>
      <c r="CR69" s="16"/>
      <c r="CS69" s="16"/>
      <c r="CT69" s="16"/>
      <c r="CU69" s="16"/>
      <c r="CV69" s="16"/>
      <c r="CW69" s="16"/>
      <c r="CX69" s="16"/>
      <c r="CY69" s="16"/>
      <c r="CZ69" s="16"/>
      <c r="DA69" s="16"/>
      <c r="DB69" s="16"/>
      <c r="DC69" s="16"/>
      <c r="DD69" s="16"/>
      <c r="DE69" s="16"/>
      <c r="DF69" s="16"/>
      <c r="DG69" s="16"/>
      <c r="DH69" s="16"/>
      <c r="DI69" s="16"/>
      <c r="DJ69" s="16"/>
      <c r="DK69" s="16"/>
      <c r="DL69" s="16"/>
      <c r="DM69" s="16"/>
      <c r="DN69" s="16"/>
      <c r="DO69" s="16"/>
      <c r="DP69" s="16"/>
      <c r="DQ69" s="16"/>
      <c r="DR69" s="16"/>
      <c r="DS69" s="16"/>
      <c r="DT69" s="16"/>
      <c r="DU69" s="16"/>
      <c r="DV69" s="16"/>
      <c r="DW69" s="16"/>
      <c r="DX69" s="16"/>
      <c r="DY69" s="16"/>
      <c r="DZ69" s="16"/>
      <c r="EA69" s="16"/>
      <c r="EB69" s="16"/>
      <c r="EC69" s="16"/>
      <c r="ED69" s="16"/>
      <c r="EE69" s="16"/>
    </row>
    <row r="70" spans="1:135" customFormat="1" ht="17.25" x14ac:dyDescent="0.25">
      <c r="A70" s="264" t="s">
        <v>16</v>
      </c>
      <c r="B70" s="265" t="s">
        <v>15</v>
      </c>
      <c r="C70" s="142" t="str">
        <f t="shared" si="1"/>
        <v>OK</v>
      </c>
      <c r="D70" s="16"/>
      <c r="E70" s="17"/>
      <c r="F70" s="16"/>
      <c r="G70" s="16"/>
      <c r="H70" s="16"/>
      <c r="I70" s="262"/>
      <c r="J70" s="16"/>
      <c r="K70" s="16"/>
      <c r="L70" s="16"/>
      <c r="M70" s="16"/>
      <c r="O70" s="16"/>
      <c r="P70" s="16"/>
      <c r="Q70" s="16"/>
      <c r="R70" s="16"/>
      <c r="S70" s="16"/>
      <c r="T70" s="88"/>
      <c r="U70" s="88"/>
      <c r="W70" s="88"/>
      <c r="X70" s="88"/>
      <c r="Z70" s="88"/>
      <c r="AA70" s="88"/>
      <c r="AB70" s="16"/>
      <c r="AC70" s="16"/>
      <c r="AD70" s="21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  <c r="BK70" s="16"/>
      <c r="BL70" s="16"/>
      <c r="BM70" s="16"/>
      <c r="BN70" s="16"/>
      <c r="BO70" s="16"/>
      <c r="BP70" s="16"/>
      <c r="BQ70" s="16"/>
      <c r="BR70" s="16"/>
      <c r="BS70" s="16"/>
      <c r="BT70" s="16"/>
      <c r="BU70" s="16"/>
      <c r="BV70" s="16"/>
      <c r="BW70" s="16"/>
      <c r="BX70" s="16"/>
      <c r="BY70" s="16"/>
      <c r="BZ70" s="16"/>
      <c r="CA70" s="16"/>
      <c r="CB70" s="16"/>
      <c r="CC70" s="16"/>
      <c r="CD70" s="16"/>
      <c r="CE70" s="16"/>
      <c r="CF70" s="16"/>
      <c r="CG70" s="16"/>
      <c r="CH70" s="16"/>
      <c r="CI70" s="16"/>
      <c r="CJ70" s="16"/>
      <c r="CK70" s="16"/>
      <c r="CL70" s="16"/>
      <c r="CM70" s="16"/>
      <c r="CN70" s="16"/>
      <c r="CO70" s="16"/>
      <c r="CP70" s="16"/>
      <c r="CQ70" s="16"/>
      <c r="CR70" s="16"/>
      <c r="CS70" s="16"/>
      <c r="CT70" s="16"/>
      <c r="CU70" s="16"/>
      <c r="CV70" s="16"/>
      <c r="CW70" s="16"/>
      <c r="CX70" s="16"/>
      <c r="CY70" s="16"/>
      <c r="CZ70" s="16"/>
      <c r="DA70" s="16"/>
      <c r="DB70" s="16"/>
      <c r="DC70" s="16"/>
      <c r="DD70" s="16"/>
      <c r="DE70" s="16"/>
      <c r="DF70" s="16"/>
      <c r="DG70" s="16"/>
      <c r="DH70" s="16"/>
      <c r="DI70" s="16"/>
      <c r="DJ70" s="16"/>
      <c r="DK70" s="16"/>
      <c r="DL70" s="16"/>
      <c r="DM70" s="16"/>
      <c r="DN70" s="16"/>
      <c r="DO70" s="16"/>
      <c r="DP70" s="16"/>
      <c r="DQ70" s="16"/>
      <c r="DR70" s="16"/>
      <c r="DS70" s="16"/>
      <c r="DT70" s="16"/>
      <c r="DU70" s="16"/>
      <c r="DV70" s="16"/>
      <c r="DW70" s="16"/>
      <c r="DX70" s="16"/>
      <c r="DY70" s="16"/>
      <c r="DZ70" s="16"/>
      <c r="EA70" s="16"/>
      <c r="EB70" s="16"/>
      <c r="EC70" s="16"/>
      <c r="ED70" s="16"/>
      <c r="EE70" s="16"/>
    </row>
    <row r="71" spans="1:135" customFormat="1" ht="17.25" x14ac:dyDescent="0.25">
      <c r="A71" s="264" t="s">
        <v>19</v>
      </c>
      <c r="B71" s="265" t="s">
        <v>18</v>
      </c>
      <c r="C71" s="142" t="str">
        <f t="shared" si="1"/>
        <v>OK</v>
      </c>
      <c r="D71" s="16"/>
      <c r="E71" s="17"/>
      <c r="F71" s="16"/>
      <c r="G71" s="16"/>
      <c r="H71" s="16"/>
      <c r="I71" s="262"/>
      <c r="J71" s="16"/>
      <c r="K71" s="16"/>
      <c r="L71" s="16"/>
      <c r="M71" s="16"/>
      <c r="O71" s="16"/>
      <c r="P71" s="16"/>
      <c r="Q71" s="16"/>
      <c r="R71" s="16"/>
      <c r="S71" s="16"/>
      <c r="T71" s="88"/>
      <c r="U71" s="88"/>
      <c r="W71" s="88"/>
      <c r="X71" s="88"/>
      <c r="Z71" s="88"/>
      <c r="AA71" s="88"/>
      <c r="AB71" s="16"/>
      <c r="AC71" s="16"/>
      <c r="AD71" s="21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  <c r="BK71" s="16"/>
      <c r="BL71" s="16"/>
      <c r="BM71" s="16"/>
      <c r="BN71" s="16"/>
      <c r="BO71" s="16"/>
      <c r="BP71" s="16"/>
      <c r="BQ71" s="16"/>
      <c r="BR71" s="16"/>
      <c r="BS71" s="16"/>
      <c r="BT71" s="16"/>
      <c r="BU71" s="16"/>
      <c r="BV71" s="16"/>
      <c r="BW71" s="16"/>
      <c r="BX71" s="16"/>
      <c r="BY71" s="16"/>
      <c r="BZ71" s="16"/>
      <c r="CA71" s="16"/>
      <c r="CB71" s="16"/>
      <c r="CC71" s="16"/>
      <c r="CD71" s="16"/>
      <c r="CE71" s="16"/>
      <c r="CF71" s="16"/>
      <c r="CG71" s="16"/>
      <c r="CH71" s="16"/>
      <c r="CI71" s="16"/>
      <c r="CJ71" s="16"/>
      <c r="CK71" s="16"/>
      <c r="CL71" s="16"/>
      <c r="CM71" s="16"/>
      <c r="CN71" s="16"/>
      <c r="CO71" s="16"/>
      <c r="CP71" s="16"/>
      <c r="CQ71" s="16"/>
      <c r="CR71" s="16"/>
      <c r="CS71" s="16"/>
      <c r="CT71" s="16"/>
      <c r="CU71" s="16"/>
      <c r="CV71" s="16"/>
      <c r="CW71" s="16"/>
      <c r="CX71" s="16"/>
      <c r="CY71" s="16"/>
      <c r="CZ71" s="16"/>
      <c r="DA71" s="16"/>
      <c r="DB71" s="16"/>
      <c r="DC71" s="16"/>
      <c r="DD71" s="16"/>
      <c r="DE71" s="16"/>
      <c r="DF71" s="16"/>
      <c r="DG71" s="16"/>
      <c r="DH71" s="16"/>
      <c r="DI71" s="16"/>
      <c r="DJ71" s="16"/>
      <c r="DK71" s="16"/>
      <c r="DL71" s="16"/>
      <c r="DM71" s="16"/>
      <c r="DN71" s="16"/>
      <c r="DO71" s="16"/>
      <c r="DP71" s="16"/>
      <c r="DQ71" s="16"/>
      <c r="DR71" s="16"/>
      <c r="DS71" s="16"/>
      <c r="DT71" s="16"/>
      <c r="DU71" s="16"/>
      <c r="DV71" s="16"/>
      <c r="DW71" s="16"/>
      <c r="DX71" s="16"/>
      <c r="DY71" s="16"/>
      <c r="DZ71" s="16"/>
      <c r="EA71" s="16"/>
      <c r="EB71" s="16"/>
      <c r="EC71" s="16"/>
      <c r="ED71" s="16"/>
      <c r="EE71" s="16"/>
    </row>
    <row r="72" spans="1:135" customFormat="1" ht="17.25" x14ac:dyDescent="0.25">
      <c r="A72" s="264" t="s">
        <v>21</v>
      </c>
      <c r="B72" s="265" t="s">
        <v>5</v>
      </c>
      <c r="C72" s="142" t="str">
        <f t="shared" si="1"/>
        <v>OK</v>
      </c>
      <c r="D72" s="16"/>
      <c r="E72" s="17"/>
      <c r="F72" s="16"/>
      <c r="G72" s="16"/>
      <c r="H72" s="16"/>
      <c r="I72" s="262"/>
      <c r="J72" s="16"/>
      <c r="K72" s="16"/>
      <c r="L72" s="16"/>
      <c r="M72" s="16"/>
      <c r="O72" s="16"/>
      <c r="P72" s="16"/>
      <c r="Q72" s="16"/>
      <c r="R72" s="16"/>
      <c r="S72" s="16"/>
      <c r="T72" s="88"/>
      <c r="U72" s="88"/>
      <c r="W72" s="88"/>
      <c r="X72" s="88"/>
      <c r="Z72" s="88"/>
      <c r="AA72" s="88"/>
      <c r="AB72" s="16"/>
      <c r="AC72" s="16"/>
      <c r="AD72" s="21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  <c r="BK72" s="16"/>
      <c r="BL72" s="16"/>
      <c r="BM72" s="16"/>
      <c r="BN72" s="16"/>
      <c r="BO72" s="16"/>
      <c r="BP72" s="16"/>
      <c r="BQ72" s="16"/>
      <c r="BR72" s="16"/>
      <c r="BS72" s="16"/>
      <c r="BT72" s="16"/>
      <c r="BU72" s="16"/>
      <c r="BV72" s="16"/>
      <c r="BW72" s="16"/>
      <c r="BX72" s="16"/>
      <c r="BY72" s="16"/>
      <c r="BZ72" s="16"/>
      <c r="CA72" s="16"/>
      <c r="CB72" s="16"/>
      <c r="CC72" s="16"/>
      <c r="CD72" s="16"/>
      <c r="CE72" s="16"/>
      <c r="CF72" s="16"/>
      <c r="CG72" s="16"/>
      <c r="CH72" s="16"/>
      <c r="CI72" s="16"/>
      <c r="CJ72" s="16"/>
      <c r="CK72" s="16"/>
      <c r="CL72" s="16"/>
      <c r="CM72" s="16"/>
      <c r="CN72" s="16"/>
      <c r="CO72" s="16"/>
      <c r="CP72" s="16"/>
      <c r="CQ72" s="16"/>
      <c r="CR72" s="16"/>
      <c r="CS72" s="16"/>
      <c r="CT72" s="16"/>
      <c r="CU72" s="16"/>
      <c r="CV72" s="16"/>
      <c r="CW72" s="16"/>
      <c r="CX72" s="16"/>
      <c r="CY72" s="16"/>
      <c r="CZ72" s="16"/>
      <c r="DA72" s="16"/>
      <c r="DB72" s="16"/>
      <c r="DC72" s="16"/>
      <c r="DD72" s="16"/>
      <c r="DE72" s="16"/>
      <c r="DF72" s="16"/>
      <c r="DG72" s="16"/>
      <c r="DH72" s="16"/>
      <c r="DI72" s="16"/>
      <c r="DJ72" s="16"/>
      <c r="DK72" s="16"/>
      <c r="DL72" s="16"/>
      <c r="DM72" s="16"/>
      <c r="DN72" s="16"/>
      <c r="DO72" s="16"/>
      <c r="DP72" s="16"/>
      <c r="DQ72" s="16"/>
      <c r="DR72" s="16"/>
      <c r="DS72" s="16"/>
      <c r="DT72" s="16"/>
      <c r="DU72" s="16"/>
      <c r="DV72" s="16"/>
      <c r="DW72" s="16"/>
      <c r="DX72" s="16"/>
      <c r="DY72" s="16"/>
      <c r="DZ72" s="16"/>
      <c r="EA72" s="16"/>
      <c r="EB72" s="16"/>
      <c r="EC72" s="16"/>
      <c r="ED72" s="16"/>
      <c r="EE72" s="16"/>
    </row>
    <row r="73" spans="1:135" customFormat="1" ht="17.25" x14ac:dyDescent="0.25">
      <c r="A73" s="264" t="s">
        <v>24</v>
      </c>
      <c r="B73" s="265" t="s">
        <v>23</v>
      </c>
      <c r="C73" s="142" t="str">
        <f t="shared" si="1"/>
        <v>OK</v>
      </c>
      <c r="D73" s="16"/>
      <c r="E73" s="17"/>
      <c r="F73" s="16"/>
      <c r="G73" s="16"/>
      <c r="H73" s="16"/>
      <c r="I73" s="262"/>
      <c r="J73" s="16"/>
      <c r="K73" s="16"/>
      <c r="L73" s="16"/>
      <c r="M73" s="16"/>
      <c r="O73" s="16"/>
      <c r="P73" s="16"/>
      <c r="Q73" s="16" t="b">
        <v>1</v>
      </c>
      <c r="R73" s="16"/>
      <c r="S73" s="16"/>
      <c r="T73" s="88"/>
      <c r="Z73" s="88"/>
      <c r="AA73" s="88"/>
      <c r="AB73" s="16"/>
      <c r="AC73" s="16"/>
      <c r="AD73" s="21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  <c r="BK73" s="16"/>
      <c r="BL73" s="16"/>
      <c r="BM73" s="16"/>
      <c r="BN73" s="16"/>
      <c r="BO73" s="16"/>
      <c r="BP73" s="16"/>
      <c r="BQ73" s="16"/>
      <c r="BR73" s="16"/>
      <c r="BS73" s="16"/>
      <c r="BT73" s="16"/>
      <c r="BU73" s="16"/>
      <c r="BV73" s="16"/>
      <c r="BW73" s="16"/>
      <c r="BX73" s="16"/>
      <c r="BY73" s="16"/>
      <c r="BZ73" s="16"/>
      <c r="CA73" s="16"/>
      <c r="CB73" s="16"/>
      <c r="CC73" s="16"/>
      <c r="CD73" s="16"/>
      <c r="CE73" s="16"/>
      <c r="CF73" s="16"/>
      <c r="CG73" s="16"/>
      <c r="CH73" s="16"/>
      <c r="CI73" s="16"/>
      <c r="CJ73" s="16"/>
      <c r="CK73" s="16"/>
      <c r="CL73" s="16"/>
      <c r="CM73" s="16"/>
      <c r="CN73" s="16"/>
      <c r="CO73" s="16"/>
      <c r="CP73" s="16"/>
      <c r="CQ73" s="16"/>
      <c r="CR73" s="16"/>
      <c r="CS73" s="16"/>
      <c r="CT73" s="16"/>
      <c r="CU73" s="16"/>
      <c r="CV73" s="16"/>
      <c r="CW73" s="16"/>
      <c r="CX73" s="16"/>
      <c r="CY73" s="16"/>
      <c r="CZ73" s="16"/>
      <c r="DA73" s="16"/>
      <c r="DB73" s="16"/>
      <c r="DC73" s="16"/>
      <c r="DD73" s="16"/>
      <c r="DE73" s="16"/>
      <c r="DF73" s="16"/>
      <c r="DG73" s="16"/>
      <c r="DH73" s="16"/>
      <c r="DI73" s="16"/>
      <c r="DJ73" s="16"/>
      <c r="DK73" s="16"/>
      <c r="DL73" s="16"/>
      <c r="DM73" s="16"/>
      <c r="DN73" s="16"/>
      <c r="DO73" s="16"/>
      <c r="DP73" s="16"/>
      <c r="DQ73" s="16"/>
      <c r="DR73" s="16"/>
      <c r="DS73" s="16"/>
      <c r="DT73" s="16"/>
      <c r="DU73" s="16"/>
      <c r="DV73" s="16"/>
      <c r="DW73" s="16"/>
      <c r="DX73" s="16"/>
      <c r="DY73" s="16"/>
      <c r="DZ73" s="16"/>
      <c r="EA73" s="16"/>
      <c r="EB73" s="16"/>
      <c r="EC73" s="16"/>
      <c r="ED73" s="16"/>
      <c r="EE73" s="16"/>
    </row>
    <row r="74" spans="1:135" customFormat="1" ht="17.25" x14ac:dyDescent="0.25">
      <c r="A74" s="264" t="s">
        <v>27</v>
      </c>
      <c r="B74" s="265" t="s">
        <v>26</v>
      </c>
      <c r="C74" s="142" t="str">
        <f t="shared" si="1"/>
        <v>OK</v>
      </c>
      <c r="D74" s="16"/>
      <c r="E74" s="17"/>
      <c r="F74" s="16"/>
      <c r="G74" s="16"/>
      <c r="H74" s="16"/>
      <c r="I74" s="262"/>
      <c r="J74" s="16"/>
      <c r="K74" s="16"/>
      <c r="L74" s="16"/>
      <c r="M74" s="16"/>
      <c r="O74" s="16"/>
      <c r="P74" s="16"/>
      <c r="Q74" s="16" t="b">
        <v>1</v>
      </c>
      <c r="R74" s="16"/>
      <c r="S74" s="16"/>
      <c r="T74" s="88"/>
      <c r="Z74" s="88"/>
      <c r="AA74" s="88"/>
      <c r="AB74" s="16"/>
      <c r="AC74" s="16"/>
      <c r="AD74" s="21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  <c r="BK74" s="16"/>
      <c r="BL74" s="16"/>
      <c r="BM74" s="16"/>
      <c r="BN74" s="16"/>
      <c r="BO74" s="16"/>
      <c r="BP74" s="16"/>
      <c r="BQ74" s="16"/>
      <c r="BR74" s="16"/>
      <c r="BS74" s="16"/>
      <c r="BT74" s="16"/>
      <c r="BU74" s="16"/>
      <c r="BV74" s="16"/>
      <c r="BW74" s="16"/>
      <c r="BX74" s="16"/>
      <c r="BY74" s="16"/>
      <c r="BZ74" s="16"/>
      <c r="CA74" s="16"/>
      <c r="CB74" s="16"/>
      <c r="CC74" s="16"/>
      <c r="CD74" s="16"/>
      <c r="CE74" s="16"/>
      <c r="CF74" s="16"/>
      <c r="CG74" s="16"/>
      <c r="CH74" s="16"/>
      <c r="CI74" s="16"/>
      <c r="CJ74" s="16"/>
      <c r="CK74" s="16"/>
      <c r="CL74" s="16"/>
      <c r="CM74" s="16"/>
      <c r="CN74" s="16"/>
      <c r="CO74" s="16"/>
      <c r="CP74" s="16"/>
      <c r="CQ74" s="16"/>
      <c r="CR74" s="16"/>
      <c r="CS74" s="16"/>
      <c r="CT74" s="16"/>
      <c r="CU74" s="16"/>
      <c r="CV74" s="16"/>
      <c r="CW74" s="16"/>
      <c r="CX74" s="16"/>
      <c r="CY74" s="16"/>
      <c r="CZ74" s="16"/>
      <c r="DA74" s="16"/>
      <c r="DB74" s="16"/>
      <c r="DC74" s="16"/>
      <c r="DD74" s="16"/>
      <c r="DE74" s="16"/>
      <c r="DF74" s="16"/>
      <c r="DG74" s="16"/>
      <c r="DH74" s="16"/>
      <c r="DI74" s="16"/>
      <c r="DJ74" s="16"/>
      <c r="DK74" s="16"/>
      <c r="DL74" s="16"/>
      <c r="DM74" s="16"/>
      <c r="DN74" s="16"/>
      <c r="DO74" s="16"/>
      <c r="DP74" s="16"/>
      <c r="DQ74" s="16"/>
      <c r="DR74" s="16"/>
      <c r="DS74" s="16"/>
      <c r="DT74" s="16"/>
      <c r="DU74" s="16"/>
      <c r="DV74" s="16"/>
      <c r="DW74" s="16"/>
      <c r="DX74" s="16"/>
      <c r="DY74" s="16"/>
      <c r="DZ74" s="16"/>
      <c r="EA74" s="16"/>
      <c r="EB74" s="16"/>
      <c r="EC74" s="16"/>
      <c r="ED74" s="16"/>
      <c r="EE74" s="16"/>
    </row>
    <row r="75" spans="1:135" customFormat="1" ht="17.25" x14ac:dyDescent="0.25">
      <c r="A75" s="264" t="s">
        <v>30</v>
      </c>
      <c r="B75" s="265" t="s">
        <v>29</v>
      </c>
      <c r="C75" s="142" t="str">
        <f t="shared" si="1"/>
        <v>OK</v>
      </c>
      <c r="D75" s="16"/>
      <c r="E75" s="17"/>
      <c r="F75" s="16"/>
      <c r="G75" s="16"/>
      <c r="H75" s="16"/>
      <c r="I75" s="262"/>
      <c r="J75" s="16"/>
      <c r="K75" s="16"/>
      <c r="L75" s="16"/>
      <c r="M75" s="16"/>
      <c r="O75" s="16"/>
      <c r="P75" s="16"/>
      <c r="Q75" s="16" t="b">
        <v>1</v>
      </c>
      <c r="R75" s="16"/>
      <c r="S75" s="16"/>
      <c r="T75" s="88"/>
      <c r="Z75" s="88"/>
      <c r="AA75" s="88"/>
      <c r="AB75" s="16"/>
      <c r="AC75" s="16"/>
      <c r="AD75" s="21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16"/>
    </row>
    <row r="76" spans="1:135" customFormat="1" ht="17.25" x14ac:dyDescent="0.25">
      <c r="A76" s="264" t="s">
        <v>32</v>
      </c>
      <c r="B76" s="265" t="s">
        <v>8</v>
      </c>
      <c r="C76" s="142" t="str">
        <f t="shared" si="1"/>
        <v>OK</v>
      </c>
      <c r="D76" s="16"/>
      <c r="E76" s="17"/>
      <c r="F76" s="16"/>
      <c r="G76" s="16"/>
      <c r="H76" s="16"/>
      <c r="I76" s="262"/>
      <c r="J76" s="16"/>
      <c r="K76" s="16"/>
      <c r="L76" s="16"/>
      <c r="M76" s="16"/>
      <c r="O76" s="16"/>
      <c r="P76" s="16"/>
      <c r="Q76" s="16" t="b">
        <v>0</v>
      </c>
      <c r="R76" s="16"/>
      <c r="S76" s="16"/>
      <c r="T76" s="88"/>
      <c r="Z76" s="88"/>
      <c r="AA76" s="88"/>
      <c r="AB76" s="16"/>
      <c r="AC76" s="16"/>
      <c r="AD76" s="21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  <c r="BK76" s="16"/>
      <c r="BL76" s="16"/>
      <c r="BM76" s="16"/>
      <c r="BN76" s="16"/>
      <c r="BO76" s="16"/>
      <c r="BP76" s="16"/>
      <c r="BQ76" s="16"/>
      <c r="BR76" s="16"/>
      <c r="BS76" s="16"/>
      <c r="BT76" s="16"/>
      <c r="BU76" s="16"/>
      <c r="BV76" s="16"/>
      <c r="BW76" s="16"/>
      <c r="BX76" s="16"/>
      <c r="BY76" s="16"/>
      <c r="BZ76" s="16"/>
      <c r="CA76" s="16"/>
      <c r="CB76" s="16"/>
      <c r="CC76" s="16"/>
      <c r="CD76" s="16"/>
      <c r="CE76" s="16"/>
      <c r="CF76" s="16"/>
      <c r="CG76" s="16"/>
      <c r="CH76" s="16"/>
      <c r="CI76" s="16"/>
      <c r="CJ76" s="16"/>
      <c r="CK76" s="16"/>
      <c r="CL76" s="16"/>
      <c r="CM76" s="16"/>
      <c r="CN76" s="16"/>
      <c r="CO76" s="16"/>
      <c r="CP76" s="16"/>
      <c r="CQ76" s="16"/>
      <c r="CR76" s="16"/>
      <c r="CS76" s="16"/>
      <c r="CT76" s="16"/>
      <c r="CU76" s="16"/>
      <c r="CV76" s="16"/>
      <c r="CW76" s="16"/>
      <c r="CX76" s="16"/>
      <c r="CY76" s="16"/>
      <c r="CZ76" s="16"/>
      <c r="DA76" s="16"/>
      <c r="DB76" s="16"/>
      <c r="DC76" s="16"/>
      <c r="DD76" s="16"/>
      <c r="DE76" s="16"/>
      <c r="DF76" s="16"/>
      <c r="DG76" s="16"/>
      <c r="DH76" s="16"/>
      <c r="DI76" s="16"/>
      <c r="DJ76" s="16"/>
      <c r="DK76" s="16"/>
      <c r="DL76" s="16"/>
      <c r="DM76" s="16"/>
      <c r="DN76" s="16"/>
      <c r="DO76" s="16"/>
      <c r="DP76" s="16"/>
      <c r="DQ76" s="16"/>
      <c r="DR76" s="16"/>
      <c r="DS76" s="16"/>
      <c r="DT76" s="16"/>
      <c r="DU76" s="16"/>
      <c r="DV76" s="16"/>
      <c r="DW76" s="16"/>
      <c r="DX76" s="16"/>
      <c r="DY76" s="16"/>
      <c r="DZ76" s="16"/>
      <c r="EA76" s="16"/>
      <c r="EB76" s="16"/>
      <c r="EC76" s="16"/>
      <c r="ED76" s="16"/>
      <c r="EE76" s="16"/>
    </row>
    <row r="77" spans="1:135" customFormat="1" ht="17.25" x14ac:dyDescent="0.25">
      <c r="A77" s="264" t="s">
        <v>34</v>
      </c>
      <c r="B77" s="265" t="s">
        <v>14</v>
      </c>
      <c r="C77" s="142" t="str">
        <f t="shared" ref="C77:C119" si="2">+IFERROR(IF(B77="","",(VLOOKUP(B77,$F$2:$H$55,3,0))),"State Wrong")</f>
        <v>OK</v>
      </c>
      <c r="D77" s="16"/>
      <c r="E77" s="17"/>
      <c r="F77" s="16"/>
      <c r="G77" s="16"/>
      <c r="H77" s="16"/>
      <c r="I77" s="262"/>
      <c r="J77" s="16"/>
      <c r="K77" s="16"/>
      <c r="L77" s="16"/>
      <c r="M77" s="16"/>
      <c r="O77" s="16"/>
      <c r="P77" s="16"/>
      <c r="Q77" s="16" t="b">
        <v>1</v>
      </c>
      <c r="R77" s="16"/>
      <c r="S77" s="16"/>
      <c r="T77" s="88"/>
      <c r="U77" s="385"/>
      <c r="W77" s="88"/>
      <c r="X77" s="88"/>
      <c r="Z77" s="88"/>
      <c r="AA77" s="88"/>
      <c r="AB77" s="16"/>
      <c r="AC77" s="16"/>
      <c r="AD77" s="21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  <c r="BK77" s="16"/>
      <c r="BL77" s="16"/>
      <c r="BM77" s="16"/>
      <c r="BN77" s="16"/>
      <c r="BO77" s="16"/>
      <c r="BP77" s="16"/>
      <c r="BQ77" s="16"/>
      <c r="BR77" s="16"/>
      <c r="BS77" s="16"/>
      <c r="BT77" s="16"/>
      <c r="BU77" s="16"/>
      <c r="BV77" s="16"/>
      <c r="BW77" s="16"/>
      <c r="BX77" s="16"/>
      <c r="BY77" s="16"/>
      <c r="BZ77" s="16"/>
      <c r="CA77" s="16"/>
      <c r="CB77" s="16"/>
      <c r="CC77" s="16"/>
      <c r="CD77" s="16"/>
      <c r="CE77" s="16"/>
      <c r="CF77" s="16"/>
      <c r="CG77" s="16"/>
      <c r="CH77" s="16"/>
      <c r="CI77" s="16"/>
      <c r="CJ77" s="16"/>
      <c r="CK77" s="16"/>
      <c r="CL77" s="16"/>
      <c r="CM77" s="16"/>
      <c r="CN77" s="16"/>
      <c r="CO77" s="16"/>
      <c r="CP77" s="16"/>
      <c r="CQ77" s="16"/>
      <c r="CR77" s="16"/>
      <c r="CS77" s="16"/>
      <c r="CT77" s="16"/>
      <c r="CU77" s="16"/>
      <c r="CV77" s="16"/>
      <c r="CW77" s="16"/>
      <c r="CX77" s="16"/>
      <c r="CY77" s="16"/>
      <c r="CZ77" s="16"/>
      <c r="DA77" s="16"/>
      <c r="DB77" s="16"/>
      <c r="DC77" s="16"/>
      <c r="DD77" s="16"/>
      <c r="DE77" s="16"/>
      <c r="DF77" s="16"/>
      <c r="DG77" s="16"/>
      <c r="DH77" s="16"/>
      <c r="DI77" s="16"/>
      <c r="DJ77" s="16"/>
      <c r="DK77" s="16"/>
      <c r="DL77" s="16"/>
      <c r="DM77" s="16"/>
      <c r="DN77" s="16"/>
      <c r="DO77" s="16"/>
      <c r="DP77" s="16"/>
      <c r="DQ77" s="16"/>
      <c r="DR77" s="16"/>
      <c r="DS77" s="16"/>
      <c r="DT77" s="16"/>
      <c r="DU77" s="16"/>
      <c r="DV77" s="16"/>
      <c r="DW77" s="16"/>
      <c r="DX77" s="16"/>
      <c r="DY77" s="16"/>
      <c r="DZ77" s="16"/>
      <c r="EA77" s="16"/>
      <c r="EB77" s="16"/>
      <c r="EC77" s="16"/>
      <c r="ED77" s="16"/>
      <c r="EE77" s="16"/>
    </row>
    <row r="78" spans="1:135" customFormat="1" ht="17.25" x14ac:dyDescent="0.25">
      <c r="A78" s="264" t="s">
        <v>35</v>
      </c>
      <c r="B78" s="265" t="s">
        <v>11</v>
      </c>
      <c r="C78" s="142" t="str">
        <f t="shared" si="2"/>
        <v>OK</v>
      </c>
      <c r="D78" s="16"/>
      <c r="E78" s="17"/>
      <c r="F78" s="16"/>
      <c r="G78" s="16"/>
      <c r="H78" s="16"/>
      <c r="I78" s="262"/>
      <c r="J78" s="16"/>
      <c r="K78" s="16"/>
      <c r="L78" s="16"/>
      <c r="M78" s="16"/>
      <c r="O78" s="16"/>
      <c r="P78" s="16"/>
      <c r="Q78" s="16" t="b">
        <v>1</v>
      </c>
      <c r="R78" s="16"/>
      <c r="S78" s="16"/>
      <c r="T78" s="88"/>
      <c r="Z78" s="88"/>
      <c r="AA78" s="88"/>
      <c r="AB78" s="16"/>
      <c r="AC78" s="16"/>
      <c r="AD78" s="21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  <c r="BK78" s="16"/>
      <c r="BL78" s="16"/>
      <c r="BM78" s="16"/>
      <c r="BN78" s="16"/>
      <c r="BO78" s="16"/>
      <c r="BP78" s="16"/>
      <c r="BQ78" s="16"/>
      <c r="BR78" s="16"/>
      <c r="BS78" s="16"/>
      <c r="BT78" s="16"/>
      <c r="BU78" s="16"/>
      <c r="BV78" s="16"/>
      <c r="BW78" s="16"/>
      <c r="BX78" s="16"/>
      <c r="BY78" s="16"/>
      <c r="BZ78" s="16"/>
      <c r="CA78" s="16"/>
      <c r="CB78" s="16"/>
      <c r="CC78" s="16"/>
      <c r="CD78" s="16"/>
      <c r="CE78" s="16"/>
      <c r="CF78" s="16"/>
      <c r="CG78" s="16"/>
      <c r="CH78" s="16"/>
      <c r="CI78" s="16"/>
      <c r="CJ78" s="16"/>
      <c r="CK78" s="16"/>
      <c r="CL78" s="16"/>
      <c r="CM78" s="16"/>
      <c r="CN78" s="16"/>
      <c r="CO78" s="16"/>
      <c r="CP78" s="16"/>
      <c r="CQ78" s="16"/>
      <c r="CR78" s="16"/>
      <c r="CS78" s="16"/>
      <c r="CT78" s="16"/>
      <c r="CU78" s="16"/>
      <c r="CV78" s="16"/>
      <c r="CW78" s="16"/>
      <c r="CX78" s="16"/>
      <c r="CY78" s="16"/>
      <c r="CZ78" s="16"/>
      <c r="DA78" s="16"/>
      <c r="DB78" s="16"/>
      <c r="DC78" s="16"/>
      <c r="DD78" s="16"/>
      <c r="DE78" s="16"/>
      <c r="DF78" s="16"/>
      <c r="DG78" s="16"/>
      <c r="DH78" s="16"/>
      <c r="DI78" s="16"/>
      <c r="DJ78" s="16"/>
      <c r="DK78" s="16"/>
      <c r="DL78" s="16"/>
      <c r="DM78" s="16"/>
      <c r="DN78" s="16"/>
      <c r="DO78" s="16"/>
      <c r="DP78" s="16"/>
      <c r="DQ78" s="16"/>
      <c r="DR78" s="16"/>
      <c r="DS78" s="16"/>
      <c r="DT78" s="16"/>
      <c r="DU78" s="16"/>
      <c r="DV78" s="16"/>
      <c r="DW78" s="16"/>
      <c r="DX78" s="16"/>
      <c r="DY78" s="16"/>
      <c r="DZ78" s="16"/>
      <c r="EA78" s="16"/>
      <c r="EB78" s="16"/>
      <c r="EC78" s="16"/>
      <c r="ED78" s="16"/>
      <c r="EE78" s="16"/>
    </row>
    <row r="79" spans="1:135" customFormat="1" ht="17.25" x14ac:dyDescent="0.25">
      <c r="A79" s="264" t="s">
        <v>323</v>
      </c>
      <c r="B79" s="265" t="s">
        <v>322</v>
      </c>
      <c r="C79" s="142" t="str">
        <f t="shared" si="2"/>
        <v>OK</v>
      </c>
      <c r="D79" s="16"/>
      <c r="E79" s="17"/>
      <c r="F79" s="16"/>
      <c r="G79" s="16"/>
      <c r="H79" s="16"/>
      <c r="I79" s="262"/>
      <c r="J79" s="16"/>
      <c r="K79" s="16"/>
      <c r="L79" s="16"/>
      <c r="M79" s="16"/>
      <c r="O79" s="16"/>
      <c r="P79" s="16"/>
      <c r="Q79" s="16" t="b">
        <v>0</v>
      </c>
      <c r="R79" s="16"/>
      <c r="S79" s="16"/>
      <c r="T79" s="88"/>
      <c r="Z79" s="88"/>
      <c r="AA79" s="88"/>
      <c r="AB79" s="16"/>
      <c r="AC79" s="16"/>
      <c r="AD79" s="21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  <c r="BK79" s="16"/>
      <c r="BL79" s="16"/>
      <c r="BM79" s="16"/>
      <c r="BN79" s="16"/>
      <c r="BO79" s="16"/>
      <c r="BP79" s="16"/>
      <c r="BQ79" s="16"/>
      <c r="BR79" s="16"/>
      <c r="BS79" s="16"/>
      <c r="BT79" s="16"/>
      <c r="BU79" s="16"/>
      <c r="BV79" s="16"/>
      <c r="BW79" s="16"/>
      <c r="BX79" s="16"/>
      <c r="BY79" s="16"/>
      <c r="BZ79" s="16"/>
      <c r="CA79" s="16"/>
      <c r="CB79" s="16"/>
      <c r="CC79" s="16"/>
      <c r="CD79" s="16"/>
      <c r="CE79" s="16"/>
      <c r="CF79" s="16"/>
      <c r="CG79" s="16"/>
      <c r="CH79" s="16"/>
      <c r="CI79" s="16"/>
      <c r="CJ79" s="16"/>
      <c r="CK79" s="16"/>
      <c r="CL79" s="16"/>
      <c r="CM79" s="16"/>
      <c r="CN79" s="16"/>
      <c r="CO79" s="16"/>
      <c r="CP79" s="16"/>
      <c r="CQ79" s="16"/>
      <c r="CR79" s="16"/>
      <c r="CS79" s="16"/>
      <c r="CT79" s="16"/>
      <c r="CU79" s="16"/>
      <c r="CV79" s="16"/>
      <c r="CW79" s="16"/>
      <c r="CX79" s="16"/>
      <c r="CY79" s="16"/>
      <c r="CZ79" s="16"/>
      <c r="DA79" s="16"/>
      <c r="DB79" s="16"/>
      <c r="DC79" s="16"/>
      <c r="DD79" s="16"/>
      <c r="DE79" s="16"/>
      <c r="DF79" s="16"/>
      <c r="DG79" s="16"/>
      <c r="DH79" s="16"/>
      <c r="DI79" s="16"/>
      <c r="DJ79" s="16"/>
      <c r="DK79" s="16"/>
      <c r="DL79" s="16"/>
      <c r="DM79" s="16"/>
      <c r="DN79" s="16"/>
      <c r="DO79" s="16"/>
      <c r="DP79" s="16"/>
      <c r="DQ79" s="16"/>
      <c r="DR79" s="16"/>
      <c r="DS79" s="16"/>
      <c r="DT79" s="16"/>
      <c r="DU79" s="16"/>
      <c r="DV79" s="16"/>
      <c r="DW79" s="16"/>
      <c r="DX79" s="16"/>
      <c r="DY79" s="16"/>
      <c r="DZ79" s="16"/>
      <c r="EA79" s="16"/>
      <c r="EB79" s="16"/>
      <c r="EC79" s="16"/>
      <c r="ED79" s="16"/>
      <c r="EE79" s="16"/>
    </row>
    <row r="80" spans="1:135" customFormat="1" ht="17.25" x14ac:dyDescent="0.25">
      <c r="A80" s="264" t="s">
        <v>38</v>
      </c>
      <c r="B80" s="265" t="s">
        <v>17</v>
      </c>
      <c r="C80" s="142" t="str">
        <f t="shared" si="2"/>
        <v>OK</v>
      </c>
      <c r="D80" s="16"/>
      <c r="E80" s="17"/>
      <c r="F80" s="16"/>
      <c r="G80" s="16"/>
      <c r="H80" s="16"/>
      <c r="I80" s="262"/>
      <c r="J80" s="16"/>
      <c r="K80" s="16"/>
      <c r="L80" s="16"/>
      <c r="M80" s="16"/>
      <c r="O80" s="16"/>
      <c r="P80" s="16"/>
      <c r="Q80" s="16" t="b">
        <v>1</v>
      </c>
      <c r="R80" s="16"/>
      <c r="S80" s="16"/>
      <c r="AA80" s="88"/>
      <c r="AB80" s="16"/>
      <c r="AC80" s="16"/>
      <c r="AD80" s="21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  <c r="BK80" s="16"/>
      <c r="BL80" s="16"/>
      <c r="BM80" s="16"/>
      <c r="BN80" s="16"/>
      <c r="BO80" s="16"/>
      <c r="BP80" s="16"/>
      <c r="BQ80" s="16"/>
      <c r="BR80" s="16"/>
      <c r="BS80" s="16"/>
      <c r="BT80" s="16"/>
      <c r="BU80" s="16"/>
      <c r="BV80" s="16"/>
      <c r="BW80" s="16"/>
      <c r="BX80" s="16"/>
      <c r="BY80" s="16"/>
      <c r="BZ80" s="16"/>
      <c r="CA80" s="16"/>
      <c r="CB80" s="16"/>
      <c r="CC80" s="16"/>
      <c r="CD80" s="16"/>
      <c r="CE80" s="16"/>
      <c r="CF80" s="16"/>
      <c r="CG80" s="16"/>
      <c r="CH80" s="16"/>
      <c r="CI80" s="16"/>
      <c r="CJ80" s="16"/>
      <c r="CK80" s="16"/>
      <c r="CL80" s="16"/>
      <c r="CM80" s="16"/>
      <c r="CN80" s="16"/>
      <c r="CO80" s="16"/>
      <c r="CP80" s="16"/>
      <c r="CQ80" s="16"/>
      <c r="CR80" s="16"/>
      <c r="CS80" s="16"/>
      <c r="CT80" s="16"/>
      <c r="CU80" s="16"/>
      <c r="CV80" s="16"/>
      <c r="CW80" s="16"/>
      <c r="CX80" s="16"/>
      <c r="CY80" s="16"/>
      <c r="CZ80" s="16"/>
      <c r="DA80" s="16"/>
      <c r="DB80" s="16"/>
      <c r="DC80" s="16"/>
      <c r="DD80" s="16"/>
      <c r="DE80" s="16"/>
      <c r="DF80" s="16"/>
      <c r="DG80" s="16"/>
      <c r="DH80" s="16"/>
      <c r="DI80" s="16"/>
      <c r="DJ80" s="16"/>
      <c r="DK80" s="16"/>
      <c r="DL80" s="16"/>
      <c r="DM80" s="16"/>
      <c r="DN80" s="16"/>
      <c r="DO80" s="16"/>
      <c r="DP80" s="16"/>
      <c r="DQ80" s="16"/>
      <c r="DR80" s="16"/>
      <c r="DS80" s="16"/>
      <c r="DT80" s="16"/>
      <c r="DU80" s="16"/>
      <c r="DV80" s="16"/>
      <c r="DW80" s="16"/>
      <c r="DX80" s="16"/>
      <c r="DY80" s="16"/>
      <c r="DZ80" s="16"/>
      <c r="EA80" s="16"/>
      <c r="EB80" s="16"/>
      <c r="EC80" s="16"/>
      <c r="ED80" s="16"/>
      <c r="EE80" s="16"/>
    </row>
    <row r="81" spans="1:135" customFormat="1" ht="17.25" x14ac:dyDescent="0.25">
      <c r="A81" s="264" t="s">
        <v>40</v>
      </c>
      <c r="B81" s="265" t="s">
        <v>2</v>
      </c>
      <c r="C81" s="142" t="str">
        <f t="shared" si="2"/>
        <v>OK</v>
      </c>
      <c r="D81" s="16"/>
      <c r="E81" s="17"/>
      <c r="F81" s="16"/>
      <c r="G81" s="16"/>
      <c r="H81" s="16"/>
      <c r="I81" s="262"/>
      <c r="J81" s="16"/>
      <c r="K81" s="16"/>
      <c r="L81" s="16"/>
      <c r="M81" s="16"/>
      <c r="O81" s="16"/>
      <c r="P81" s="16"/>
      <c r="Q81" s="16" t="b">
        <v>1</v>
      </c>
      <c r="R81" s="16"/>
      <c r="S81" s="16"/>
      <c r="T81" s="88"/>
      <c r="U81" s="385"/>
      <c r="Z81" s="88"/>
      <c r="AA81" s="88"/>
      <c r="AB81" s="16"/>
      <c r="AC81" s="16"/>
      <c r="AD81" s="21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  <c r="BK81" s="16"/>
      <c r="BL81" s="16"/>
      <c r="BM81" s="16"/>
      <c r="BN81" s="16"/>
      <c r="BO81" s="16"/>
      <c r="BP81" s="16"/>
      <c r="BQ81" s="16"/>
      <c r="BR81" s="16"/>
      <c r="BS81" s="16"/>
      <c r="BT81" s="16"/>
      <c r="BU81" s="16"/>
      <c r="BV81" s="16"/>
      <c r="BW81" s="16"/>
      <c r="BX81" s="16"/>
      <c r="BY81" s="16"/>
      <c r="BZ81" s="16"/>
      <c r="CA81" s="16"/>
      <c r="CB81" s="16"/>
      <c r="CC81" s="16"/>
      <c r="CD81" s="16"/>
      <c r="CE81" s="16"/>
      <c r="CF81" s="16"/>
      <c r="CG81" s="16"/>
      <c r="CH81" s="16"/>
      <c r="CI81" s="16"/>
      <c r="CJ81" s="16"/>
      <c r="CK81" s="16"/>
      <c r="CL81" s="16"/>
      <c r="CM81" s="16"/>
      <c r="CN81" s="16"/>
      <c r="CO81" s="16"/>
      <c r="CP81" s="16"/>
      <c r="CQ81" s="16"/>
      <c r="CR81" s="16"/>
      <c r="CS81" s="16"/>
      <c r="CT81" s="16"/>
      <c r="CU81" s="16"/>
      <c r="CV81" s="16"/>
      <c r="CW81" s="16"/>
      <c r="CX81" s="16"/>
      <c r="CY81" s="16"/>
      <c r="CZ81" s="16"/>
      <c r="DA81" s="16"/>
      <c r="DB81" s="16"/>
      <c r="DC81" s="16"/>
      <c r="DD81" s="16"/>
      <c r="DE81" s="16"/>
      <c r="DF81" s="16"/>
      <c r="DG81" s="16"/>
      <c r="DH81" s="16"/>
      <c r="DI81" s="16"/>
      <c r="DJ81" s="16"/>
      <c r="DK81" s="16"/>
      <c r="DL81" s="16"/>
      <c r="DM81" s="16"/>
      <c r="DN81" s="16"/>
      <c r="DO81" s="16"/>
      <c r="DP81" s="16"/>
      <c r="DQ81" s="16"/>
      <c r="DR81" s="16"/>
      <c r="DS81" s="16"/>
      <c r="DT81" s="16"/>
      <c r="DU81" s="16"/>
      <c r="DV81" s="16"/>
      <c r="DW81" s="16"/>
      <c r="DX81" s="16"/>
      <c r="DY81" s="16"/>
      <c r="DZ81" s="16"/>
      <c r="EA81" s="16"/>
      <c r="EB81" s="16"/>
      <c r="EC81" s="16"/>
      <c r="ED81" s="16"/>
      <c r="EE81" s="16"/>
    </row>
    <row r="82" spans="1:135" customFormat="1" ht="17.25" x14ac:dyDescent="0.25">
      <c r="A82" s="264" t="s">
        <v>41</v>
      </c>
      <c r="B82" s="265" t="s">
        <v>39</v>
      </c>
      <c r="C82" s="142" t="str">
        <f t="shared" si="2"/>
        <v>OK</v>
      </c>
      <c r="D82" s="16"/>
      <c r="E82" s="17"/>
      <c r="F82" s="16"/>
      <c r="G82" s="16"/>
      <c r="H82" s="16"/>
      <c r="I82" s="262"/>
      <c r="J82" s="16"/>
      <c r="K82" s="16"/>
      <c r="L82" s="16"/>
      <c r="M82" s="16"/>
      <c r="O82" s="16"/>
      <c r="P82" s="16"/>
      <c r="Q82" s="16" t="b">
        <v>0</v>
      </c>
      <c r="R82" s="16"/>
      <c r="S82" s="16"/>
      <c r="T82" s="88"/>
      <c r="Z82" s="88"/>
      <c r="AA82" s="88"/>
      <c r="AB82" s="16"/>
      <c r="AC82" s="16"/>
      <c r="AD82" s="21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  <c r="BK82" s="16"/>
      <c r="BL82" s="16"/>
      <c r="BM82" s="16"/>
      <c r="BN82" s="16"/>
      <c r="BO82" s="16"/>
      <c r="BP82" s="16"/>
      <c r="BQ82" s="16"/>
      <c r="BR82" s="16"/>
      <c r="BS82" s="16"/>
      <c r="BT82" s="16"/>
      <c r="BU82" s="16"/>
      <c r="BV82" s="16"/>
      <c r="BW82" s="16"/>
      <c r="BX82" s="16"/>
      <c r="BY82" s="16"/>
      <c r="BZ82" s="16"/>
      <c r="CA82" s="16"/>
      <c r="CB82" s="16"/>
      <c r="CC82" s="16"/>
      <c r="CD82" s="16"/>
      <c r="CE82" s="16"/>
      <c r="CF82" s="16"/>
      <c r="CG82" s="16"/>
      <c r="CH82" s="16"/>
      <c r="CI82" s="16"/>
      <c r="CJ82" s="16"/>
      <c r="CK82" s="16"/>
      <c r="CL82" s="16"/>
      <c r="CM82" s="16"/>
      <c r="CN82" s="16"/>
      <c r="CO82" s="16"/>
      <c r="CP82" s="16"/>
      <c r="CQ82" s="16"/>
      <c r="CR82" s="16"/>
      <c r="CS82" s="16"/>
      <c r="CT82" s="16"/>
      <c r="CU82" s="16"/>
      <c r="CV82" s="16"/>
      <c r="CW82" s="16"/>
      <c r="CX82" s="16"/>
      <c r="CY82" s="16"/>
      <c r="CZ82" s="16"/>
      <c r="DA82" s="16"/>
      <c r="DB82" s="16"/>
      <c r="DC82" s="16"/>
      <c r="DD82" s="16"/>
      <c r="DE82" s="16"/>
      <c r="DF82" s="16"/>
      <c r="DG82" s="16"/>
      <c r="DH82" s="16"/>
      <c r="DI82" s="16"/>
      <c r="DJ82" s="16"/>
      <c r="DK82" s="16"/>
      <c r="DL82" s="16"/>
      <c r="DM82" s="16"/>
      <c r="DN82" s="16"/>
      <c r="DO82" s="16"/>
      <c r="DP82" s="16"/>
      <c r="DQ82" s="16"/>
      <c r="DR82" s="16"/>
      <c r="DS82" s="16"/>
      <c r="DT82" s="16"/>
      <c r="DU82" s="16"/>
      <c r="DV82" s="16"/>
      <c r="DW82" s="16"/>
      <c r="DX82" s="16"/>
      <c r="DY82" s="16"/>
      <c r="DZ82" s="16"/>
      <c r="EA82" s="16"/>
      <c r="EB82" s="16"/>
      <c r="EC82" s="16"/>
      <c r="ED82" s="16"/>
      <c r="EE82" s="16"/>
    </row>
    <row r="83" spans="1:135" customFormat="1" ht="17.25" x14ac:dyDescent="0.25">
      <c r="A83" s="264" t="s">
        <v>43</v>
      </c>
      <c r="B83" s="265" t="s">
        <v>42</v>
      </c>
      <c r="C83" s="142" t="str">
        <f t="shared" si="2"/>
        <v>OK</v>
      </c>
      <c r="D83" s="16"/>
      <c r="E83" s="17"/>
      <c r="F83" s="16"/>
      <c r="G83" s="16"/>
      <c r="H83" s="16"/>
      <c r="I83" s="262"/>
      <c r="J83" s="16"/>
      <c r="K83" s="16"/>
      <c r="L83" s="16"/>
      <c r="M83" s="16"/>
      <c r="O83" s="16"/>
      <c r="P83" s="16"/>
      <c r="Q83" s="16" t="b">
        <v>1</v>
      </c>
      <c r="R83" s="16"/>
      <c r="S83" s="16"/>
      <c r="T83" s="88"/>
      <c r="Z83" s="88"/>
      <c r="AA83" s="88"/>
      <c r="AB83" s="16"/>
      <c r="AC83" s="16"/>
      <c r="AD83" s="21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  <c r="BK83" s="16"/>
      <c r="BL83" s="16"/>
      <c r="BM83" s="16"/>
      <c r="BN83" s="16"/>
      <c r="BO83" s="16"/>
      <c r="BP83" s="16"/>
      <c r="BQ83" s="16"/>
      <c r="BR83" s="16"/>
      <c r="BS83" s="16"/>
      <c r="BT83" s="16"/>
      <c r="BU83" s="16"/>
      <c r="BV83" s="16"/>
      <c r="BW83" s="16"/>
      <c r="BX83" s="16"/>
      <c r="BY83" s="16"/>
      <c r="BZ83" s="16"/>
      <c r="CA83" s="16"/>
      <c r="CB83" s="16"/>
      <c r="CC83" s="16"/>
      <c r="CD83" s="16"/>
      <c r="CE83" s="16"/>
      <c r="CF83" s="16"/>
      <c r="CG83" s="16"/>
      <c r="CH83" s="16"/>
      <c r="CI83" s="16"/>
      <c r="CJ83" s="16"/>
      <c r="CK83" s="16"/>
      <c r="CL83" s="16"/>
      <c r="CM83" s="16"/>
      <c r="CN83" s="16"/>
      <c r="CO83" s="16"/>
      <c r="CP83" s="16"/>
      <c r="CQ83" s="16"/>
      <c r="CR83" s="16"/>
      <c r="CS83" s="16"/>
      <c r="CT83" s="16"/>
      <c r="CU83" s="16"/>
      <c r="CV83" s="16"/>
      <c r="CW83" s="16"/>
      <c r="CX83" s="16"/>
      <c r="CY83" s="16"/>
      <c r="CZ83" s="16"/>
      <c r="DA83" s="16"/>
      <c r="DB83" s="16"/>
      <c r="DC83" s="16"/>
      <c r="DD83" s="16"/>
      <c r="DE83" s="16"/>
      <c r="DF83" s="16"/>
      <c r="DG83" s="16"/>
      <c r="DH83" s="16"/>
      <c r="DI83" s="16"/>
      <c r="DJ83" s="16"/>
      <c r="DK83" s="16"/>
      <c r="DL83" s="16"/>
      <c r="DM83" s="16"/>
      <c r="DN83" s="16"/>
      <c r="DO83" s="16"/>
      <c r="DP83" s="16"/>
      <c r="DQ83" s="16"/>
      <c r="DR83" s="16"/>
      <c r="DS83" s="16"/>
      <c r="DT83" s="16"/>
      <c r="DU83" s="16"/>
      <c r="DV83" s="16"/>
      <c r="DW83" s="16"/>
      <c r="DX83" s="16"/>
      <c r="DY83" s="16"/>
      <c r="DZ83" s="16"/>
      <c r="EA83" s="16"/>
      <c r="EB83" s="16"/>
      <c r="EC83" s="16"/>
      <c r="ED83" s="16"/>
      <c r="EE83" s="16"/>
    </row>
    <row r="84" spans="1:135" customFormat="1" ht="17.25" x14ac:dyDescent="0.25">
      <c r="A84" s="264" t="s">
        <v>45</v>
      </c>
      <c r="B84" s="265" t="s">
        <v>44</v>
      </c>
      <c r="C84" s="142" t="str">
        <f t="shared" si="2"/>
        <v>OK</v>
      </c>
      <c r="D84" s="16"/>
      <c r="E84" s="17"/>
      <c r="F84" s="16"/>
      <c r="G84" s="16"/>
      <c r="H84" s="16"/>
      <c r="I84" s="262"/>
      <c r="J84" s="16"/>
      <c r="K84" s="16"/>
      <c r="L84" s="16"/>
      <c r="M84" s="16"/>
      <c r="O84" s="16"/>
      <c r="P84" s="16"/>
      <c r="Q84" s="16" t="b">
        <v>0</v>
      </c>
      <c r="R84" s="16"/>
      <c r="S84" s="16"/>
      <c r="T84" s="88"/>
      <c r="U84" s="88"/>
      <c r="Z84" s="88"/>
      <c r="AA84" s="88"/>
      <c r="AB84" s="16"/>
      <c r="AC84" s="16"/>
      <c r="AD84" s="21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  <c r="BK84" s="16"/>
      <c r="BL84" s="16"/>
      <c r="BM84" s="16"/>
      <c r="BN84" s="16"/>
      <c r="BO84" s="16"/>
      <c r="BP84" s="16"/>
      <c r="BQ84" s="16"/>
      <c r="BR84" s="16"/>
      <c r="BS84" s="16"/>
      <c r="BT84" s="16"/>
      <c r="BU84" s="16"/>
      <c r="BV84" s="16"/>
      <c r="BW84" s="16"/>
      <c r="BX84" s="16"/>
      <c r="BY84" s="16"/>
      <c r="BZ84" s="16"/>
      <c r="CA84" s="16"/>
      <c r="CB84" s="16"/>
      <c r="CC84" s="16"/>
      <c r="CD84" s="16"/>
      <c r="CE84" s="16"/>
      <c r="CF84" s="16"/>
      <c r="CG84" s="16"/>
      <c r="CH84" s="16"/>
      <c r="CI84" s="16"/>
      <c r="CJ84" s="16"/>
      <c r="CK84" s="16"/>
      <c r="CL84" s="16"/>
      <c r="CM84" s="16"/>
      <c r="CN84" s="16"/>
      <c r="CO84" s="16"/>
      <c r="CP84" s="16"/>
      <c r="CQ84" s="16"/>
      <c r="CR84" s="16"/>
      <c r="CS84" s="16"/>
      <c r="CT84" s="16"/>
      <c r="CU84" s="16"/>
      <c r="CV84" s="16"/>
      <c r="CW84" s="16"/>
      <c r="CX84" s="16"/>
      <c r="CY84" s="16"/>
      <c r="CZ84" s="16"/>
      <c r="DA84" s="16"/>
      <c r="DB84" s="16"/>
      <c r="DC84" s="16"/>
      <c r="DD84" s="16"/>
      <c r="DE84" s="16"/>
      <c r="DF84" s="16"/>
      <c r="DG84" s="16"/>
      <c r="DH84" s="16"/>
      <c r="DI84" s="16"/>
      <c r="DJ84" s="16"/>
      <c r="DK84" s="16"/>
      <c r="DL84" s="16"/>
      <c r="DM84" s="16"/>
      <c r="DN84" s="16"/>
      <c r="DO84" s="16"/>
      <c r="DP84" s="16"/>
      <c r="DQ84" s="16"/>
      <c r="DR84" s="16"/>
      <c r="DS84" s="16"/>
      <c r="DT84" s="16"/>
      <c r="DU84" s="16"/>
      <c r="DV84" s="16"/>
      <c r="DW84" s="16"/>
      <c r="DX84" s="16"/>
      <c r="DY84" s="16"/>
      <c r="DZ84" s="16"/>
      <c r="EA84" s="16"/>
      <c r="EB84" s="16"/>
      <c r="EC84" s="16"/>
      <c r="ED84" s="16"/>
      <c r="EE84" s="16"/>
    </row>
    <row r="85" spans="1:135" customFormat="1" ht="17.25" x14ac:dyDescent="0.25">
      <c r="A85" s="264" t="s">
        <v>48</v>
      </c>
      <c r="B85" s="265" t="s">
        <v>47</v>
      </c>
      <c r="C85" s="142" t="str">
        <f t="shared" si="2"/>
        <v>OK</v>
      </c>
      <c r="D85" s="16"/>
      <c r="E85" s="17"/>
      <c r="F85" s="16"/>
      <c r="G85" s="16"/>
      <c r="H85" s="16"/>
      <c r="I85" s="262"/>
      <c r="J85" s="16"/>
      <c r="K85" s="16"/>
      <c r="L85" s="16"/>
      <c r="M85" s="16"/>
      <c r="O85" s="16"/>
      <c r="P85" s="16"/>
      <c r="Q85" s="16" t="b">
        <v>0</v>
      </c>
      <c r="R85" s="16"/>
      <c r="S85" s="16"/>
      <c r="T85" s="88"/>
      <c r="Z85" s="88"/>
      <c r="AA85" s="88"/>
      <c r="AB85" s="16"/>
      <c r="AC85" s="16"/>
      <c r="AD85" s="21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  <c r="BK85" s="16"/>
      <c r="BL85" s="16"/>
      <c r="BM85" s="16"/>
      <c r="BN85" s="16"/>
      <c r="BO85" s="16"/>
      <c r="BP85" s="16"/>
      <c r="BQ85" s="16"/>
      <c r="BR85" s="16"/>
      <c r="BS85" s="16"/>
      <c r="BT85" s="16"/>
      <c r="BU85" s="16"/>
      <c r="BV85" s="16"/>
      <c r="BW85" s="16"/>
      <c r="BX85" s="16"/>
      <c r="BY85" s="16"/>
      <c r="BZ85" s="16"/>
      <c r="CA85" s="16"/>
      <c r="CB85" s="16"/>
      <c r="CC85" s="16"/>
      <c r="CD85" s="16"/>
      <c r="CE85" s="16"/>
      <c r="CF85" s="16"/>
      <c r="CG85" s="16"/>
      <c r="CH85" s="16"/>
      <c r="CI85" s="16"/>
      <c r="CJ85" s="16"/>
      <c r="CK85" s="16"/>
      <c r="CL85" s="16"/>
      <c r="CM85" s="16"/>
      <c r="CN85" s="16"/>
      <c r="CO85" s="16"/>
      <c r="CP85" s="16"/>
      <c r="CQ85" s="16"/>
      <c r="CR85" s="16"/>
      <c r="CS85" s="16"/>
      <c r="CT85" s="16"/>
      <c r="CU85" s="16"/>
      <c r="CV85" s="16"/>
      <c r="CW85" s="16"/>
      <c r="CX85" s="16"/>
      <c r="CY85" s="16"/>
      <c r="CZ85" s="16"/>
      <c r="DA85" s="16"/>
      <c r="DB85" s="16"/>
      <c r="DC85" s="16"/>
      <c r="DD85" s="16"/>
      <c r="DE85" s="16"/>
      <c r="DF85" s="16"/>
      <c r="DG85" s="16"/>
      <c r="DH85" s="16"/>
      <c r="DI85" s="16"/>
      <c r="DJ85" s="16"/>
      <c r="DK85" s="16"/>
      <c r="DL85" s="16"/>
      <c r="DM85" s="16"/>
      <c r="DN85" s="16"/>
      <c r="DO85" s="16"/>
      <c r="DP85" s="16"/>
      <c r="DQ85" s="16"/>
      <c r="DR85" s="16"/>
      <c r="DS85" s="16"/>
      <c r="DT85" s="16"/>
      <c r="DU85" s="16"/>
      <c r="DV85" s="16"/>
      <c r="DW85" s="16"/>
      <c r="DX85" s="16"/>
      <c r="DY85" s="16"/>
      <c r="DZ85" s="16"/>
      <c r="EA85" s="16"/>
      <c r="EB85" s="16"/>
      <c r="EC85" s="16"/>
      <c r="ED85" s="16"/>
      <c r="EE85" s="16"/>
    </row>
    <row r="86" spans="1:135" customFormat="1" ht="17.25" x14ac:dyDescent="0.25">
      <c r="A86" s="264" t="s">
        <v>324</v>
      </c>
      <c r="B86" s="265" t="s">
        <v>50</v>
      </c>
      <c r="C86" s="142" t="str">
        <f t="shared" si="2"/>
        <v>OK</v>
      </c>
      <c r="D86" s="16"/>
      <c r="E86" s="17"/>
      <c r="F86" s="16"/>
      <c r="G86" s="16"/>
      <c r="H86" s="16"/>
      <c r="I86" s="262"/>
      <c r="J86" s="16"/>
      <c r="K86" s="16"/>
      <c r="L86" s="16"/>
      <c r="M86" s="16"/>
      <c r="O86" s="16"/>
      <c r="P86" s="16"/>
      <c r="Q86" s="16" t="b">
        <v>0</v>
      </c>
      <c r="R86" s="16"/>
      <c r="S86" s="16"/>
      <c r="T86" s="88"/>
      <c r="Z86" s="88"/>
      <c r="AA86" s="88"/>
      <c r="AB86" s="16"/>
      <c r="AC86" s="16"/>
      <c r="AD86" s="21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  <c r="BK86" s="16"/>
      <c r="BL86" s="16"/>
      <c r="BM86" s="16"/>
      <c r="BN86" s="16"/>
      <c r="BO86" s="16"/>
      <c r="BP86" s="16"/>
      <c r="BQ86" s="16"/>
      <c r="BR86" s="16"/>
      <c r="BS86" s="16"/>
      <c r="BT86" s="16"/>
      <c r="BU86" s="16"/>
      <c r="BV86" s="16"/>
      <c r="BW86" s="16"/>
      <c r="BX86" s="16"/>
      <c r="BY86" s="16"/>
      <c r="BZ86" s="16"/>
      <c r="CA86" s="16"/>
      <c r="CB86" s="16"/>
      <c r="CC86" s="16"/>
      <c r="CD86" s="16"/>
      <c r="CE86" s="16"/>
      <c r="CF86" s="16"/>
      <c r="CG86" s="16"/>
      <c r="CH86" s="16"/>
      <c r="CI86" s="16"/>
      <c r="CJ86" s="16"/>
      <c r="CK86" s="16"/>
      <c r="CL86" s="16"/>
      <c r="CM86" s="16"/>
      <c r="CN86" s="16"/>
      <c r="CO86" s="16"/>
      <c r="CP86" s="16"/>
      <c r="CQ86" s="16"/>
      <c r="CR86" s="16"/>
      <c r="CS86" s="16"/>
      <c r="CT86" s="16"/>
      <c r="CU86" s="16"/>
      <c r="CV86" s="16"/>
      <c r="CW86" s="16"/>
      <c r="CX86" s="16"/>
      <c r="CY86" s="16"/>
      <c r="CZ86" s="16"/>
      <c r="DA86" s="16"/>
      <c r="DB86" s="16"/>
      <c r="DC86" s="16"/>
      <c r="DD86" s="16"/>
      <c r="DE86" s="16"/>
      <c r="DF86" s="16"/>
      <c r="DG86" s="16"/>
      <c r="DH86" s="16"/>
      <c r="DI86" s="16"/>
      <c r="DJ86" s="16"/>
      <c r="DK86" s="16"/>
      <c r="DL86" s="16"/>
      <c r="DM86" s="16"/>
      <c r="DN86" s="16"/>
      <c r="DO86" s="16"/>
      <c r="DP86" s="16"/>
      <c r="DQ86" s="16"/>
      <c r="DR86" s="16"/>
      <c r="DS86" s="16"/>
      <c r="DT86" s="16"/>
      <c r="DU86" s="16"/>
      <c r="DV86" s="16"/>
      <c r="DW86" s="16"/>
      <c r="DX86" s="16"/>
      <c r="DY86" s="16"/>
      <c r="DZ86" s="16"/>
      <c r="EA86" s="16"/>
      <c r="EB86" s="16"/>
      <c r="EC86" s="16"/>
      <c r="ED86" s="16"/>
      <c r="EE86" s="16"/>
    </row>
    <row r="87" spans="1:135" customFormat="1" ht="17.25" x14ac:dyDescent="0.25">
      <c r="A87" s="264" t="s">
        <v>52</v>
      </c>
      <c r="B87" s="265" t="s">
        <v>51</v>
      </c>
      <c r="C87" s="142" t="str">
        <f t="shared" si="2"/>
        <v>OK</v>
      </c>
      <c r="D87" s="16"/>
      <c r="E87" s="17"/>
      <c r="F87" s="16"/>
      <c r="G87" s="16"/>
      <c r="H87" s="16"/>
      <c r="I87" s="262"/>
      <c r="J87" s="16"/>
      <c r="K87" s="16"/>
      <c r="L87" s="16"/>
      <c r="M87" s="16"/>
      <c r="O87" s="16"/>
      <c r="P87" s="16"/>
      <c r="Q87" s="16" t="b">
        <v>1</v>
      </c>
      <c r="R87" s="16"/>
      <c r="S87" s="16"/>
      <c r="T87" s="88"/>
      <c r="Z87" s="88"/>
      <c r="AA87" s="88"/>
      <c r="AB87" s="16"/>
      <c r="AC87" s="16"/>
      <c r="AD87" s="21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  <c r="BK87" s="16"/>
      <c r="BL87" s="16"/>
      <c r="BM87" s="16"/>
      <c r="BN87" s="16"/>
      <c r="BO87" s="16"/>
      <c r="BP87" s="16"/>
      <c r="BQ87" s="16"/>
      <c r="BR87" s="16"/>
      <c r="BS87" s="16"/>
      <c r="BT87" s="16"/>
      <c r="BU87" s="16"/>
      <c r="BV87" s="16"/>
      <c r="BW87" s="16"/>
      <c r="BX87" s="16"/>
      <c r="BY87" s="16"/>
      <c r="BZ87" s="16"/>
      <c r="CA87" s="16"/>
      <c r="CB87" s="16"/>
      <c r="CC87" s="16"/>
      <c r="CD87" s="16"/>
      <c r="CE87" s="16"/>
      <c r="CF87" s="16"/>
      <c r="CG87" s="16"/>
      <c r="CH87" s="16"/>
      <c r="CI87" s="16"/>
      <c r="CJ87" s="16"/>
      <c r="CK87" s="16"/>
      <c r="CL87" s="16"/>
      <c r="CM87" s="16"/>
      <c r="CN87" s="16"/>
      <c r="CO87" s="16"/>
      <c r="CP87" s="16"/>
      <c r="CQ87" s="16"/>
      <c r="CR87" s="16"/>
      <c r="CS87" s="16"/>
      <c r="CT87" s="16"/>
      <c r="CU87" s="16"/>
      <c r="CV87" s="16"/>
      <c r="CW87" s="16"/>
      <c r="CX87" s="16"/>
      <c r="CY87" s="16"/>
      <c r="CZ87" s="16"/>
      <c r="DA87" s="16"/>
      <c r="DB87" s="16"/>
      <c r="DC87" s="16"/>
      <c r="DD87" s="16"/>
      <c r="DE87" s="16"/>
      <c r="DF87" s="16"/>
      <c r="DG87" s="16"/>
      <c r="DH87" s="16"/>
      <c r="DI87" s="16"/>
      <c r="DJ87" s="16"/>
      <c r="DK87" s="16"/>
      <c r="DL87" s="16"/>
      <c r="DM87" s="16"/>
      <c r="DN87" s="16"/>
      <c r="DO87" s="16"/>
      <c r="DP87" s="16"/>
      <c r="DQ87" s="16"/>
      <c r="DR87" s="16"/>
      <c r="DS87" s="16"/>
      <c r="DT87" s="16"/>
      <c r="DU87" s="16"/>
      <c r="DV87" s="16"/>
      <c r="DW87" s="16"/>
      <c r="DX87" s="16"/>
      <c r="DY87" s="16"/>
      <c r="DZ87" s="16"/>
      <c r="EA87" s="16"/>
      <c r="EB87" s="16"/>
      <c r="EC87" s="16"/>
      <c r="ED87" s="16"/>
      <c r="EE87" s="16"/>
    </row>
    <row r="88" spans="1:135" customFormat="1" ht="17.25" x14ac:dyDescent="0.25">
      <c r="A88" s="264" t="s">
        <v>56</v>
      </c>
      <c r="B88" s="265" t="s">
        <v>33</v>
      </c>
      <c r="C88" s="142" t="str">
        <f t="shared" si="2"/>
        <v>OK</v>
      </c>
      <c r="D88" s="16"/>
      <c r="E88" s="17"/>
      <c r="F88" s="16"/>
      <c r="G88" s="16"/>
      <c r="H88" s="16"/>
      <c r="I88" s="262"/>
      <c r="J88" s="16"/>
      <c r="K88" s="16"/>
      <c r="L88" s="16"/>
      <c r="M88" s="16"/>
      <c r="O88" s="16"/>
      <c r="P88" s="16"/>
      <c r="Q88" s="16" t="b">
        <v>1</v>
      </c>
      <c r="R88" s="16"/>
      <c r="S88" s="16"/>
      <c r="T88" s="88"/>
      <c r="U88" s="88"/>
      <c r="Z88" s="88"/>
      <c r="AA88" s="88"/>
      <c r="AB88" s="16"/>
      <c r="AC88" s="16"/>
      <c r="AD88" s="21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  <c r="BK88" s="16"/>
      <c r="BL88" s="16"/>
      <c r="BM88" s="16"/>
      <c r="BN88" s="16"/>
      <c r="BO88" s="16"/>
      <c r="BP88" s="16"/>
      <c r="BQ88" s="16"/>
      <c r="BR88" s="16"/>
      <c r="BS88" s="16"/>
      <c r="BT88" s="16"/>
      <c r="BU88" s="16"/>
      <c r="BV88" s="16"/>
      <c r="BW88" s="16"/>
      <c r="BX88" s="16"/>
      <c r="BY88" s="16"/>
      <c r="BZ88" s="16"/>
      <c r="CA88" s="16"/>
      <c r="CB88" s="16"/>
      <c r="CC88" s="16"/>
      <c r="CD88" s="16"/>
      <c r="CE88" s="16"/>
      <c r="CF88" s="16"/>
      <c r="CG88" s="16"/>
      <c r="CH88" s="16"/>
      <c r="CI88" s="16"/>
      <c r="CJ88" s="16"/>
      <c r="CK88" s="16"/>
      <c r="CL88" s="16"/>
      <c r="CM88" s="16"/>
      <c r="CN88" s="16"/>
      <c r="CO88" s="16"/>
      <c r="CP88" s="16"/>
      <c r="CQ88" s="16"/>
      <c r="CR88" s="16"/>
      <c r="CS88" s="16"/>
      <c r="CT88" s="16"/>
      <c r="CU88" s="16"/>
      <c r="CV88" s="16"/>
      <c r="CW88" s="16"/>
      <c r="CX88" s="16"/>
      <c r="CY88" s="16"/>
      <c r="CZ88" s="16"/>
      <c r="DA88" s="16"/>
      <c r="DB88" s="16"/>
      <c r="DC88" s="16"/>
      <c r="DD88" s="16"/>
      <c r="DE88" s="16"/>
      <c r="DF88" s="16"/>
      <c r="DG88" s="16"/>
      <c r="DH88" s="16"/>
      <c r="DI88" s="16"/>
      <c r="DJ88" s="16"/>
      <c r="DK88" s="16"/>
      <c r="DL88" s="16"/>
      <c r="DM88" s="16"/>
      <c r="DN88" s="16"/>
      <c r="DO88" s="16"/>
      <c r="DP88" s="16"/>
      <c r="DQ88" s="16"/>
      <c r="DR88" s="16"/>
      <c r="DS88" s="16"/>
      <c r="DT88" s="16"/>
      <c r="DU88" s="16"/>
      <c r="DV88" s="16"/>
      <c r="DW88" s="16"/>
      <c r="DX88" s="16"/>
      <c r="DY88" s="16"/>
      <c r="DZ88" s="16"/>
      <c r="EA88" s="16"/>
      <c r="EB88" s="16"/>
      <c r="EC88" s="16"/>
      <c r="ED88" s="16"/>
      <c r="EE88" s="16"/>
    </row>
    <row r="89" spans="1:135" customFormat="1" ht="17.25" x14ac:dyDescent="0.25">
      <c r="A89" s="264" t="s">
        <v>57</v>
      </c>
      <c r="B89" s="265" t="s">
        <v>20</v>
      </c>
      <c r="C89" s="142" t="str">
        <f t="shared" si="2"/>
        <v>OK</v>
      </c>
      <c r="D89" s="16"/>
      <c r="E89" s="17"/>
      <c r="F89" s="16"/>
      <c r="G89" s="16"/>
      <c r="H89" s="16"/>
      <c r="I89" s="262"/>
      <c r="J89" s="16"/>
      <c r="K89" s="16"/>
      <c r="L89" s="16"/>
      <c r="M89" s="16"/>
      <c r="O89" s="16"/>
      <c r="P89" s="16"/>
      <c r="Q89" s="16"/>
      <c r="R89" s="16"/>
      <c r="S89" s="16"/>
      <c r="T89" s="88"/>
      <c r="U89" s="88"/>
      <c r="W89" s="88"/>
      <c r="X89" s="88"/>
      <c r="Z89" s="88"/>
      <c r="AA89" s="88"/>
      <c r="AB89" s="16"/>
      <c r="AC89" s="16"/>
      <c r="AD89" s="21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  <c r="BH89" s="16"/>
      <c r="BI89" s="16"/>
      <c r="BJ89" s="16"/>
      <c r="BK89" s="16"/>
      <c r="BL89" s="16"/>
      <c r="BM89" s="16"/>
      <c r="BN89" s="16"/>
      <c r="BO89" s="16"/>
      <c r="BP89" s="16"/>
      <c r="BQ89" s="16"/>
      <c r="BR89" s="16"/>
      <c r="BS89" s="16"/>
      <c r="BT89" s="16"/>
      <c r="BU89" s="16"/>
      <c r="BV89" s="16"/>
      <c r="BW89" s="16"/>
      <c r="BX89" s="16"/>
      <c r="BY89" s="16"/>
      <c r="BZ89" s="16"/>
      <c r="CA89" s="16"/>
      <c r="CB89" s="16"/>
      <c r="CC89" s="16"/>
      <c r="CD89" s="16"/>
      <c r="CE89" s="16"/>
      <c r="CF89" s="16"/>
      <c r="CG89" s="16"/>
      <c r="CH89" s="16"/>
      <c r="CI89" s="16"/>
      <c r="CJ89" s="16"/>
      <c r="CK89" s="16"/>
      <c r="CL89" s="16"/>
      <c r="CM89" s="16"/>
      <c r="CN89" s="16"/>
      <c r="CO89" s="16"/>
      <c r="CP89" s="16"/>
      <c r="CQ89" s="16"/>
      <c r="CR89" s="16"/>
      <c r="CS89" s="16"/>
      <c r="CT89" s="16"/>
      <c r="CU89" s="16"/>
      <c r="CV89" s="16"/>
      <c r="CW89" s="16"/>
      <c r="CX89" s="16"/>
      <c r="CY89" s="16"/>
      <c r="CZ89" s="16"/>
      <c r="DA89" s="16"/>
      <c r="DB89" s="16"/>
      <c r="DC89" s="16"/>
      <c r="DD89" s="16"/>
      <c r="DE89" s="16"/>
      <c r="DF89" s="16"/>
      <c r="DG89" s="16"/>
      <c r="DH89" s="16"/>
      <c r="DI89" s="16"/>
      <c r="DJ89" s="16"/>
      <c r="DK89" s="16"/>
      <c r="DL89" s="16"/>
      <c r="DM89" s="16"/>
      <c r="DN89" s="16"/>
      <c r="DO89" s="16"/>
      <c r="DP89" s="16"/>
      <c r="DQ89" s="16"/>
      <c r="DR89" s="16"/>
      <c r="DS89" s="16"/>
      <c r="DT89" s="16"/>
      <c r="DU89" s="16"/>
      <c r="DV89" s="16"/>
      <c r="DW89" s="16"/>
      <c r="DX89" s="16"/>
      <c r="DY89" s="16"/>
      <c r="DZ89" s="16"/>
      <c r="EA89" s="16"/>
      <c r="EB89" s="16"/>
      <c r="EC89" s="16"/>
      <c r="ED89" s="16"/>
      <c r="EE89" s="16"/>
    </row>
    <row r="90" spans="1:135" customFormat="1" ht="17.25" x14ac:dyDescent="0.25">
      <c r="A90" s="264" t="s">
        <v>60</v>
      </c>
      <c r="B90" s="265" t="s">
        <v>59</v>
      </c>
      <c r="C90" s="142" t="str">
        <f t="shared" si="2"/>
        <v>OK</v>
      </c>
      <c r="D90" s="16"/>
      <c r="E90" s="17"/>
      <c r="F90" s="16"/>
      <c r="G90" s="16"/>
      <c r="H90" s="16"/>
      <c r="I90" s="262"/>
      <c r="J90" s="16"/>
      <c r="K90" s="16"/>
      <c r="L90" s="16"/>
      <c r="M90" s="16"/>
      <c r="O90" s="16"/>
      <c r="P90" s="16"/>
      <c r="Q90" s="16"/>
      <c r="R90" s="16"/>
      <c r="S90" s="16"/>
      <c r="T90" s="88"/>
      <c r="U90" s="88"/>
      <c r="W90" s="88"/>
      <c r="X90" s="88"/>
      <c r="Z90" s="88"/>
      <c r="AA90" s="88"/>
      <c r="AB90" s="16"/>
      <c r="AC90" s="16"/>
      <c r="AD90" s="21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  <c r="BH90" s="16"/>
      <c r="BI90" s="16"/>
      <c r="BJ90" s="16"/>
      <c r="BK90" s="16"/>
      <c r="BL90" s="16"/>
      <c r="BM90" s="16"/>
      <c r="BN90" s="16"/>
      <c r="BO90" s="16"/>
      <c r="BP90" s="16"/>
      <c r="BQ90" s="16"/>
      <c r="BR90" s="16"/>
      <c r="BS90" s="16"/>
      <c r="BT90" s="16"/>
      <c r="BU90" s="16"/>
      <c r="BV90" s="16"/>
      <c r="BW90" s="16"/>
      <c r="BX90" s="16"/>
      <c r="BY90" s="16"/>
      <c r="BZ90" s="16"/>
      <c r="CA90" s="16"/>
      <c r="CB90" s="16"/>
      <c r="CC90" s="16"/>
      <c r="CD90" s="16"/>
      <c r="CE90" s="16"/>
      <c r="CF90" s="16"/>
      <c r="CG90" s="16"/>
      <c r="CH90" s="16"/>
      <c r="CI90" s="16"/>
      <c r="CJ90" s="16"/>
      <c r="CK90" s="16"/>
      <c r="CL90" s="16"/>
      <c r="CM90" s="16"/>
      <c r="CN90" s="16"/>
      <c r="CO90" s="16"/>
      <c r="CP90" s="16"/>
      <c r="CQ90" s="16"/>
      <c r="CR90" s="16"/>
      <c r="CS90" s="16"/>
      <c r="CT90" s="16"/>
      <c r="CU90" s="16"/>
      <c r="CV90" s="16"/>
      <c r="CW90" s="16"/>
      <c r="CX90" s="16"/>
      <c r="CY90" s="16"/>
      <c r="CZ90" s="16"/>
      <c r="DA90" s="16"/>
      <c r="DB90" s="16"/>
      <c r="DC90" s="16"/>
      <c r="DD90" s="16"/>
      <c r="DE90" s="16"/>
      <c r="DF90" s="16"/>
      <c r="DG90" s="16"/>
      <c r="DH90" s="16"/>
      <c r="DI90" s="16"/>
      <c r="DJ90" s="16"/>
      <c r="DK90" s="16"/>
      <c r="DL90" s="16"/>
      <c r="DM90" s="16"/>
      <c r="DN90" s="16"/>
      <c r="DO90" s="16"/>
      <c r="DP90" s="16"/>
      <c r="DQ90" s="16"/>
      <c r="DR90" s="16"/>
      <c r="DS90" s="16"/>
      <c r="DT90" s="16"/>
      <c r="DU90" s="16"/>
      <c r="DV90" s="16"/>
      <c r="DW90" s="16"/>
      <c r="DX90" s="16"/>
      <c r="DY90" s="16"/>
      <c r="DZ90" s="16"/>
      <c r="EA90" s="16"/>
      <c r="EB90" s="16"/>
      <c r="EC90" s="16"/>
      <c r="ED90" s="16"/>
      <c r="EE90" s="16"/>
    </row>
    <row r="91" spans="1:135" customFormat="1" ht="17.25" x14ac:dyDescent="0.25">
      <c r="A91" s="264" t="s">
        <v>61</v>
      </c>
      <c r="B91" s="265" t="s">
        <v>28</v>
      </c>
      <c r="C91" s="142" t="str">
        <f t="shared" si="2"/>
        <v>OK</v>
      </c>
      <c r="D91" s="16"/>
      <c r="E91" s="17"/>
      <c r="F91" s="16"/>
      <c r="G91" s="16"/>
      <c r="H91" s="16"/>
      <c r="I91" s="262"/>
      <c r="J91" s="16"/>
      <c r="K91" s="16"/>
      <c r="L91" s="16"/>
      <c r="M91" s="16"/>
      <c r="O91" s="16"/>
      <c r="P91" s="16"/>
      <c r="Q91" s="16"/>
      <c r="R91" s="16"/>
      <c r="S91" s="16"/>
      <c r="T91" s="88"/>
      <c r="U91" s="88"/>
      <c r="Z91" s="88"/>
      <c r="AA91" s="88"/>
      <c r="AB91" s="16"/>
      <c r="AC91" s="16"/>
      <c r="AD91" s="21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  <c r="BH91" s="16"/>
      <c r="BI91" s="16"/>
      <c r="BJ91" s="16"/>
      <c r="BK91" s="16"/>
      <c r="BL91" s="16"/>
      <c r="BM91" s="16"/>
      <c r="BN91" s="16"/>
      <c r="BO91" s="16"/>
      <c r="BP91" s="16"/>
      <c r="BQ91" s="16"/>
      <c r="BR91" s="16"/>
      <c r="BS91" s="16"/>
      <c r="BT91" s="16"/>
      <c r="BU91" s="16"/>
      <c r="BV91" s="16"/>
      <c r="BW91" s="16"/>
      <c r="BX91" s="16"/>
      <c r="BY91" s="16"/>
      <c r="BZ91" s="16"/>
      <c r="CA91" s="16"/>
      <c r="CB91" s="16"/>
      <c r="CC91" s="16"/>
      <c r="CD91" s="16"/>
      <c r="CE91" s="16"/>
      <c r="CF91" s="16"/>
      <c r="CG91" s="16"/>
      <c r="CH91" s="16"/>
      <c r="CI91" s="16"/>
      <c r="CJ91" s="16"/>
      <c r="CK91" s="16"/>
      <c r="CL91" s="16"/>
      <c r="CM91" s="16"/>
      <c r="CN91" s="16"/>
      <c r="CO91" s="16"/>
      <c r="CP91" s="16"/>
      <c r="CQ91" s="16"/>
      <c r="CR91" s="16"/>
      <c r="CS91" s="16"/>
      <c r="CT91" s="16"/>
      <c r="CU91" s="16"/>
      <c r="CV91" s="16"/>
      <c r="CW91" s="16"/>
      <c r="CX91" s="16"/>
      <c r="CY91" s="16"/>
      <c r="CZ91" s="16"/>
      <c r="DA91" s="16"/>
      <c r="DB91" s="16"/>
      <c r="DC91" s="16"/>
      <c r="DD91" s="16"/>
      <c r="DE91" s="16"/>
      <c r="DF91" s="16"/>
      <c r="DG91" s="16"/>
      <c r="DH91" s="16"/>
      <c r="DI91" s="16"/>
      <c r="DJ91" s="16"/>
      <c r="DK91" s="16"/>
      <c r="DL91" s="16"/>
      <c r="DM91" s="16"/>
      <c r="DN91" s="16"/>
      <c r="DO91" s="16"/>
      <c r="DP91" s="16"/>
      <c r="DQ91" s="16"/>
      <c r="DR91" s="16"/>
      <c r="DS91" s="16"/>
      <c r="DT91" s="16"/>
      <c r="DU91" s="16"/>
      <c r="DV91" s="16"/>
      <c r="DW91" s="16"/>
      <c r="DX91" s="16"/>
      <c r="DY91" s="16"/>
      <c r="DZ91" s="16"/>
      <c r="EA91" s="16"/>
      <c r="EB91" s="16"/>
      <c r="EC91" s="16"/>
      <c r="ED91" s="16"/>
      <c r="EE91" s="16"/>
    </row>
    <row r="92" spans="1:135" customFormat="1" ht="17.25" x14ac:dyDescent="0.25">
      <c r="A92" s="264" t="s">
        <v>325</v>
      </c>
      <c r="B92" s="265" t="s">
        <v>31</v>
      </c>
      <c r="C92" s="142" t="str">
        <f t="shared" si="2"/>
        <v>OK</v>
      </c>
      <c r="D92" s="16"/>
      <c r="E92" s="17"/>
      <c r="F92" s="16"/>
      <c r="G92" s="16"/>
      <c r="H92" s="16"/>
      <c r="I92" s="262"/>
      <c r="J92" s="16"/>
      <c r="K92" s="16"/>
      <c r="L92" s="16"/>
      <c r="M92" s="16"/>
      <c r="O92" s="16"/>
      <c r="P92" s="16"/>
      <c r="Q92" s="16"/>
      <c r="R92" s="16"/>
      <c r="S92" s="16"/>
      <c r="T92" s="88"/>
      <c r="U92" s="88"/>
      <c r="Z92" s="88"/>
      <c r="AA92" s="88"/>
      <c r="AB92" s="16"/>
      <c r="AC92" s="16"/>
      <c r="AD92" s="21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  <c r="BH92" s="16"/>
      <c r="BI92" s="16"/>
      <c r="BJ92" s="16"/>
      <c r="BK92" s="16"/>
      <c r="BL92" s="16"/>
      <c r="BM92" s="16"/>
      <c r="BN92" s="16"/>
      <c r="BO92" s="16"/>
      <c r="BP92" s="16"/>
      <c r="BQ92" s="16"/>
      <c r="BR92" s="16"/>
      <c r="BS92" s="16"/>
      <c r="BT92" s="16"/>
      <c r="BU92" s="16"/>
      <c r="BV92" s="16"/>
      <c r="BW92" s="16"/>
      <c r="BX92" s="16"/>
      <c r="BY92" s="16"/>
      <c r="BZ92" s="16"/>
      <c r="CA92" s="16"/>
      <c r="CB92" s="16"/>
      <c r="CC92" s="16"/>
      <c r="CD92" s="16"/>
      <c r="CE92" s="16"/>
      <c r="CF92" s="16"/>
      <c r="CG92" s="16"/>
      <c r="CH92" s="16"/>
      <c r="CI92" s="16"/>
      <c r="CJ92" s="16"/>
      <c r="CK92" s="16"/>
      <c r="CL92" s="16"/>
      <c r="CM92" s="16"/>
      <c r="CN92" s="16"/>
      <c r="CO92" s="16"/>
      <c r="CP92" s="16"/>
      <c r="CQ92" s="16"/>
      <c r="CR92" s="16"/>
      <c r="CS92" s="16"/>
      <c r="CT92" s="16"/>
      <c r="CU92" s="16"/>
      <c r="CV92" s="16"/>
      <c r="CW92" s="16"/>
      <c r="CX92" s="16"/>
      <c r="CY92" s="16"/>
      <c r="CZ92" s="16"/>
      <c r="DA92" s="16"/>
      <c r="DB92" s="16"/>
      <c r="DC92" s="16"/>
      <c r="DD92" s="16"/>
      <c r="DE92" s="16"/>
      <c r="DF92" s="16"/>
      <c r="DG92" s="16"/>
      <c r="DH92" s="16"/>
      <c r="DI92" s="16"/>
      <c r="DJ92" s="16"/>
      <c r="DK92" s="16"/>
      <c r="DL92" s="16"/>
      <c r="DM92" s="16"/>
      <c r="DN92" s="16"/>
      <c r="DO92" s="16"/>
      <c r="DP92" s="16"/>
      <c r="DQ92" s="16"/>
      <c r="DR92" s="16"/>
      <c r="DS92" s="16"/>
      <c r="DT92" s="16"/>
      <c r="DU92" s="16"/>
      <c r="DV92" s="16"/>
      <c r="DW92" s="16"/>
      <c r="DX92" s="16"/>
      <c r="DY92" s="16"/>
      <c r="DZ92" s="16"/>
      <c r="EA92" s="16"/>
      <c r="EB92" s="16"/>
      <c r="EC92" s="16"/>
      <c r="ED92" s="16"/>
      <c r="EE92" s="16"/>
    </row>
    <row r="93" spans="1:135" customFormat="1" ht="17.25" x14ac:dyDescent="0.25">
      <c r="A93" s="264" t="s">
        <v>326</v>
      </c>
      <c r="B93" s="265" t="s">
        <v>53</v>
      </c>
      <c r="C93" s="142" t="str">
        <f t="shared" si="2"/>
        <v>OK</v>
      </c>
      <c r="D93" s="16"/>
      <c r="E93" s="17"/>
      <c r="F93" s="16"/>
      <c r="G93" s="16"/>
      <c r="H93" s="16"/>
      <c r="I93" s="262"/>
      <c r="J93" s="16"/>
      <c r="K93" s="16"/>
      <c r="L93" s="16"/>
      <c r="M93" s="16"/>
      <c r="O93" s="16"/>
      <c r="P93" s="16"/>
      <c r="Q93" s="16"/>
      <c r="R93" s="16"/>
      <c r="S93" s="16"/>
      <c r="T93" s="88"/>
      <c r="U93" s="88"/>
      <c r="Z93" s="88"/>
      <c r="AA93" s="88"/>
      <c r="AB93" s="16"/>
      <c r="AC93" s="16"/>
      <c r="AD93" s="21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  <c r="BH93" s="16"/>
      <c r="BI93" s="16"/>
      <c r="BJ93" s="16"/>
      <c r="BK93" s="16"/>
      <c r="BL93" s="16"/>
      <c r="BM93" s="16"/>
      <c r="BN93" s="16"/>
      <c r="BO93" s="16"/>
      <c r="BP93" s="16"/>
      <c r="BQ93" s="16"/>
      <c r="BR93" s="16"/>
      <c r="BS93" s="16"/>
      <c r="BT93" s="16"/>
      <c r="BU93" s="16"/>
      <c r="BV93" s="16"/>
      <c r="BW93" s="16"/>
      <c r="BX93" s="16"/>
      <c r="BY93" s="16"/>
      <c r="BZ93" s="16"/>
      <c r="CA93" s="16"/>
      <c r="CB93" s="16"/>
      <c r="CC93" s="16"/>
      <c r="CD93" s="16"/>
      <c r="CE93" s="16"/>
      <c r="CF93" s="16"/>
      <c r="CG93" s="16"/>
      <c r="CH93" s="16"/>
      <c r="CI93" s="16"/>
      <c r="CJ93" s="16"/>
      <c r="CK93" s="16"/>
      <c r="CL93" s="16"/>
      <c r="CM93" s="16"/>
      <c r="CN93" s="16"/>
      <c r="CO93" s="16"/>
      <c r="CP93" s="16"/>
      <c r="CQ93" s="16"/>
      <c r="CR93" s="16"/>
      <c r="CS93" s="16"/>
      <c r="CT93" s="16"/>
      <c r="CU93" s="16"/>
      <c r="CV93" s="16"/>
      <c r="CW93" s="16"/>
      <c r="CX93" s="16"/>
      <c r="CY93" s="16"/>
      <c r="CZ93" s="16"/>
      <c r="DA93" s="16"/>
      <c r="DB93" s="16"/>
      <c r="DC93" s="16"/>
      <c r="DD93" s="16"/>
      <c r="DE93" s="16"/>
      <c r="DF93" s="16"/>
      <c r="DG93" s="16"/>
      <c r="DH93" s="16"/>
      <c r="DI93" s="16"/>
      <c r="DJ93" s="16"/>
      <c r="DK93" s="16"/>
      <c r="DL93" s="16"/>
      <c r="DM93" s="16"/>
      <c r="DN93" s="16"/>
      <c r="DO93" s="16"/>
      <c r="DP93" s="16"/>
      <c r="DQ93" s="16"/>
      <c r="DR93" s="16"/>
      <c r="DS93" s="16"/>
      <c r="DT93" s="16"/>
      <c r="DU93" s="16"/>
      <c r="DV93" s="16"/>
      <c r="DW93" s="16"/>
      <c r="DX93" s="16"/>
      <c r="DY93" s="16"/>
      <c r="DZ93" s="16"/>
      <c r="EA93" s="16"/>
      <c r="EB93" s="16"/>
      <c r="EC93" s="16"/>
      <c r="ED93" s="16"/>
      <c r="EE93" s="16"/>
    </row>
    <row r="94" spans="1:135" customFormat="1" ht="17.25" x14ac:dyDescent="0.25">
      <c r="A94" s="264" t="s">
        <v>64</v>
      </c>
      <c r="B94" s="265" t="s">
        <v>25</v>
      </c>
      <c r="C94" s="142" t="str">
        <f t="shared" si="2"/>
        <v>OK</v>
      </c>
      <c r="D94" s="16"/>
      <c r="E94" s="17"/>
      <c r="F94" s="16"/>
      <c r="G94" s="16"/>
      <c r="H94" s="16"/>
      <c r="I94" s="262"/>
      <c r="J94" s="16"/>
      <c r="K94" s="16"/>
      <c r="L94" s="16"/>
      <c r="M94" s="16"/>
      <c r="O94" s="16"/>
      <c r="P94" s="16"/>
      <c r="Q94" s="16"/>
      <c r="R94" s="16"/>
      <c r="S94" s="16"/>
      <c r="T94" s="88"/>
      <c r="U94" s="88"/>
      <c r="Z94" s="88"/>
      <c r="AA94" s="88"/>
      <c r="AB94" s="16"/>
      <c r="AC94" s="16"/>
      <c r="AD94" s="21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  <c r="BH94" s="16"/>
      <c r="BI94" s="16"/>
      <c r="BJ94" s="16"/>
      <c r="BK94" s="16"/>
      <c r="BL94" s="16"/>
      <c r="BM94" s="16"/>
      <c r="BN94" s="16"/>
      <c r="BO94" s="16"/>
      <c r="BP94" s="16"/>
      <c r="BQ94" s="16"/>
      <c r="BR94" s="16"/>
      <c r="BS94" s="16"/>
      <c r="BT94" s="16"/>
      <c r="BU94" s="16"/>
      <c r="BV94" s="16"/>
      <c r="BW94" s="16"/>
      <c r="BX94" s="16"/>
      <c r="BY94" s="16"/>
      <c r="BZ94" s="16"/>
      <c r="CA94" s="16"/>
      <c r="CB94" s="16"/>
      <c r="CC94" s="16"/>
      <c r="CD94" s="16"/>
      <c r="CE94" s="16"/>
      <c r="CF94" s="16"/>
      <c r="CG94" s="16"/>
      <c r="CH94" s="16"/>
      <c r="CI94" s="16"/>
      <c r="CJ94" s="16"/>
      <c r="CK94" s="16"/>
      <c r="CL94" s="16"/>
      <c r="CM94" s="16"/>
      <c r="CN94" s="16"/>
      <c r="CO94" s="16"/>
      <c r="CP94" s="16"/>
      <c r="CQ94" s="16"/>
      <c r="CR94" s="16"/>
      <c r="CS94" s="16"/>
      <c r="CT94" s="16"/>
      <c r="CU94" s="16"/>
      <c r="CV94" s="16"/>
      <c r="CW94" s="16"/>
      <c r="CX94" s="16"/>
      <c r="CY94" s="16"/>
      <c r="CZ94" s="16"/>
      <c r="DA94" s="16"/>
      <c r="DB94" s="16"/>
      <c r="DC94" s="16"/>
      <c r="DD94" s="16"/>
      <c r="DE94" s="16"/>
      <c r="DF94" s="16"/>
      <c r="DG94" s="16"/>
      <c r="DH94" s="16"/>
      <c r="DI94" s="16"/>
      <c r="DJ94" s="16"/>
      <c r="DK94" s="16"/>
      <c r="DL94" s="16"/>
      <c r="DM94" s="16"/>
      <c r="DN94" s="16"/>
      <c r="DO94" s="16"/>
      <c r="DP94" s="16"/>
      <c r="DQ94" s="16"/>
      <c r="DR94" s="16"/>
      <c r="DS94" s="16"/>
      <c r="DT94" s="16"/>
      <c r="DU94" s="16"/>
      <c r="DV94" s="16"/>
      <c r="DW94" s="16"/>
      <c r="DX94" s="16"/>
      <c r="DY94" s="16"/>
      <c r="DZ94" s="16"/>
      <c r="EA94" s="16"/>
      <c r="EB94" s="16"/>
      <c r="EC94" s="16"/>
      <c r="ED94" s="16"/>
      <c r="EE94" s="16"/>
    </row>
    <row r="95" spans="1:135" customFormat="1" ht="17.25" x14ac:dyDescent="0.25">
      <c r="A95" s="264" t="s">
        <v>327</v>
      </c>
      <c r="B95" s="265" t="s">
        <v>49</v>
      </c>
      <c r="C95" s="142" t="str">
        <f t="shared" si="2"/>
        <v>OK</v>
      </c>
      <c r="D95" s="16"/>
      <c r="E95" s="17"/>
      <c r="F95" s="16"/>
      <c r="G95" s="16"/>
      <c r="H95" s="16"/>
      <c r="I95" s="262"/>
      <c r="J95" s="16"/>
      <c r="K95" s="16"/>
      <c r="L95" s="16"/>
      <c r="M95" s="16"/>
      <c r="O95" s="16"/>
      <c r="P95" s="16"/>
      <c r="Q95" s="16"/>
      <c r="R95" s="16"/>
      <c r="S95" s="16"/>
      <c r="T95" s="88"/>
      <c r="U95" s="88"/>
      <c r="Z95" s="88"/>
      <c r="AA95" s="88"/>
      <c r="AB95" s="16"/>
      <c r="AC95" s="16"/>
      <c r="AD95" s="21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  <c r="BH95" s="16"/>
      <c r="BI95" s="16"/>
      <c r="BJ95" s="16"/>
      <c r="BK95" s="16"/>
      <c r="BL95" s="16"/>
      <c r="BM95" s="16"/>
      <c r="BN95" s="16"/>
      <c r="BO95" s="16"/>
      <c r="BP95" s="16"/>
      <c r="BQ95" s="16"/>
      <c r="BR95" s="16"/>
      <c r="BS95" s="16"/>
      <c r="BT95" s="16"/>
      <c r="BU95" s="16"/>
      <c r="BV95" s="16"/>
      <c r="BW95" s="16"/>
      <c r="BX95" s="16"/>
      <c r="BY95" s="16"/>
      <c r="BZ95" s="16"/>
      <c r="CA95" s="16"/>
      <c r="CB95" s="16"/>
      <c r="CC95" s="16"/>
      <c r="CD95" s="16"/>
      <c r="CE95" s="16"/>
      <c r="CF95" s="16"/>
      <c r="CG95" s="16"/>
      <c r="CH95" s="16"/>
      <c r="CI95" s="16"/>
      <c r="CJ95" s="16"/>
      <c r="CK95" s="16"/>
      <c r="CL95" s="16"/>
      <c r="CM95" s="16"/>
      <c r="CN95" s="16"/>
      <c r="CO95" s="16"/>
      <c r="CP95" s="16"/>
      <c r="CQ95" s="16"/>
      <c r="CR95" s="16"/>
      <c r="CS95" s="16"/>
      <c r="CT95" s="16"/>
      <c r="CU95" s="16"/>
      <c r="CV95" s="16"/>
      <c r="CW95" s="16"/>
      <c r="CX95" s="16"/>
      <c r="CY95" s="16"/>
      <c r="CZ95" s="16"/>
      <c r="DA95" s="16"/>
      <c r="DB95" s="16"/>
      <c r="DC95" s="16"/>
      <c r="DD95" s="16"/>
      <c r="DE95" s="16"/>
      <c r="DF95" s="16"/>
      <c r="DG95" s="16"/>
      <c r="DH95" s="16"/>
      <c r="DI95" s="16"/>
      <c r="DJ95" s="16"/>
      <c r="DK95" s="16"/>
      <c r="DL95" s="16"/>
      <c r="DM95" s="16"/>
      <c r="DN95" s="16"/>
      <c r="DO95" s="16"/>
      <c r="DP95" s="16"/>
      <c r="DQ95" s="16"/>
      <c r="DR95" s="16"/>
      <c r="DS95" s="16"/>
      <c r="DT95" s="16"/>
      <c r="DU95" s="16"/>
      <c r="DV95" s="16"/>
      <c r="DW95" s="16"/>
      <c r="DX95" s="16"/>
      <c r="DY95" s="16"/>
      <c r="DZ95" s="16"/>
      <c r="EA95" s="16"/>
      <c r="EB95" s="16"/>
      <c r="EC95" s="16"/>
      <c r="ED95" s="16"/>
      <c r="EE95" s="16"/>
    </row>
    <row r="96" spans="1:135" customFormat="1" ht="17.25" x14ac:dyDescent="0.25">
      <c r="A96" s="264" t="s">
        <v>65</v>
      </c>
      <c r="B96" s="265" t="s">
        <v>37</v>
      </c>
      <c r="C96" s="142" t="str">
        <f t="shared" si="2"/>
        <v>OK</v>
      </c>
      <c r="D96" s="16"/>
      <c r="E96" s="17"/>
      <c r="F96" s="16"/>
      <c r="G96" s="16"/>
      <c r="H96" s="16"/>
      <c r="I96" s="262"/>
      <c r="J96" s="16"/>
      <c r="K96" s="16"/>
      <c r="L96" s="16"/>
      <c r="M96" s="16"/>
      <c r="O96" s="16"/>
      <c r="P96" s="16"/>
      <c r="Q96" s="16"/>
      <c r="R96" s="16"/>
      <c r="S96" s="16"/>
      <c r="T96" s="88"/>
      <c r="U96" s="88"/>
      <c r="Z96" s="88"/>
      <c r="AA96" s="88"/>
      <c r="AB96" s="16"/>
      <c r="AC96" s="16"/>
      <c r="AD96" s="21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  <c r="BK96" s="16"/>
      <c r="BL96" s="16"/>
      <c r="BM96" s="16"/>
      <c r="BN96" s="16"/>
      <c r="BO96" s="16"/>
      <c r="BP96" s="16"/>
      <c r="BQ96" s="16"/>
      <c r="BR96" s="16"/>
      <c r="BS96" s="16"/>
      <c r="BT96" s="16"/>
      <c r="BU96" s="16"/>
      <c r="BV96" s="16"/>
      <c r="BW96" s="16"/>
      <c r="BX96" s="16"/>
      <c r="BY96" s="16"/>
      <c r="BZ96" s="16"/>
      <c r="CA96" s="16"/>
      <c r="CB96" s="16"/>
      <c r="CC96" s="16"/>
      <c r="CD96" s="16"/>
      <c r="CE96" s="16"/>
      <c r="CF96" s="16"/>
      <c r="CG96" s="16"/>
      <c r="CH96" s="16"/>
      <c r="CI96" s="16"/>
      <c r="CJ96" s="16"/>
      <c r="CK96" s="16"/>
      <c r="CL96" s="16"/>
      <c r="CM96" s="16"/>
      <c r="CN96" s="16"/>
      <c r="CO96" s="16"/>
      <c r="CP96" s="16"/>
      <c r="CQ96" s="16"/>
      <c r="CR96" s="16"/>
      <c r="CS96" s="16"/>
      <c r="CT96" s="16"/>
      <c r="CU96" s="16"/>
      <c r="CV96" s="16"/>
      <c r="CW96" s="16"/>
      <c r="CX96" s="16"/>
      <c r="CY96" s="16"/>
      <c r="CZ96" s="16"/>
      <c r="DA96" s="16"/>
      <c r="DB96" s="16"/>
      <c r="DC96" s="16"/>
      <c r="DD96" s="16"/>
      <c r="DE96" s="16"/>
      <c r="DF96" s="16"/>
      <c r="DG96" s="16"/>
      <c r="DH96" s="16"/>
      <c r="DI96" s="16"/>
      <c r="DJ96" s="16"/>
      <c r="DK96" s="16"/>
      <c r="DL96" s="16"/>
      <c r="DM96" s="16"/>
      <c r="DN96" s="16"/>
      <c r="DO96" s="16"/>
      <c r="DP96" s="16"/>
      <c r="DQ96" s="16"/>
      <c r="DR96" s="16"/>
      <c r="DS96" s="16"/>
      <c r="DT96" s="16"/>
      <c r="DU96" s="16"/>
      <c r="DV96" s="16"/>
      <c r="DW96" s="16"/>
      <c r="DX96" s="16"/>
      <c r="DY96" s="16"/>
      <c r="DZ96" s="16"/>
      <c r="EA96" s="16"/>
      <c r="EB96" s="16"/>
      <c r="EC96" s="16"/>
      <c r="ED96" s="16"/>
      <c r="EE96" s="16"/>
    </row>
    <row r="97" spans="1:135" customFormat="1" ht="17.25" x14ac:dyDescent="0.25">
      <c r="A97" s="211" t="s">
        <v>93</v>
      </c>
      <c r="B97" s="265" t="s">
        <v>15</v>
      </c>
      <c r="C97" s="142" t="str">
        <f t="shared" si="2"/>
        <v>OK</v>
      </c>
      <c r="D97" s="16"/>
      <c r="E97" s="17"/>
      <c r="F97" s="16"/>
      <c r="G97" s="16"/>
      <c r="H97" s="16"/>
      <c r="I97" s="262"/>
      <c r="J97" s="16"/>
      <c r="K97" s="16"/>
      <c r="L97" s="16"/>
      <c r="M97" s="16"/>
      <c r="O97" s="16"/>
      <c r="P97" s="16"/>
      <c r="Q97" s="16"/>
      <c r="R97" s="16"/>
      <c r="S97" s="16"/>
      <c r="T97" s="88"/>
      <c r="U97" s="88"/>
      <c r="Z97" s="88"/>
      <c r="AA97" s="88"/>
      <c r="AB97" s="16"/>
      <c r="AC97" s="16"/>
      <c r="AD97" s="21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  <c r="BK97" s="16"/>
      <c r="BL97" s="16"/>
      <c r="BM97" s="16"/>
      <c r="BN97" s="16"/>
      <c r="BO97" s="16"/>
      <c r="BP97" s="16"/>
      <c r="BQ97" s="16"/>
      <c r="BR97" s="16"/>
      <c r="BS97" s="16"/>
      <c r="BT97" s="16"/>
      <c r="BU97" s="16"/>
      <c r="BV97" s="16"/>
      <c r="BW97" s="16"/>
      <c r="BX97" s="16"/>
      <c r="BY97" s="16"/>
      <c r="BZ97" s="16"/>
      <c r="CA97" s="16"/>
      <c r="CB97" s="16"/>
      <c r="CC97" s="16"/>
      <c r="CD97" s="16"/>
      <c r="CE97" s="16"/>
      <c r="CF97" s="16"/>
      <c r="CG97" s="16"/>
      <c r="CH97" s="16"/>
      <c r="CI97" s="16"/>
      <c r="CJ97" s="16"/>
      <c r="CK97" s="16"/>
      <c r="CL97" s="16"/>
      <c r="CM97" s="16"/>
      <c r="CN97" s="16"/>
      <c r="CO97" s="16"/>
      <c r="CP97" s="16"/>
      <c r="CQ97" s="16"/>
      <c r="CR97" s="16"/>
      <c r="CS97" s="16"/>
      <c r="CT97" s="16"/>
      <c r="CU97" s="16"/>
      <c r="CV97" s="16"/>
      <c r="CW97" s="16"/>
      <c r="CX97" s="16"/>
      <c r="CY97" s="16"/>
      <c r="CZ97" s="16"/>
      <c r="DA97" s="16"/>
      <c r="DB97" s="16"/>
      <c r="DC97" s="16"/>
      <c r="DD97" s="16"/>
      <c r="DE97" s="16"/>
      <c r="DF97" s="16"/>
      <c r="DG97" s="16"/>
      <c r="DH97" s="16"/>
      <c r="DI97" s="16"/>
      <c r="DJ97" s="16"/>
      <c r="DK97" s="16"/>
      <c r="DL97" s="16"/>
      <c r="DM97" s="16"/>
      <c r="DN97" s="16"/>
      <c r="DO97" s="16"/>
      <c r="DP97" s="16"/>
      <c r="DQ97" s="16"/>
      <c r="DR97" s="16"/>
      <c r="DS97" s="16"/>
      <c r="DT97" s="16"/>
      <c r="DU97" s="16"/>
      <c r="DV97" s="16"/>
      <c r="DW97" s="16"/>
      <c r="DX97" s="16"/>
      <c r="DY97" s="16"/>
      <c r="DZ97" s="16"/>
      <c r="EA97" s="16"/>
      <c r="EB97" s="16"/>
      <c r="EC97" s="16"/>
      <c r="ED97" s="16"/>
      <c r="EE97" s="16"/>
    </row>
    <row r="98" spans="1:135" customFormat="1" ht="17.25" x14ac:dyDescent="0.25">
      <c r="A98" s="264" t="s">
        <v>351</v>
      </c>
      <c r="B98" s="246" t="s">
        <v>25</v>
      </c>
      <c r="C98" s="142" t="str">
        <f t="shared" si="2"/>
        <v>OK</v>
      </c>
      <c r="D98" s="16"/>
      <c r="E98" s="17"/>
      <c r="F98" s="16"/>
      <c r="G98" s="16"/>
      <c r="H98" s="16"/>
      <c r="I98" s="262"/>
      <c r="J98" s="16"/>
      <c r="K98" s="16"/>
      <c r="L98" s="16"/>
      <c r="M98" s="16"/>
      <c r="O98" s="16"/>
      <c r="P98" s="16"/>
      <c r="Q98" s="16"/>
      <c r="R98" s="16"/>
      <c r="S98" s="16"/>
      <c r="T98" s="88"/>
      <c r="U98" s="88"/>
      <c r="Z98" s="88"/>
      <c r="AA98" s="88"/>
      <c r="AB98" s="16"/>
      <c r="AC98" s="16"/>
      <c r="AD98" s="21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  <c r="BK98" s="16"/>
      <c r="BL98" s="16"/>
      <c r="BM98" s="16"/>
      <c r="BN98" s="16"/>
      <c r="BO98" s="16"/>
      <c r="BP98" s="16"/>
      <c r="BQ98" s="16"/>
      <c r="BR98" s="16"/>
      <c r="BS98" s="16"/>
      <c r="BT98" s="16"/>
      <c r="BU98" s="16"/>
      <c r="BV98" s="16"/>
      <c r="BW98" s="16"/>
      <c r="BX98" s="16"/>
      <c r="BY98" s="16"/>
      <c r="BZ98" s="16"/>
      <c r="CA98" s="16"/>
      <c r="CB98" s="16"/>
      <c r="CC98" s="16"/>
      <c r="CD98" s="16"/>
      <c r="CE98" s="16"/>
      <c r="CF98" s="16"/>
      <c r="CG98" s="16"/>
      <c r="CH98" s="16"/>
      <c r="CI98" s="16"/>
      <c r="CJ98" s="16"/>
      <c r="CK98" s="16"/>
      <c r="CL98" s="16"/>
      <c r="CM98" s="16"/>
      <c r="CN98" s="16"/>
      <c r="CO98" s="16"/>
      <c r="CP98" s="16"/>
      <c r="CQ98" s="16"/>
      <c r="CR98" s="16"/>
      <c r="CS98" s="16"/>
      <c r="CT98" s="16"/>
      <c r="CU98" s="16"/>
      <c r="CV98" s="16"/>
      <c r="CW98" s="16"/>
      <c r="CX98" s="16"/>
      <c r="CY98" s="16"/>
      <c r="CZ98" s="16"/>
      <c r="DA98" s="16"/>
      <c r="DB98" s="16"/>
      <c r="DC98" s="16"/>
      <c r="DD98" s="16"/>
      <c r="DE98" s="16"/>
      <c r="DF98" s="16"/>
      <c r="DG98" s="16"/>
      <c r="DH98" s="16"/>
      <c r="DI98" s="16"/>
      <c r="DJ98" s="16"/>
      <c r="DK98" s="16"/>
      <c r="DL98" s="16"/>
      <c r="DM98" s="16"/>
      <c r="DN98" s="16"/>
      <c r="DO98" s="16"/>
      <c r="DP98" s="16"/>
      <c r="DQ98" s="16"/>
      <c r="DR98" s="16"/>
      <c r="DS98" s="16"/>
      <c r="DT98" s="16"/>
      <c r="DU98" s="16"/>
      <c r="DV98" s="16"/>
      <c r="DW98" s="16"/>
      <c r="DX98" s="16"/>
      <c r="DY98" s="16"/>
      <c r="DZ98" s="16"/>
      <c r="EA98" s="16"/>
      <c r="EB98" s="16"/>
      <c r="EC98" s="16"/>
      <c r="ED98" s="16"/>
      <c r="EE98" s="16"/>
    </row>
    <row r="99" spans="1:135" customFormat="1" x14ac:dyDescent="0.25">
      <c r="A99" s="211" t="s">
        <v>352</v>
      </c>
      <c r="B99" s="246" t="s">
        <v>63</v>
      </c>
      <c r="C99" s="142" t="str">
        <f t="shared" si="2"/>
        <v>OK</v>
      </c>
      <c r="D99" s="16"/>
      <c r="E99" s="17"/>
      <c r="F99" s="16"/>
      <c r="G99" s="16"/>
      <c r="H99" s="16"/>
      <c r="I99" s="262"/>
      <c r="J99" s="16"/>
      <c r="K99" s="16"/>
      <c r="L99" s="16"/>
      <c r="M99" s="16"/>
      <c r="O99" s="16"/>
      <c r="P99" s="16"/>
      <c r="Q99" s="16"/>
      <c r="R99" s="16"/>
      <c r="S99" s="16"/>
      <c r="T99" s="88"/>
      <c r="Z99" s="88"/>
      <c r="AA99" s="88"/>
      <c r="AB99" s="16"/>
      <c r="AC99" s="16"/>
      <c r="AD99" s="21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  <c r="BK99" s="16"/>
      <c r="BL99" s="16"/>
      <c r="BM99" s="16"/>
      <c r="BN99" s="16"/>
      <c r="BO99" s="16"/>
      <c r="BP99" s="16"/>
      <c r="BQ99" s="16"/>
      <c r="BR99" s="16"/>
      <c r="BS99" s="16"/>
      <c r="BT99" s="16"/>
      <c r="BU99" s="16"/>
      <c r="BV99" s="16"/>
      <c r="BW99" s="16"/>
      <c r="BX99" s="16"/>
      <c r="BY99" s="16"/>
      <c r="BZ99" s="16"/>
      <c r="CA99" s="16"/>
      <c r="CB99" s="16"/>
      <c r="CC99" s="16"/>
      <c r="CD99" s="16"/>
      <c r="CE99" s="16"/>
      <c r="CF99" s="16"/>
      <c r="CG99" s="16"/>
      <c r="CH99" s="16"/>
      <c r="CI99" s="16"/>
      <c r="CJ99" s="16"/>
      <c r="CK99" s="16"/>
      <c r="CL99" s="16"/>
      <c r="CM99" s="16"/>
      <c r="CN99" s="16"/>
      <c r="CO99" s="16"/>
      <c r="CP99" s="16"/>
      <c r="CQ99" s="16"/>
      <c r="CR99" s="16"/>
      <c r="CS99" s="16"/>
      <c r="CT99" s="16"/>
      <c r="CU99" s="16"/>
      <c r="CV99" s="16"/>
      <c r="CW99" s="16"/>
      <c r="CX99" s="16"/>
      <c r="CY99" s="16"/>
      <c r="CZ99" s="16"/>
      <c r="DA99" s="16"/>
      <c r="DB99" s="16"/>
      <c r="DC99" s="16"/>
      <c r="DD99" s="16"/>
      <c r="DE99" s="16"/>
      <c r="DF99" s="16"/>
      <c r="DG99" s="16"/>
      <c r="DH99" s="16"/>
      <c r="DI99" s="16"/>
      <c r="DJ99" s="16"/>
      <c r="DK99" s="16"/>
      <c r="DL99" s="16"/>
      <c r="DM99" s="16"/>
      <c r="DN99" s="16"/>
      <c r="DO99" s="16"/>
      <c r="DP99" s="16"/>
      <c r="DQ99" s="16"/>
      <c r="DR99" s="16"/>
      <c r="DS99" s="16"/>
      <c r="DT99" s="16"/>
      <c r="DU99" s="16"/>
      <c r="DV99" s="16"/>
      <c r="DW99" s="16"/>
      <c r="DX99" s="16"/>
      <c r="DY99" s="16"/>
      <c r="DZ99" s="16"/>
      <c r="EA99" s="16"/>
      <c r="EB99" s="16"/>
      <c r="EC99" s="16"/>
      <c r="ED99" s="16"/>
      <c r="EE99" s="16"/>
    </row>
    <row r="100" spans="1:135" customFormat="1" x14ac:dyDescent="0.25">
      <c r="A100" s="211" t="s">
        <v>353</v>
      </c>
      <c r="B100" s="246" t="s">
        <v>63</v>
      </c>
      <c r="C100" s="142" t="str">
        <f t="shared" si="2"/>
        <v>OK</v>
      </c>
      <c r="D100" s="16"/>
      <c r="E100" s="17"/>
      <c r="F100" s="16"/>
      <c r="G100" s="16"/>
      <c r="H100" s="16"/>
      <c r="I100" s="262"/>
      <c r="J100" s="16"/>
      <c r="K100" s="16"/>
      <c r="L100" s="16"/>
      <c r="M100" s="16"/>
      <c r="O100" s="16"/>
      <c r="P100" s="16"/>
      <c r="Q100" s="16"/>
      <c r="R100" s="16"/>
      <c r="S100" s="16"/>
      <c r="T100" s="88"/>
      <c r="U100" s="88"/>
      <c r="Z100" s="88"/>
      <c r="AA100" s="88"/>
      <c r="AB100" s="16"/>
      <c r="AC100" s="16"/>
      <c r="AD100" s="21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  <c r="BK100" s="16"/>
      <c r="BL100" s="16"/>
      <c r="BM100" s="16"/>
      <c r="BN100" s="16"/>
      <c r="BO100" s="16"/>
      <c r="BP100" s="16"/>
      <c r="BQ100" s="16"/>
      <c r="BR100" s="16"/>
      <c r="BS100" s="16"/>
      <c r="BT100" s="16"/>
      <c r="BU100" s="16"/>
      <c r="BV100" s="16"/>
      <c r="BW100" s="16"/>
      <c r="BX100" s="16"/>
      <c r="BY100" s="16"/>
      <c r="BZ100" s="16"/>
      <c r="CA100" s="16"/>
      <c r="CB100" s="16"/>
      <c r="CC100" s="16"/>
      <c r="CD100" s="16"/>
      <c r="CE100" s="16"/>
      <c r="CF100" s="16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</row>
    <row r="101" spans="1:135" customFormat="1" x14ac:dyDescent="0.25">
      <c r="A101" s="140" t="s">
        <v>354</v>
      </c>
      <c r="B101" s="246" t="s">
        <v>62</v>
      </c>
      <c r="C101" s="142" t="str">
        <f t="shared" si="2"/>
        <v>OK</v>
      </c>
      <c r="D101" s="16"/>
      <c r="E101" s="17"/>
      <c r="F101" s="16"/>
      <c r="G101" s="16"/>
      <c r="H101" s="16"/>
      <c r="I101" s="262"/>
      <c r="J101" s="16"/>
      <c r="K101" s="16"/>
      <c r="L101" s="16"/>
      <c r="M101" s="16"/>
      <c r="O101" s="16"/>
      <c r="P101" s="16"/>
      <c r="Q101" s="16"/>
      <c r="R101" s="16"/>
      <c r="S101" s="16"/>
      <c r="T101" s="88"/>
      <c r="U101" s="88"/>
      <c r="Z101" s="88"/>
      <c r="AA101" s="88"/>
      <c r="AB101" s="16"/>
      <c r="AC101" s="16"/>
      <c r="AD101" s="21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  <c r="BK101" s="16"/>
      <c r="BL101" s="16"/>
      <c r="BM101" s="16"/>
      <c r="BN101" s="16"/>
      <c r="BO101" s="16"/>
      <c r="BP101" s="16"/>
      <c r="BQ101" s="16"/>
      <c r="BR101" s="16"/>
      <c r="BS101" s="16"/>
      <c r="BT101" s="16"/>
      <c r="BU101" s="16"/>
      <c r="BV101" s="16"/>
      <c r="BW101" s="16"/>
      <c r="BX101" s="16"/>
      <c r="BY101" s="16"/>
      <c r="BZ101" s="16"/>
      <c r="CA101" s="16"/>
      <c r="CB101" s="16"/>
      <c r="CC101" s="16"/>
      <c r="CD101" s="16"/>
      <c r="CE101" s="16"/>
      <c r="CF101" s="16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</row>
    <row r="102" spans="1:135" customFormat="1" ht="17.25" x14ac:dyDescent="0.25">
      <c r="A102" s="264" t="s">
        <v>51</v>
      </c>
      <c r="B102" s="265" t="s">
        <v>51</v>
      </c>
      <c r="C102" s="142" t="str">
        <f t="shared" si="2"/>
        <v>OK</v>
      </c>
      <c r="D102" s="16"/>
      <c r="E102" s="17"/>
      <c r="F102" s="16"/>
      <c r="G102" s="16"/>
      <c r="H102" s="16"/>
      <c r="I102" s="262"/>
      <c r="J102" s="16"/>
      <c r="K102" s="16"/>
      <c r="L102" s="16"/>
      <c r="M102" s="16"/>
      <c r="O102" s="16"/>
      <c r="P102" s="16"/>
      <c r="Q102" s="16"/>
      <c r="R102" s="16"/>
      <c r="S102" s="16"/>
      <c r="T102" s="88"/>
      <c r="U102" s="88"/>
      <c r="Z102" s="88"/>
      <c r="AA102" s="88"/>
      <c r="AB102" s="16"/>
      <c r="AC102" s="16"/>
      <c r="AD102" s="21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  <c r="BK102" s="16"/>
      <c r="BL102" s="16"/>
      <c r="BM102" s="16"/>
      <c r="BN102" s="16"/>
      <c r="BO102" s="16"/>
      <c r="BP102" s="16"/>
      <c r="BQ102" s="16"/>
      <c r="BR102" s="16"/>
      <c r="BS102" s="16"/>
      <c r="BT102" s="16"/>
      <c r="BU102" s="16"/>
      <c r="BV102" s="16"/>
      <c r="BW102" s="16"/>
      <c r="BX102" s="16"/>
      <c r="BY102" s="16"/>
      <c r="BZ102" s="16"/>
      <c r="CA102" s="16"/>
      <c r="CB102" s="16"/>
      <c r="CC102" s="16"/>
      <c r="CD102" s="16"/>
      <c r="CE102" s="16"/>
      <c r="CF102" s="16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</row>
    <row r="103" spans="1:135" customFormat="1" x14ac:dyDescent="0.25">
      <c r="A103" s="211" t="s">
        <v>355</v>
      </c>
      <c r="B103" s="249" t="s">
        <v>14</v>
      </c>
      <c r="C103" s="142" t="str">
        <f t="shared" si="2"/>
        <v>OK</v>
      </c>
      <c r="D103" s="16"/>
      <c r="E103" s="17"/>
      <c r="F103" s="16"/>
      <c r="G103" s="16"/>
      <c r="H103" s="16"/>
      <c r="I103" s="262"/>
      <c r="J103" s="16"/>
      <c r="K103" s="16"/>
      <c r="L103" s="16"/>
      <c r="M103" s="16"/>
      <c r="O103" s="16"/>
      <c r="P103" s="16"/>
      <c r="Q103" s="16"/>
      <c r="R103" s="16"/>
      <c r="S103" s="16"/>
      <c r="T103" s="88"/>
      <c r="U103" s="88"/>
      <c r="Z103" s="88"/>
      <c r="AA103" s="88"/>
      <c r="AB103" s="16"/>
      <c r="AC103" s="16"/>
      <c r="AD103" s="21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</row>
    <row r="104" spans="1:135" customFormat="1" x14ac:dyDescent="0.25">
      <c r="A104" s="211" t="s">
        <v>108</v>
      </c>
      <c r="B104" s="249" t="s">
        <v>110</v>
      </c>
      <c r="C104" s="142" t="str">
        <f t="shared" si="2"/>
        <v>OK</v>
      </c>
      <c r="D104" s="16"/>
      <c r="E104" s="17"/>
      <c r="F104" s="16"/>
      <c r="G104" s="16"/>
      <c r="H104" s="16"/>
      <c r="I104" s="262"/>
      <c r="J104" s="16"/>
      <c r="K104" s="16"/>
      <c r="L104" s="16"/>
      <c r="M104" s="16"/>
      <c r="O104" s="16"/>
      <c r="P104" s="16"/>
      <c r="Q104" s="16"/>
      <c r="R104" s="16"/>
      <c r="S104" s="16"/>
      <c r="T104" s="88"/>
      <c r="U104" s="88"/>
      <c r="Z104" s="88"/>
      <c r="AA104" s="88"/>
      <c r="AB104" s="16"/>
      <c r="AC104" s="16"/>
      <c r="AD104" s="21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</row>
    <row r="105" spans="1:135" customFormat="1" x14ac:dyDescent="0.25">
      <c r="A105" s="211" t="s">
        <v>109</v>
      </c>
      <c r="B105" s="246" t="s">
        <v>62</v>
      </c>
      <c r="C105" s="142" t="str">
        <f t="shared" si="2"/>
        <v>OK</v>
      </c>
      <c r="D105" s="16"/>
      <c r="E105" s="17"/>
      <c r="F105" s="16"/>
      <c r="G105" s="16"/>
      <c r="H105" s="16"/>
      <c r="I105" s="262"/>
      <c r="J105" s="16"/>
      <c r="K105" s="16"/>
      <c r="L105" s="16"/>
      <c r="M105" s="16"/>
      <c r="O105" s="16"/>
      <c r="P105" s="16"/>
      <c r="Q105" s="16"/>
      <c r="R105" s="16"/>
      <c r="S105" s="16"/>
      <c r="T105" s="88"/>
      <c r="U105" s="88"/>
      <c r="Z105" s="88"/>
      <c r="AA105" s="88"/>
      <c r="AB105" s="16"/>
      <c r="AC105" s="16"/>
      <c r="AD105" s="21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  <c r="BK105" s="16"/>
      <c r="BL105" s="16"/>
      <c r="BM105" s="16"/>
      <c r="BN105" s="16"/>
      <c r="BO105" s="16"/>
      <c r="BP105" s="16"/>
      <c r="BQ105" s="16"/>
      <c r="BR105" s="16"/>
      <c r="BS105" s="16"/>
      <c r="BT105" s="16"/>
      <c r="BU105" s="16"/>
      <c r="BV105" s="16"/>
      <c r="BW105" s="16"/>
      <c r="BX105" s="16"/>
      <c r="BY105" s="16"/>
      <c r="BZ105" s="16"/>
      <c r="CA105" s="16"/>
      <c r="CB105" s="16"/>
      <c r="CC105" s="16"/>
      <c r="CD105" s="16"/>
      <c r="CE105" s="16"/>
      <c r="CF105" s="16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</row>
    <row r="106" spans="1:135" customFormat="1" x14ac:dyDescent="0.25">
      <c r="A106" s="140" t="s">
        <v>145</v>
      </c>
      <c r="B106" s="246" t="s">
        <v>62</v>
      </c>
      <c r="C106" s="142" t="str">
        <f t="shared" si="2"/>
        <v>OK</v>
      </c>
      <c r="D106" s="16"/>
      <c r="E106" s="17"/>
      <c r="F106" s="16"/>
      <c r="G106" s="16"/>
      <c r="H106" s="16"/>
      <c r="I106" s="262"/>
      <c r="J106" s="16"/>
      <c r="K106" s="16"/>
      <c r="L106" s="16"/>
      <c r="M106" s="16"/>
      <c r="O106" s="16"/>
      <c r="P106" s="16"/>
      <c r="Q106" s="16"/>
      <c r="R106" s="16"/>
      <c r="S106" s="16"/>
      <c r="T106" s="88"/>
      <c r="U106" s="88"/>
      <c r="Z106" s="88"/>
      <c r="AA106" s="88"/>
      <c r="AB106" s="16"/>
      <c r="AC106" s="16"/>
      <c r="AD106" s="21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  <c r="BK106" s="16"/>
      <c r="BL106" s="16"/>
      <c r="BM106" s="16"/>
      <c r="BN106" s="16"/>
      <c r="BO106" s="16"/>
      <c r="BP106" s="16"/>
      <c r="BQ106" s="16"/>
      <c r="BR106" s="16"/>
      <c r="BS106" s="16"/>
      <c r="BT106" s="16"/>
      <c r="BU106" s="16"/>
      <c r="BV106" s="16"/>
      <c r="BW106" s="16"/>
      <c r="BX106" s="16"/>
      <c r="BY106" s="16"/>
      <c r="BZ106" s="16"/>
      <c r="CA106" s="16"/>
      <c r="CB106" s="16"/>
      <c r="CC106" s="16"/>
      <c r="CD106" s="16"/>
      <c r="CE106" s="16"/>
      <c r="CF106" s="16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</row>
    <row r="107" spans="1:135" customFormat="1" ht="17.25" x14ac:dyDescent="0.25">
      <c r="A107" s="140" t="s">
        <v>356</v>
      </c>
      <c r="B107" s="265" t="s">
        <v>2</v>
      </c>
      <c r="C107" s="142" t="str">
        <f t="shared" si="2"/>
        <v>OK</v>
      </c>
      <c r="D107" s="16"/>
      <c r="E107" s="17"/>
      <c r="F107" s="16"/>
      <c r="G107" s="16"/>
      <c r="H107" s="16"/>
      <c r="I107" s="262"/>
      <c r="J107" s="16"/>
      <c r="K107" s="16"/>
      <c r="L107" s="16"/>
      <c r="M107" s="16"/>
      <c r="O107" s="16"/>
      <c r="P107" s="16"/>
      <c r="Q107" s="16"/>
      <c r="R107" s="16"/>
      <c r="S107" s="16"/>
      <c r="T107" s="88"/>
      <c r="U107" s="88"/>
      <c r="Z107" s="88"/>
      <c r="AA107" s="88"/>
      <c r="AB107" s="16"/>
      <c r="AC107" s="16"/>
      <c r="AD107" s="21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  <c r="BK107" s="16"/>
      <c r="BL107" s="16"/>
      <c r="BM107" s="16"/>
      <c r="BN107" s="16"/>
      <c r="BO107" s="16"/>
      <c r="BP107" s="16"/>
      <c r="BQ107" s="16"/>
      <c r="BR107" s="16"/>
      <c r="BS107" s="16"/>
      <c r="BT107" s="16"/>
      <c r="BU107" s="16"/>
      <c r="BV107" s="16"/>
      <c r="BW107" s="16"/>
      <c r="BX107" s="16"/>
      <c r="BY107" s="16"/>
      <c r="BZ107" s="16"/>
      <c r="CA107" s="16"/>
      <c r="CB107" s="16"/>
      <c r="CC107" s="16"/>
      <c r="CD107" s="16"/>
      <c r="CE107" s="16"/>
      <c r="CF107" s="16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</row>
    <row r="108" spans="1:135" customFormat="1" ht="17.25" x14ac:dyDescent="0.25">
      <c r="A108" s="140" t="s">
        <v>357</v>
      </c>
      <c r="B108" s="265" t="s">
        <v>6</v>
      </c>
      <c r="C108" s="142" t="str">
        <f t="shared" si="2"/>
        <v>OK</v>
      </c>
      <c r="D108" s="16"/>
      <c r="E108" s="17"/>
      <c r="F108" s="16"/>
      <c r="G108" s="16"/>
      <c r="H108" s="16"/>
      <c r="I108" s="262"/>
      <c r="J108" s="16"/>
      <c r="K108" s="16"/>
      <c r="L108" s="16"/>
      <c r="M108" s="16"/>
      <c r="O108" s="16"/>
      <c r="P108" s="16"/>
      <c r="Q108" s="16"/>
      <c r="R108" s="16"/>
      <c r="S108" s="16"/>
      <c r="T108" s="88"/>
      <c r="U108" s="88"/>
      <c r="Z108" s="88"/>
      <c r="AA108" s="88"/>
      <c r="AB108" s="16"/>
      <c r="AC108" s="16"/>
      <c r="AD108" s="21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  <c r="BK108" s="16"/>
      <c r="BL108" s="16"/>
      <c r="BM108" s="16"/>
      <c r="BN108" s="16"/>
      <c r="BO108" s="16"/>
      <c r="BP108" s="16"/>
      <c r="BQ108" s="16"/>
      <c r="BR108" s="16"/>
      <c r="BS108" s="16"/>
      <c r="BT108" s="16"/>
      <c r="BU108" s="16"/>
      <c r="BV108" s="16"/>
      <c r="BW108" s="16"/>
      <c r="BX108" s="16"/>
      <c r="BY108" s="16"/>
      <c r="BZ108" s="16"/>
      <c r="CA108" s="16"/>
      <c r="CB108" s="16"/>
      <c r="CC108" s="16"/>
      <c r="CD108" s="16"/>
      <c r="CE108" s="16"/>
      <c r="CF108" s="16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</row>
    <row r="109" spans="1:135" customFormat="1" ht="17.25" x14ac:dyDescent="0.25">
      <c r="A109" s="140" t="s">
        <v>358</v>
      </c>
      <c r="B109" s="265" t="s">
        <v>25</v>
      </c>
      <c r="C109" s="142" t="str">
        <f t="shared" si="2"/>
        <v>OK</v>
      </c>
      <c r="D109" s="16"/>
      <c r="E109" s="16"/>
      <c r="F109" s="16"/>
      <c r="G109" s="16"/>
      <c r="H109" s="16"/>
      <c r="I109" s="262"/>
      <c r="J109" s="16"/>
      <c r="K109" s="16"/>
      <c r="L109" s="16"/>
      <c r="M109" s="16"/>
      <c r="O109" s="16"/>
      <c r="P109" s="16"/>
      <c r="Q109" s="16"/>
      <c r="R109" s="16"/>
      <c r="S109" s="16"/>
      <c r="T109" s="88"/>
      <c r="Z109" s="88"/>
      <c r="AA109" s="88"/>
      <c r="AB109" s="16"/>
      <c r="AC109" s="16"/>
      <c r="AD109" s="21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  <c r="BK109" s="16"/>
      <c r="BL109" s="16"/>
      <c r="BM109" s="16"/>
      <c r="BN109" s="16"/>
      <c r="BO109" s="16"/>
      <c r="BP109" s="16"/>
      <c r="BQ109" s="16"/>
      <c r="BR109" s="16"/>
      <c r="BS109" s="16"/>
      <c r="BT109" s="16"/>
      <c r="BU109" s="16"/>
      <c r="BV109" s="16"/>
      <c r="BW109" s="16"/>
      <c r="BX109" s="16"/>
      <c r="BY109" s="16"/>
      <c r="BZ109" s="16"/>
      <c r="CA109" s="16"/>
      <c r="CB109" s="16"/>
      <c r="CC109" s="16"/>
      <c r="CD109" s="16"/>
      <c r="CE109" s="16"/>
      <c r="CF109" s="16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</row>
    <row r="110" spans="1:135" customFormat="1" ht="17.25" x14ac:dyDescent="0.25">
      <c r="A110" s="140" t="s">
        <v>359</v>
      </c>
      <c r="B110" s="265" t="s">
        <v>6</v>
      </c>
      <c r="C110" s="142" t="str">
        <f t="shared" si="2"/>
        <v>OK</v>
      </c>
      <c r="D110" s="16"/>
      <c r="E110" s="16"/>
      <c r="F110" s="16"/>
      <c r="G110" s="16"/>
      <c r="H110" s="16"/>
      <c r="I110" s="262"/>
      <c r="J110" s="16"/>
      <c r="K110" s="16"/>
      <c r="L110" s="16"/>
      <c r="M110" s="16"/>
      <c r="O110" s="16"/>
      <c r="P110" s="16"/>
      <c r="Q110" s="16"/>
      <c r="R110" s="16"/>
      <c r="S110" s="16"/>
      <c r="T110" s="88"/>
      <c r="U110" s="88"/>
      <c r="Z110" s="88"/>
      <c r="AA110" s="88"/>
      <c r="AB110" s="16"/>
      <c r="AC110" s="16"/>
      <c r="AD110" s="21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  <c r="BK110" s="16"/>
      <c r="BL110" s="16"/>
      <c r="BM110" s="16"/>
      <c r="BN110" s="16"/>
      <c r="BO110" s="16"/>
      <c r="BP110" s="16"/>
      <c r="BQ110" s="16"/>
      <c r="BR110" s="16"/>
      <c r="BS110" s="16"/>
      <c r="BT110" s="16"/>
      <c r="BU110" s="16"/>
      <c r="BV110" s="16"/>
      <c r="BW110" s="16"/>
      <c r="BX110" s="16"/>
      <c r="BY110" s="16"/>
      <c r="BZ110" s="16"/>
      <c r="CA110" s="16"/>
      <c r="CB110" s="16"/>
      <c r="CC110" s="16"/>
      <c r="CD110" s="16"/>
      <c r="CE110" s="16"/>
      <c r="CF110" s="16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</row>
    <row r="111" spans="1:135" customFormat="1" ht="17.25" x14ac:dyDescent="0.25">
      <c r="A111" s="140" t="s">
        <v>148</v>
      </c>
      <c r="B111" s="265" t="s">
        <v>46</v>
      </c>
      <c r="C111" s="142" t="str">
        <f t="shared" si="2"/>
        <v>OK</v>
      </c>
      <c r="D111" s="16"/>
      <c r="E111" s="16"/>
      <c r="F111" s="16"/>
      <c r="G111" s="16"/>
      <c r="H111" s="16"/>
      <c r="I111" s="262"/>
      <c r="J111" s="16"/>
      <c r="K111" s="16"/>
      <c r="L111" s="16"/>
      <c r="M111" s="16"/>
      <c r="O111" s="16"/>
      <c r="P111" s="16"/>
      <c r="Q111" s="16"/>
      <c r="R111" s="16"/>
      <c r="S111" s="16"/>
      <c r="T111" s="88"/>
      <c r="U111" s="88"/>
      <c r="Z111" s="88"/>
      <c r="AA111" s="88"/>
      <c r="AB111" s="16"/>
      <c r="AC111" s="16"/>
      <c r="AD111" s="21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  <c r="BK111" s="16"/>
      <c r="BL111" s="16"/>
      <c r="BM111" s="16"/>
      <c r="BN111" s="16"/>
      <c r="BO111" s="16"/>
      <c r="BP111" s="16"/>
      <c r="BQ111" s="16"/>
      <c r="BR111" s="16"/>
      <c r="BS111" s="16"/>
      <c r="BT111" s="16"/>
      <c r="BU111" s="16"/>
      <c r="BV111" s="16"/>
      <c r="BW111" s="16"/>
      <c r="BX111" s="16"/>
      <c r="BY111" s="16"/>
      <c r="BZ111" s="16"/>
      <c r="CA111" s="16"/>
      <c r="CB111" s="16"/>
      <c r="CC111" s="16"/>
      <c r="CD111" s="16"/>
      <c r="CE111" s="16"/>
      <c r="CF111" s="16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</row>
    <row r="112" spans="1:135" customFormat="1" ht="17.25" x14ac:dyDescent="0.25">
      <c r="A112" s="140" t="s">
        <v>149</v>
      </c>
      <c r="B112" s="265" t="s">
        <v>31</v>
      </c>
      <c r="C112" s="142" t="str">
        <f t="shared" si="2"/>
        <v>OK</v>
      </c>
      <c r="D112" s="16"/>
      <c r="E112" s="16"/>
      <c r="F112" s="16"/>
      <c r="G112" s="16"/>
      <c r="H112" s="16"/>
      <c r="I112" s="262"/>
      <c r="J112" s="16"/>
      <c r="K112" s="16"/>
      <c r="L112" s="16"/>
      <c r="M112" s="16"/>
      <c r="O112" s="16"/>
      <c r="P112" s="16"/>
      <c r="Q112" s="16"/>
      <c r="R112" s="16"/>
      <c r="S112" s="16"/>
      <c r="T112" s="88"/>
      <c r="U112" s="88"/>
      <c r="Z112" s="88"/>
      <c r="AA112" s="88"/>
      <c r="AB112" s="16"/>
      <c r="AC112" s="16"/>
      <c r="AD112" s="21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  <c r="BK112" s="16"/>
      <c r="BL112" s="16"/>
      <c r="BM112" s="16"/>
      <c r="BN112" s="16"/>
      <c r="BO112" s="16"/>
      <c r="BP112" s="16"/>
      <c r="BQ112" s="16"/>
      <c r="BR112" s="16"/>
      <c r="BS112" s="16"/>
      <c r="BT112" s="16"/>
      <c r="BU112" s="16"/>
      <c r="BV112" s="16"/>
      <c r="BW112" s="16"/>
      <c r="BX112" s="16"/>
      <c r="BY112" s="16"/>
      <c r="BZ112" s="16"/>
      <c r="CA112" s="16"/>
      <c r="CB112" s="16"/>
      <c r="CC112" s="16"/>
      <c r="CD112" s="16"/>
      <c r="CE112" s="16"/>
      <c r="CF112" s="16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</row>
    <row r="113" spans="1:135" customFormat="1" x14ac:dyDescent="0.25">
      <c r="A113" s="140" t="s">
        <v>360</v>
      </c>
      <c r="B113" s="246" t="s">
        <v>23</v>
      </c>
      <c r="C113" s="142" t="str">
        <f t="shared" si="2"/>
        <v>OK</v>
      </c>
      <c r="D113" s="16"/>
      <c r="E113" s="16"/>
      <c r="F113" s="16"/>
      <c r="G113" s="16"/>
      <c r="H113" s="16"/>
      <c r="I113" s="262"/>
      <c r="J113" s="16"/>
      <c r="K113" s="16"/>
      <c r="L113" s="16"/>
      <c r="M113" s="16"/>
      <c r="O113" s="16"/>
      <c r="P113" s="16"/>
      <c r="Q113" s="16"/>
      <c r="R113" s="16"/>
      <c r="S113" s="16"/>
      <c r="T113" s="88"/>
      <c r="Z113" s="88"/>
      <c r="AA113" s="88"/>
      <c r="AB113" s="16"/>
      <c r="AC113" s="16"/>
      <c r="AD113" s="21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  <c r="BK113" s="16"/>
      <c r="BL113" s="16"/>
      <c r="BM113" s="16"/>
      <c r="BN113" s="16"/>
      <c r="BO113" s="16"/>
      <c r="BP113" s="16"/>
      <c r="BQ113" s="16"/>
      <c r="BR113" s="16"/>
      <c r="BS113" s="16"/>
      <c r="BT113" s="16"/>
      <c r="BU113" s="16"/>
      <c r="BV113" s="16"/>
      <c r="BW113" s="16"/>
      <c r="BX113" s="16"/>
      <c r="BY113" s="16"/>
      <c r="BZ113" s="16"/>
      <c r="CA113" s="16"/>
      <c r="CB113" s="16"/>
      <c r="CC113" s="16"/>
      <c r="CD113" s="16"/>
      <c r="CE113" s="16"/>
      <c r="CF113" s="16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</row>
    <row r="114" spans="1:135" customFormat="1" ht="17.25" x14ac:dyDescent="0.25">
      <c r="A114" s="140" t="s">
        <v>361</v>
      </c>
      <c r="B114" s="265" t="s">
        <v>2</v>
      </c>
      <c r="C114" s="142" t="str">
        <f t="shared" si="2"/>
        <v>OK</v>
      </c>
      <c r="D114" s="16"/>
      <c r="E114" s="16"/>
      <c r="F114" s="16"/>
      <c r="G114" s="16"/>
      <c r="H114" s="16"/>
      <c r="I114" s="262"/>
      <c r="J114" s="16"/>
      <c r="K114" s="16"/>
      <c r="L114" s="16"/>
      <c r="M114" s="16"/>
      <c r="O114" s="16"/>
      <c r="P114" s="16"/>
      <c r="Q114" s="16"/>
      <c r="R114" s="16"/>
      <c r="S114" s="16"/>
      <c r="T114" s="88"/>
      <c r="U114" s="88"/>
      <c r="Z114" s="88"/>
      <c r="AA114" s="88"/>
      <c r="AB114" s="16"/>
      <c r="AC114" s="16"/>
      <c r="AD114" s="21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  <c r="BK114" s="16"/>
      <c r="BL114" s="16"/>
      <c r="BM114" s="16"/>
      <c r="BN114" s="16"/>
      <c r="BO114" s="16"/>
      <c r="BP114" s="16"/>
      <c r="BQ114" s="16"/>
      <c r="BR114" s="16"/>
      <c r="BS114" s="16"/>
      <c r="BT114" s="16"/>
      <c r="BU114" s="16"/>
      <c r="BV114" s="16"/>
      <c r="BW114" s="16"/>
      <c r="BX114" s="16"/>
      <c r="BY114" s="16"/>
      <c r="BZ114" s="16"/>
      <c r="CA114" s="16"/>
      <c r="CB114" s="16"/>
      <c r="CC114" s="16"/>
      <c r="CD114" s="16"/>
      <c r="CE114" s="16"/>
      <c r="CF114" s="16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</row>
    <row r="115" spans="1:135" customFormat="1" x14ac:dyDescent="0.25">
      <c r="A115" s="140" t="s">
        <v>150</v>
      </c>
      <c r="B115" s="249" t="s">
        <v>110</v>
      </c>
      <c r="C115" s="142" t="str">
        <f t="shared" si="2"/>
        <v>OK</v>
      </c>
      <c r="D115" s="16"/>
      <c r="E115" s="16"/>
      <c r="F115" s="16"/>
      <c r="G115" s="16"/>
      <c r="H115" s="16"/>
      <c r="I115" s="262"/>
      <c r="J115" s="16"/>
      <c r="K115" s="16"/>
      <c r="L115" s="16"/>
      <c r="M115" s="16"/>
      <c r="O115" s="16"/>
      <c r="P115" s="16"/>
      <c r="Q115" s="16"/>
      <c r="R115" s="16"/>
      <c r="S115" s="16"/>
      <c r="T115" s="88"/>
      <c r="U115" s="88"/>
      <c r="W115" s="88"/>
      <c r="X115" s="88"/>
      <c r="Z115" s="88"/>
      <c r="AA115" s="88"/>
      <c r="AB115" s="16"/>
      <c r="AC115" s="16"/>
      <c r="AD115" s="21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  <c r="BK115" s="16"/>
      <c r="BL115" s="16"/>
      <c r="BM115" s="16"/>
      <c r="BN115" s="16"/>
      <c r="BO115" s="16"/>
      <c r="BP115" s="16"/>
      <c r="BQ115" s="16"/>
      <c r="BR115" s="16"/>
      <c r="BS115" s="16"/>
      <c r="BT115" s="16"/>
      <c r="BU115" s="16"/>
      <c r="BV115" s="16"/>
      <c r="BW115" s="16"/>
      <c r="BX115" s="16"/>
      <c r="BY115" s="16"/>
      <c r="BZ115" s="16"/>
      <c r="CA115" s="16"/>
      <c r="CB115" s="16"/>
      <c r="CC115" s="16"/>
      <c r="CD115" s="16"/>
      <c r="CE115" s="16"/>
      <c r="CF115" s="16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</row>
    <row r="116" spans="1:135" customFormat="1" ht="17.25" x14ac:dyDescent="0.25">
      <c r="A116" s="140" t="s">
        <v>362</v>
      </c>
      <c r="B116" s="265" t="s">
        <v>2</v>
      </c>
      <c r="C116" s="142" t="str">
        <f t="shared" si="2"/>
        <v>OK</v>
      </c>
      <c r="D116" s="16"/>
      <c r="E116" s="16"/>
      <c r="F116" s="16"/>
      <c r="G116" s="16"/>
      <c r="H116" s="16"/>
      <c r="I116" s="262"/>
      <c r="J116" s="16"/>
      <c r="K116" s="16"/>
      <c r="L116" s="16"/>
      <c r="M116" s="16"/>
      <c r="O116" s="16"/>
      <c r="P116" s="16"/>
      <c r="Q116" s="16"/>
      <c r="R116" s="16"/>
      <c r="S116" s="16"/>
      <c r="T116" s="88"/>
      <c r="U116" s="88"/>
      <c r="W116" s="88"/>
      <c r="X116" s="88"/>
      <c r="Z116" s="88"/>
      <c r="AA116" s="88"/>
      <c r="AB116" s="16"/>
      <c r="AC116" s="16"/>
      <c r="AD116" s="21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  <c r="BK116" s="16"/>
      <c r="BL116" s="16"/>
      <c r="BM116" s="16"/>
      <c r="BN116" s="16"/>
      <c r="BO116" s="16"/>
      <c r="BP116" s="16"/>
      <c r="BQ116" s="16"/>
      <c r="BR116" s="16"/>
      <c r="BS116" s="16"/>
      <c r="BT116" s="16"/>
      <c r="BU116" s="16"/>
      <c r="BV116" s="16"/>
      <c r="BW116" s="16"/>
      <c r="BX116" s="16"/>
      <c r="BY116" s="16"/>
      <c r="BZ116" s="16"/>
      <c r="CA116" s="16"/>
      <c r="CB116" s="16"/>
      <c r="CC116" s="16"/>
      <c r="CD116" s="16"/>
      <c r="CE116" s="16"/>
      <c r="CF116" s="16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</row>
    <row r="117" spans="1:135" customFormat="1" x14ac:dyDescent="0.25">
      <c r="A117" s="140" t="s">
        <v>151</v>
      </c>
      <c r="B117" s="246" t="s">
        <v>62</v>
      </c>
      <c r="C117" s="142" t="str">
        <f t="shared" si="2"/>
        <v>OK</v>
      </c>
      <c r="D117" s="16"/>
      <c r="E117" s="16"/>
      <c r="F117" s="16"/>
      <c r="G117" s="16"/>
      <c r="H117" s="16"/>
      <c r="I117" s="262"/>
      <c r="J117" s="16"/>
      <c r="K117" s="16"/>
      <c r="L117" s="16"/>
      <c r="M117" s="16"/>
      <c r="O117" s="16"/>
      <c r="P117" s="16"/>
      <c r="Q117" s="16"/>
      <c r="R117" s="16"/>
      <c r="S117" s="16"/>
      <c r="T117" s="88"/>
      <c r="U117" s="88"/>
      <c r="W117" s="88"/>
      <c r="X117" s="88"/>
      <c r="Z117" s="88"/>
      <c r="AA117" s="88"/>
      <c r="AB117" s="16"/>
      <c r="AC117" s="16"/>
      <c r="AD117" s="21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  <c r="BK117" s="16"/>
      <c r="BL117" s="16"/>
      <c r="BM117" s="16"/>
      <c r="BN117" s="16"/>
      <c r="BO117" s="16"/>
      <c r="BP117" s="16"/>
      <c r="BQ117" s="16"/>
      <c r="BR117" s="16"/>
      <c r="BS117" s="16"/>
      <c r="BT117" s="16"/>
      <c r="BU117" s="16"/>
      <c r="BV117" s="16"/>
      <c r="BW117" s="16"/>
      <c r="BX117" s="16"/>
      <c r="BY117" s="16"/>
      <c r="BZ117" s="16"/>
      <c r="CA117" s="16"/>
      <c r="CB117" s="16"/>
      <c r="CC117" s="16"/>
      <c r="CD117" s="16"/>
      <c r="CE117" s="16"/>
      <c r="CF117" s="16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</row>
    <row r="118" spans="1:135" customFormat="1" ht="17.25" x14ac:dyDescent="0.25">
      <c r="A118" s="140" t="s">
        <v>152</v>
      </c>
      <c r="B118" s="265" t="s">
        <v>6</v>
      </c>
      <c r="C118" s="142" t="str">
        <f t="shared" si="2"/>
        <v>OK</v>
      </c>
      <c r="D118" s="16"/>
      <c r="E118" s="16"/>
      <c r="F118" s="16"/>
      <c r="G118" s="16"/>
      <c r="H118" s="16"/>
      <c r="I118" s="262"/>
      <c r="J118" s="16"/>
      <c r="K118" s="16"/>
      <c r="L118" s="16"/>
      <c r="M118" s="16"/>
      <c r="O118" s="16"/>
      <c r="P118" s="16"/>
      <c r="Q118" s="16"/>
      <c r="R118" s="16"/>
      <c r="S118" s="16"/>
      <c r="T118" s="88"/>
      <c r="U118" s="88"/>
      <c r="W118" s="88"/>
      <c r="X118" s="88"/>
      <c r="Z118" s="88"/>
      <c r="AA118" s="88"/>
      <c r="AB118" s="16"/>
      <c r="AC118" s="16"/>
      <c r="AD118" s="21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  <c r="BK118" s="16"/>
      <c r="BL118" s="16"/>
      <c r="BM118" s="16"/>
      <c r="BN118" s="16"/>
      <c r="BO118" s="16"/>
      <c r="BP118" s="16"/>
      <c r="BQ118" s="16"/>
      <c r="BR118" s="16"/>
      <c r="BS118" s="16"/>
      <c r="BT118" s="16"/>
      <c r="BU118" s="16"/>
      <c r="BV118" s="16"/>
      <c r="BW118" s="16"/>
      <c r="BX118" s="16"/>
      <c r="BY118" s="16"/>
      <c r="BZ118" s="16"/>
      <c r="CA118" s="16"/>
      <c r="CB118" s="16"/>
      <c r="CC118" s="16"/>
      <c r="CD118" s="16"/>
      <c r="CE118" s="16"/>
      <c r="CF118" s="16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</row>
    <row r="119" spans="1:135" customFormat="1" x14ac:dyDescent="0.25">
      <c r="A119" s="211" t="s">
        <v>328</v>
      </c>
      <c r="B119" s="246" t="s">
        <v>62</v>
      </c>
      <c r="C119" s="142" t="str">
        <f t="shared" si="2"/>
        <v>OK</v>
      </c>
      <c r="D119" s="16"/>
      <c r="E119" s="16"/>
      <c r="F119" s="16"/>
      <c r="G119" s="16"/>
      <c r="H119" s="16"/>
      <c r="I119" s="262"/>
      <c r="J119" s="16"/>
      <c r="K119" s="16"/>
      <c r="L119" s="16"/>
      <c r="M119" s="16"/>
      <c r="O119" s="16"/>
      <c r="P119" s="16"/>
      <c r="Q119" s="16"/>
      <c r="R119" s="16"/>
      <c r="S119" s="16"/>
      <c r="T119" s="88"/>
      <c r="U119" s="88"/>
      <c r="W119" s="88"/>
      <c r="X119" s="88"/>
      <c r="Z119" s="88"/>
      <c r="AA119" s="88"/>
      <c r="AB119" s="16"/>
      <c r="AC119" s="16"/>
      <c r="AD119" s="21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  <c r="BK119" s="16"/>
      <c r="BL119" s="16"/>
      <c r="BM119" s="16"/>
      <c r="BN119" s="16"/>
      <c r="BO119" s="16"/>
      <c r="BP119" s="16"/>
      <c r="BQ119" s="16"/>
      <c r="BR119" s="16"/>
      <c r="BS119" s="16"/>
      <c r="BT119" s="16"/>
      <c r="BU119" s="16"/>
      <c r="BV119" s="16"/>
      <c r="BW119" s="16"/>
      <c r="BX119" s="16"/>
      <c r="BY119" s="16"/>
      <c r="BZ119" s="16"/>
      <c r="CA119" s="16"/>
      <c r="CB119" s="16"/>
      <c r="CC119" s="16"/>
      <c r="CD119" s="16"/>
      <c r="CE119" s="16"/>
      <c r="CF119" s="16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</row>
    <row r="120" spans="1:135" customFormat="1" x14ac:dyDescent="0.25">
      <c r="A120" s="211" t="s">
        <v>147</v>
      </c>
      <c r="B120" s="246" t="s">
        <v>63</v>
      </c>
      <c r="C120" s="142" t="str">
        <f>+IFERROR(IF(B120="","",(VLOOKUP(B120,$F$2:$H$55,3,0))),"State Wrong")</f>
        <v>OK</v>
      </c>
      <c r="D120" s="16"/>
      <c r="E120" s="16"/>
      <c r="F120" s="16"/>
      <c r="G120" s="16"/>
      <c r="H120" s="16"/>
      <c r="I120" s="262"/>
      <c r="J120" s="16"/>
      <c r="K120" s="16"/>
      <c r="L120" s="16"/>
      <c r="M120" s="16"/>
      <c r="O120" s="16"/>
      <c r="P120" s="16"/>
      <c r="Q120" s="16"/>
      <c r="R120" s="16"/>
      <c r="S120" s="16"/>
      <c r="T120" s="88"/>
      <c r="U120" s="88"/>
      <c r="Z120" s="88"/>
      <c r="AA120" s="88"/>
      <c r="AB120" s="16"/>
      <c r="AC120" s="16"/>
      <c r="AD120" s="21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  <c r="BK120" s="16"/>
      <c r="BL120" s="16"/>
      <c r="BM120" s="16"/>
      <c r="BN120" s="16"/>
      <c r="BO120" s="16"/>
      <c r="BP120" s="16"/>
      <c r="BQ120" s="16"/>
      <c r="BR120" s="16"/>
      <c r="BS120" s="16"/>
      <c r="BT120" s="16"/>
      <c r="BU120" s="16"/>
      <c r="BV120" s="16"/>
      <c r="BW120" s="16"/>
      <c r="BX120" s="16"/>
      <c r="BY120" s="16"/>
      <c r="BZ120" s="16"/>
      <c r="CA120" s="16"/>
      <c r="CB120" s="16"/>
      <c r="CC120" s="16"/>
      <c r="CD120" s="16"/>
      <c r="CE120" s="16"/>
      <c r="CF120" s="16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</row>
    <row r="121" spans="1:135" customFormat="1" ht="17.25" x14ac:dyDescent="0.25">
      <c r="A121" s="140" t="s">
        <v>307</v>
      </c>
      <c r="B121" s="265" t="s">
        <v>31</v>
      </c>
      <c r="C121" s="142" t="str">
        <f t="shared" ref="C121:C154" si="3">+IFERROR(IF(B121="","",(VLOOKUP(B121,$F$2:$H$55,3,0))),"State Wrong")</f>
        <v>OK</v>
      </c>
      <c r="D121" s="16"/>
      <c r="E121" s="16"/>
      <c r="F121" s="16"/>
      <c r="G121" s="16"/>
      <c r="H121" s="16"/>
      <c r="I121" s="262"/>
      <c r="J121" s="16"/>
      <c r="K121" s="16"/>
      <c r="L121" s="16"/>
      <c r="M121" s="16"/>
      <c r="O121" s="16"/>
      <c r="P121" s="16"/>
      <c r="Q121" s="16"/>
      <c r="R121" s="16"/>
      <c r="S121" s="16"/>
      <c r="T121" s="88"/>
      <c r="Z121" s="88"/>
      <c r="AA121" s="88"/>
      <c r="AB121" s="16"/>
      <c r="AC121" s="16"/>
      <c r="AD121" s="21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  <c r="BK121" s="16"/>
      <c r="BL121" s="16"/>
      <c r="BM121" s="16"/>
      <c r="BN121" s="16"/>
      <c r="BO121" s="16"/>
      <c r="BP121" s="16"/>
      <c r="BQ121" s="16"/>
      <c r="BR121" s="16"/>
      <c r="BS121" s="16"/>
      <c r="BT121" s="16"/>
      <c r="BU121" s="16"/>
      <c r="BV121" s="16"/>
      <c r="BW121" s="16"/>
      <c r="BX121" s="16"/>
      <c r="BY121" s="16"/>
      <c r="BZ121" s="16"/>
      <c r="CA121" s="16"/>
      <c r="CB121" s="16"/>
      <c r="CC121" s="16"/>
      <c r="CD121" s="16"/>
      <c r="CE121" s="16"/>
      <c r="CF121" s="16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</row>
    <row r="122" spans="1:135" customFormat="1" ht="17.25" x14ac:dyDescent="0.25">
      <c r="A122" s="140" t="s">
        <v>309</v>
      </c>
      <c r="B122" s="265" t="s">
        <v>46</v>
      </c>
      <c r="C122" s="142" t="str">
        <f t="shared" si="3"/>
        <v>OK</v>
      </c>
      <c r="D122" s="16"/>
      <c r="E122" s="16"/>
      <c r="F122" s="16"/>
      <c r="G122" s="16"/>
      <c r="H122" s="16"/>
      <c r="I122" s="262"/>
      <c r="J122" s="16"/>
      <c r="K122" s="16"/>
      <c r="L122" s="16"/>
      <c r="M122" s="16"/>
      <c r="O122" s="16"/>
      <c r="P122" s="16"/>
      <c r="Q122" s="16"/>
      <c r="R122" s="16"/>
      <c r="S122" s="16"/>
      <c r="T122" s="88"/>
      <c r="Z122" s="88"/>
      <c r="AA122" s="88"/>
      <c r="AB122" s="16"/>
      <c r="AC122" s="16"/>
      <c r="AD122" s="21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  <c r="BK122" s="16"/>
      <c r="BL122" s="16"/>
      <c r="BM122" s="16"/>
      <c r="BN122" s="16"/>
      <c r="BO122" s="16"/>
      <c r="BP122" s="16"/>
      <c r="BQ122" s="16"/>
      <c r="BR122" s="16"/>
      <c r="BS122" s="16"/>
      <c r="BT122" s="16"/>
      <c r="BU122" s="16"/>
      <c r="BV122" s="16"/>
      <c r="BW122" s="16"/>
      <c r="BX122" s="16"/>
      <c r="BY122" s="16"/>
      <c r="BZ122" s="16"/>
      <c r="CA122" s="16"/>
      <c r="CB122" s="16"/>
      <c r="CC122" s="16"/>
      <c r="CD122" s="16"/>
      <c r="CE122" s="16"/>
      <c r="CF122" s="16"/>
      <c r="CG122" s="16"/>
      <c r="CH122" s="16"/>
      <c r="CI122" s="16"/>
      <c r="CJ122" s="16"/>
      <c r="CK122" s="16"/>
      <c r="CL122" s="16"/>
      <c r="CM122" s="16"/>
      <c r="CN122" s="16"/>
      <c r="CO122" s="16"/>
      <c r="CP122" s="16"/>
      <c r="CQ122" s="16"/>
      <c r="CR122" s="16"/>
      <c r="CS122" s="16"/>
      <c r="CT122" s="16"/>
      <c r="CU122" s="16"/>
      <c r="CV122" s="16"/>
      <c r="CW122" s="16"/>
      <c r="CX122" s="16"/>
      <c r="CY122" s="16"/>
      <c r="CZ122" s="16"/>
      <c r="DA122" s="16"/>
      <c r="DB122" s="16"/>
      <c r="DC122" s="16"/>
      <c r="DD122" s="16"/>
      <c r="DE122" s="16"/>
      <c r="DF122" s="16"/>
      <c r="DG122" s="16"/>
      <c r="DH122" s="16"/>
      <c r="DI122" s="16"/>
      <c r="DJ122" s="16"/>
      <c r="DK122" s="16"/>
      <c r="DL122" s="16"/>
      <c r="DM122" s="16"/>
      <c r="DN122" s="16"/>
      <c r="DO122" s="16"/>
      <c r="DP122" s="16"/>
      <c r="DQ122" s="16"/>
      <c r="DR122" s="16"/>
      <c r="DS122" s="16"/>
      <c r="DT122" s="16"/>
      <c r="DU122" s="16"/>
      <c r="DV122" s="16"/>
      <c r="DW122" s="16"/>
      <c r="DX122" s="16"/>
      <c r="DY122" s="16"/>
      <c r="DZ122" s="16"/>
      <c r="EA122" s="16"/>
      <c r="EB122" s="16"/>
      <c r="EC122" s="16"/>
      <c r="ED122" s="16"/>
      <c r="EE122" s="16"/>
    </row>
    <row r="123" spans="1:135" customFormat="1" ht="17.25" x14ac:dyDescent="0.25">
      <c r="A123" s="140" t="s">
        <v>310</v>
      </c>
      <c r="B123" s="265" t="s">
        <v>25</v>
      </c>
      <c r="C123" s="142" t="str">
        <f t="shared" si="3"/>
        <v>OK</v>
      </c>
      <c r="D123" s="16"/>
      <c r="E123" s="16"/>
      <c r="F123" s="16"/>
      <c r="G123" s="16"/>
      <c r="H123" s="16"/>
      <c r="I123" s="262"/>
      <c r="J123" s="16"/>
      <c r="K123" s="16"/>
      <c r="L123" s="16"/>
      <c r="M123" s="16"/>
      <c r="O123" s="16"/>
      <c r="P123" s="16"/>
      <c r="Q123" s="16"/>
      <c r="R123" s="16"/>
      <c r="S123" s="16"/>
      <c r="T123" s="88"/>
      <c r="Z123" s="88"/>
      <c r="AA123" s="88"/>
      <c r="AB123" s="16"/>
      <c r="AC123" s="16"/>
      <c r="AD123" s="21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  <c r="BK123" s="16"/>
      <c r="BL123" s="16"/>
      <c r="BM123" s="16"/>
      <c r="BN123" s="16"/>
      <c r="BO123" s="16"/>
      <c r="BP123" s="16"/>
      <c r="BQ123" s="16"/>
      <c r="BR123" s="16"/>
      <c r="BS123" s="16"/>
      <c r="BT123" s="16"/>
      <c r="BU123" s="16"/>
      <c r="BV123" s="16"/>
      <c r="BW123" s="16"/>
      <c r="BX123" s="16"/>
      <c r="BY123" s="16"/>
      <c r="BZ123" s="16"/>
      <c r="CA123" s="16"/>
      <c r="CB123" s="16"/>
      <c r="CC123" s="16"/>
      <c r="CD123" s="16"/>
      <c r="CE123" s="16"/>
      <c r="CF123" s="16"/>
      <c r="CG123" s="16"/>
      <c r="CH123" s="16"/>
      <c r="CI123" s="16"/>
      <c r="CJ123" s="16"/>
      <c r="CK123" s="16"/>
      <c r="CL123" s="16"/>
      <c r="CM123" s="16"/>
      <c r="CN123" s="16"/>
      <c r="CO123" s="16"/>
      <c r="CP123" s="16"/>
      <c r="CQ123" s="16"/>
      <c r="CR123" s="16"/>
      <c r="CS123" s="16"/>
      <c r="CT123" s="16"/>
      <c r="CU123" s="16"/>
      <c r="CV123" s="16"/>
      <c r="CW123" s="16"/>
      <c r="CX123" s="16"/>
      <c r="CY123" s="16"/>
      <c r="CZ123" s="16"/>
      <c r="DA123" s="16"/>
      <c r="DB123" s="16"/>
      <c r="DC123" s="16"/>
      <c r="DD123" s="16"/>
      <c r="DE123" s="16"/>
      <c r="DF123" s="16"/>
      <c r="DG123" s="16"/>
      <c r="DH123" s="16"/>
      <c r="DI123" s="16"/>
      <c r="DJ123" s="16"/>
      <c r="DK123" s="16"/>
      <c r="DL123" s="16"/>
      <c r="DM123" s="16"/>
      <c r="DN123" s="16"/>
      <c r="DO123" s="16"/>
      <c r="DP123" s="16"/>
      <c r="DQ123" s="16"/>
      <c r="DR123" s="16"/>
      <c r="DS123" s="16"/>
      <c r="DT123" s="16"/>
      <c r="DU123" s="16"/>
      <c r="DV123" s="16"/>
      <c r="DW123" s="16"/>
      <c r="DX123" s="16"/>
      <c r="DY123" s="16"/>
      <c r="DZ123" s="16"/>
      <c r="EA123" s="16"/>
      <c r="EB123" s="16"/>
      <c r="EC123" s="16"/>
      <c r="ED123" s="16"/>
      <c r="EE123" s="16"/>
    </row>
    <row r="124" spans="1:135" customFormat="1" ht="17.25" x14ac:dyDescent="0.25">
      <c r="A124" s="211" t="s">
        <v>308</v>
      </c>
      <c r="B124" s="265" t="s">
        <v>49</v>
      </c>
      <c r="C124" s="142" t="str">
        <f t="shared" si="3"/>
        <v>OK</v>
      </c>
      <c r="D124" s="16"/>
      <c r="E124" s="16"/>
      <c r="F124" s="16"/>
      <c r="G124" s="16"/>
      <c r="H124" s="16"/>
      <c r="I124" s="262"/>
      <c r="J124" s="16"/>
      <c r="K124" s="16"/>
      <c r="L124" s="16"/>
      <c r="M124" s="16"/>
      <c r="O124" s="16"/>
      <c r="P124" s="16"/>
      <c r="Q124" s="16"/>
      <c r="R124" s="16"/>
      <c r="S124" s="16"/>
      <c r="T124" s="88"/>
      <c r="U124" s="385"/>
      <c r="Z124" s="88"/>
      <c r="AA124" s="88"/>
      <c r="AB124" s="16"/>
      <c r="AC124" s="16"/>
      <c r="AD124" s="21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  <c r="BK124" s="16"/>
      <c r="BL124" s="16"/>
      <c r="BM124" s="16"/>
      <c r="BN124" s="16"/>
      <c r="BO124" s="16"/>
      <c r="BP124" s="16"/>
      <c r="BQ124" s="16"/>
      <c r="BR124" s="16"/>
      <c r="BS124" s="16"/>
      <c r="BT124" s="16"/>
      <c r="BU124" s="16"/>
      <c r="BV124" s="16"/>
      <c r="BW124" s="16"/>
      <c r="BX124" s="16"/>
      <c r="BY124" s="16"/>
      <c r="BZ124" s="16"/>
      <c r="CA124" s="16"/>
      <c r="CB124" s="16"/>
      <c r="CC124" s="16"/>
      <c r="CD124" s="16"/>
      <c r="CE124" s="16"/>
      <c r="CF124" s="16"/>
      <c r="CG124" s="16"/>
      <c r="CH124" s="16"/>
      <c r="CI124" s="16"/>
      <c r="CJ124" s="16"/>
      <c r="CK124" s="16"/>
      <c r="CL124" s="16"/>
      <c r="CM124" s="16"/>
      <c r="CN124" s="16"/>
      <c r="CO124" s="16"/>
      <c r="CP124" s="16"/>
      <c r="CQ124" s="16"/>
      <c r="CR124" s="16"/>
      <c r="CS124" s="16"/>
      <c r="CT124" s="16"/>
      <c r="CU124" s="16"/>
      <c r="CV124" s="16"/>
      <c r="CW124" s="16"/>
      <c r="CX124" s="16"/>
      <c r="CY124" s="16"/>
      <c r="CZ124" s="16"/>
      <c r="DA124" s="16"/>
      <c r="DB124" s="16"/>
      <c r="DC124" s="16"/>
      <c r="DD124" s="16"/>
      <c r="DE124" s="16"/>
      <c r="DF124" s="16"/>
      <c r="DG124" s="16"/>
      <c r="DH124" s="16"/>
      <c r="DI124" s="16"/>
      <c r="DJ124" s="16"/>
      <c r="DK124" s="16"/>
      <c r="DL124" s="16"/>
      <c r="DM124" s="16"/>
      <c r="DN124" s="16"/>
      <c r="DO124" s="16"/>
      <c r="DP124" s="16"/>
      <c r="DQ124" s="16"/>
      <c r="DR124" s="16"/>
      <c r="DS124" s="16"/>
      <c r="DT124" s="16"/>
      <c r="DU124" s="16"/>
      <c r="DV124" s="16"/>
      <c r="DW124" s="16"/>
      <c r="DX124" s="16"/>
      <c r="DY124" s="16"/>
      <c r="DZ124" s="16"/>
      <c r="EA124" s="16"/>
      <c r="EB124" s="16"/>
      <c r="EC124" s="16"/>
      <c r="ED124" s="16"/>
      <c r="EE124" s="16"/>
    </row>
    <row r="125" spans="1:135" customFormat="1" ht="17.25" x14ac:dyDescent="0.25">
      <c r="A125" s="140" t="s">
        <v>311</v>
      </c>
      <c r="B125" s="265" t="s">
        <v>37</v>
      </c>
      <c r="C125" s="142" t="str">
        <f t="shared" si="3"/>
        <v>OK</v>
      </c>
      <c r="D125" s="16"/>
      <c r="E125" s="16"/>
      <c r="F125" s="16"/>
      <c r="G125" s="16"/>
      <c r="H125" s="16"/>
      <c r="I125" s="262"/>
      <c r="J125" s="16"/>
      <c r="K125" s="16"/>
      <c r="L125" s="16"/>
      <c r="M125" s="16"/>
      <c r="O125" s="16"/>
      <c r="P125" s="16"/>
      <c r="Q125" s="16"/>
      <c r="R125" s="16"/>
      <c r="S125" s="16"/>
      <c r="T125" s="88"/>
      <c r="W125" s="88"/>
      <c r="X125" s="88"/>
      <c r="Z125" s="88"/>
      <c r="AA125" s="88"/>
      <c r="AB125" s="16"/>
      <c r="AC125" s="16"/>
      <c r="AD125" s="21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  <c r="BK125" s="16"/>
      <c r="BL125" s="16"/>
      <c r="BM125" s="16"/>
      <c r="BN125" s="16"/>
      <c r="BO125" s="16"/>
      <c r="BP125" s="16"/>
      <c r="BQ125" s="16"/>
      <c r="BR125" s="16"/>
      <c r="BS125" s="16"/>
      <c r="BT125" s="16"/>
      <c r="BU125" s="16"/>
      <c r="BV125" s="16"/>
      <c r="BW125" s="16"/>
      <c r="BX125" s="16"/>
      <c r="BY125" s="16"/>
      <c r="BZ125" s="16"/>
      <c r="CA125" s="16"/>
      <c r="CB125" s="16"/>
      <c r="CC125" s="16"/>
      <c r="CD125" s="16"/>
      <c r="CE125" s="16"/>
      <c r="CF125" s="16"/>
      <c r="CG125" s="16"/>
      <c r="CH125" s="16"/>
      <c r="CI125" s="16"/>
      <c r="CJ125" s="16"/>
      <c r="CK125" s="16"/>
      <c r="CL125" s="16"/>
      <c r="CM125" s="16"/>
      <c r="CN125" s="16"/>
      <c r="CO125" s="16"/>
      <c r="CP125" s="16"/>
      <c r="CQ125" s="16"/>
      <c r="CR125" s="16"/>
      <c r="CS125" s="16"/>
      <c r="CT125" s="16"/>
      <c r="CU125" s="16"/>
      <c r="CV125" s="16"/>
      <c r="CW125" s="16"/>
      <c r="CX125" s="16"/>
      <c r="CY125" s="16"/>
      <c r="CZ125" s="16"/>
      <c r="DA125" s="16"/>
      <c r="DB125" s="16"/>
      <c r="DC125" s="16"/>
      <c r="DD125" s="16"/>
      <c r="DE125" s="16"/>
      <c r="DF125" s="16"/>
      <c r="DG125" s="16"/>
      <c r="DH125" s="16"/>
      <c r="DI125" s="16"/>
      <c r="DJ125" s="16"/>
      <c r="DK125" s="16"/>
      <c r="DL125" s="16"/>
      <c r="DM125" s="16"/>
      <c r="DN125" s="16"/>
      <c r="DO125" s="16"/>
      <c r="DP125" s="16"/>
      <c r="DQ125" s="16"/>
      <c r="DR125" s="16"/>
      <c r="DS125" s="16"/>
      <c r="DT125" s="16"/>
      <c r="DU125" s="16"/>
      <c r="DV125" s="16"/>
      <c r="DW125" s="16"/>
      <c r="DX125" s="16"/>
      <c r="DY125" s="16"/>
      <c r="DZ125" s="16"/>
      <c r="EA125" s="16"/>
      <c r="EB125" s="16"/>
      <c r="EC125" s="16"/>
      <c r="ED125" s="16"/>
      <c r="EE125" s="16"/>
    </row>
    <row r="126" spans="1:135" customFormat="1" ht="17.25" x14ac:dyDescent="0.25">
      <c r="A126" s="140" t="s">
        <v>312</v>
      </c>
      <c r="B126" s="265" t="s">
        <v>25</v>
      </c>
      <c r="C126" s="142" t="str">
        <f t="shared" si="3"/>
        <v>OK</v>
      </c>
      <c r="D126" s="16"/>
      <c r="E126" s="16"/>
      <c r="F126" s="16"/>
      <c r="G126" s="16"/>
      <c r="H126" s="16"/>
      <c r="I126" s="262"/>
      <c r="J126" s="16"/>
      <c r="K126" s="16"/>
      <c r="L126" s="16"/>
      <c r="M126" s="16"/>
      <c r="O126" s="16"/>
      <c r="P126" s="16"/>
      <c r="Q126" s="16"/>
      <c r="R126" s="16"/>
      <c r="S126" s="16"/>
      <c r="T126" s="88"/>
      <c r="U126" s="88"/>
      <c r="W126" s="88"/>
      <c r="X126" s="88"/>
      <c r="Z126" s="88"/>
      <c r="AA126" s="88"/>
      <c r="AB126" s="16"/>
      <c r="AC126" s="16"/>
      <c r="AD126" s="21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  <c r="BK126" s="16"/>
      <c r="BL126" s="16"/>
      <c r="BM126" s="16"/>
      <c r="BN126" s="16"/>
      <c r="BO126" s="16"/>
      <c r="BP126" s="16"/>
      <c r="BQ126" s="16"/>
      <c r="BR126" s="16"/>
      <c r="BS126" s="16"/>
      <c r="BT126" s="16"/>
      <c r="BU126" s="16"/>
      <c r="BV126" s="16"/>
      <c r="BW126" s="16"/>
      <c r="BX126" s="16"/>
      <c r="BY126" s="16"/>
      <c r="BZ126" s="16"/>
      <c r="CA126" s="16"/>
      <c r="CB126" s="16"/>
      <c r="CC126" s="16"/>
      <c r="CD126" s="16"/>
      <c r="CE126" s="16"/>
      <c r="CF126" s="16"/>
      <c r="CG126" s="16"/>
      <c r="CH126" s="16"/>
      <c r="CI126" s="16"/>
      <c r="CJ126" s="16"/>
      <c r="CK126" s="16"/>
      <c r="CL126" s="16"/>
      <c r="CM126" s="16"/>
      <c r="CN126" s="16"/>
      <c r="CO126" s="16"/>
      <c r="CP126" s="16"/>
      <c r="CQ126" s="16"/>
      <c r="CR126" s="16"/>
      <c r="CS126" s="16"/>
      <c r="CT126" s="16"/>
      <c r="CU126" s="16"/>
      <c r="CV126" s="16"/>
      <c r="CW126" s="16"/>
      <c r="CX126" s="16"/>
      <c r="CY126" s="16"/>
      <c r="CZ126" s="16"/>
      <c r="DA126" s="16"/>
      <c r="DB126" s="16"/>
      <c r="DC126" s="16"/>
      <c r="DD126" s="16"/>
      <c r="DE126" s="16"/>
      <c r="DF126" s="16"/>
      <c r="DG126" s="16"/>
      <c r="DH126" s="16"/>
      <c r="DI126" s="16"/>
      <c r="DJ126" s="16"/>
      <c r="DK126" s="16"/>
      <c r="DL126" s="16"/>
      <c r="DM126" s="16"/>
      <c r="DN126" s="16"/>
      <c r="DO126" s="16"/>
      <c r="DP126" s="16"/>
      <c r="DQ126" s="16"/>
      <c r="DR126" s="16"/>
      <c r="DS126" s="16"/>
      <c r="DT126" s="16"/>
      <c r="DU126" s="16"/>
      <c r="DV126" s="16"/>
      <c r="DW126" s="16"/>
      <c r="DX126" s="16"/>
      <c r="DY126" s="16"/>
      <c r="DZ126" s="16"/>
      <c r="EA126" s="16"/>
      <c r="EB126" s="16"/>
      <c r="EC126" s="16"/>
      <c r="ED126" s="16"/>
      <c r="EE126" s="16"/>
    </row>
    <row r="127" spans="1:135" customFormat="1" ht="17.25" x14ac:dyDescent="0.25">
      <c r="A127" s="140" t="s">
        <v>313</v>
      </c>
      <c r="B127" s="265" t="s">
        <v>2</v>
      </c>
      <c r="C127" s="142" t="str">
        <f t="shared" si="3"/>
        <v>OK</v>
      </c>
      <c r="D127" s="16"/>
      <c r="E127" s="16"/>
      <c r="F127" s="16"/>
      <c r="G127" s="16"/>
      <c r="H127" s="16"/>
      <c r="I127" s="262"/>
      <c r="J127" s="16"/>
      <c r="K127" s="16"/>
      <c r="L127" s="16"/>
      <c r="M127" s="16"/>
      <c r="O127" s="16"/>
      <c r="P127" s="16"/>
      <c r="Q127" s="16"/>
      <c r="R127" s="16"/>
      <c r="S127" s="16"/>
      <c r="T127" s="88"/>
      <c r="Z127" s="88"/>
      <c r="AA127" s="88"/>
      <c r="AB127" s="16"/>
      <c r="AC127" s="16"/>
      <c r="AD127" s="21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  <c r="BK127" s="16"/>
      <c r="BL127" s="16"/>
      <c r="BM127" s="16"/>
      <c r="BN127" s="16"/>
      <c r="BO127" s="16"/>
      <c r="BP127" s="16"/>
      <c r="BQ127" s="16"/>
      <c r="BR127" s="16"/>
      <c r="BS127" s="16"/>
      <c r="BT127" s="16"/>
      <c r="BU127" s="16"/>
      <c r="BV127" s="16"/>
      <c r="BW127" s="16"/>
      <c r="BX127" s="16"/>
      <c r="BY127" s="16"/>
      <c r="BZ127" s="16"/>
      <c r="CA127" s="16"/>
      <c r="CB127" s="16"/>
      <c r="CC127" s="16"/>
      <c r="CD127" s="16"/>
      <c r="CE127" s="16"/>
      <c r="CF127" s="16"/>
      <c r="CG127" s="16"/>
      <c r="CH127" s="16"/>
      <c r="CI127" s="16"/>
      <c r="CJ127" s="16"/>
      <c r="CK127" s="16"/>
      <c r="CL127" s="16"/>
      <c r="CM127" s="16"/>
      <c r="CN127" s="16"/>
      <c r="CO127" s="16"/>
      <c r="CP127" s="16"/>
      <c r="CQ127" s="16"/>
      <c r="CR127" s="16"/>
      <c r="CS127" s="16"/>
      <c r="CT127" s="16"/>
      <c r="CU127" s="16"/>
      <c r="CV127" s="16"/>
      <c r="CW127" s="16"/>
      <c r="CX127" s="16"/>
      <c r="CY127" s="16"/>
      <c r="CZ127" s="16"/>
      <c r="DA127" s="16"/>
      <c r="DB127" s="16"/>
      <c r="DC127" s="16"/>
      <c r="DD127" s="16"/>
      <c r="DE127" s="16"/>
      <c r="DF127" s="16"/>
      <c r="DG127" s="16"/>
      <c r="DH127" s="16"/>
      <c r="DI127" s="16"/>
      <c r="DJ127" s="16"/>
      <c r="DK127" s="16"/>
      <c r="DL127" s="16"/>
      <c r="DM127" s="16"/>
      <c r="DN127" s="16"/>
      <c r="DO127" s="16"/>
      <c r="DP127" s="16"/>
      <c r="DQ127" s="16"/>
      <c r="DR127" s="16"/>
      <c r="DS127" s="16"/>
      <c r="DT127" s="16"/>
      <c r="DU127" s="16"/>
      <c r="DV127" s="16"/>
      <c r="DW127" s="16"/>
      <c r="DX127" s="16"/>
      <c r="DY127" s="16"/>
      <c r="DZ127" s="16"/>
      <c r="EA127" s="16"/>
      <c r="EB127" s="16"/>
      <c r="EC127" s="16"/>
      <c r="ED127" s="16"/>
      <c r="EE127" s="16"/>
    </row>
    <row r="128" spans="1:135" customFormat="1" ht="17.25" x14ac:dyDescent="0.25">
      <c r="A128" s="140" t="s">
        <v>314</v>
      </c>
      <c r="B128" s="265" t="s">
        <v>31</v>
      </c>
      <c r="C128" s="142" t="str">
        <f t="shared" si="3"/>
        <v>OK</v>
      </c>
      <c r="D128" s="16"/>
      <c r="E128" s="16"/>
      <c r="F128" s="16"/>
      <c r="G128" s="16"/>
      <c r="H128" s="16"/>
      <c r="I128" s="262"/>
      <c r="J128" s="16"/>
      <c r="K128" s="16"/>
      <c r="L128" s="16"/>
      <c r="M128" s="16"/>
      <c r="O128" s="16"/>
      <c r="P128" s="16"/>
      <c r="Q128" s="16"/>
      <c r="R128" s="16"/>
      <c r="S128" s="16"/>
      <c r="T128" s="88"/>
      <c r="U128" s="88"/>
      <c r="Z128" s="88"/>
      <c r="AA128" s="88"/>
      <c r="AB128" s="16"/>
      <c r="AC128" s="16"/>
      <c r="AD128" s="21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  <c r="BK128" s="16"/>
      <c r="BL128" s="16"/>
      <c r="BM128" s="16"/>
      <c r="BN128" s="16"/>
      <c r="BO128" s="16"/>
      <c r="BP128" s="16"/>
      <c r="BQ128" s="16"/>
      <c r="BR128" s="16"/>
      <c r="BS128" s="16"/>
      <c r="BT128" s="16"/>
      <c r="BU128" s="16"/>
      <c r="BV128" s="16"/>
      <c r="BW128" s="16"/>
      <c r="BX128" s="16"/>
      <c r="BY128" s="16"/>
      <c r="BZ128" s="16"/>
      <c r="CA128" s="16"/>
      <c r="CB128" s="16"/>
      <c r="CC128" s="16"/>
      <c r="CD128" s="16"/>
      <c r="CE128" s="16"/>
      <c r="CF128" s="16"/>
      <c r="CG128" s="16"/>
      <c r="CH128" s="16"/>
      <c r="CI128" s="16"/>
      <c r="CJ128" s="16"/>
      <c r="CK128" s="16"/>
      <c r="CL128" s="16"/>
      <c r="CM128" s="16"/>
      <c r="CN128" s="16"/>
      <c r="CO128" s="16"/>
      <c r="CP128" s="16"/>
      <c r="CQ128" s="16"/>
      <c r="CR128" s="16"/>
      <c r="CS128" s="16"/>
      <c r="CT128" s="16"/>
      <c r="CU128" s="16"/>
      <c r="CV128" s="16"/>
      <c r="CW128" s="16"/>
      <c r="CX128" s="16"/>
      <c r="CY128" s="16"/>
      <c r="CZ128" s="16"/>
      <c r="DA128" s="16"/>
      <c r="DB128" s="16"/>
      <c r="DC128" s="16"/>
      <c r="DD128" s="16"/>
      <c r="DE128" s="16"/>
      <c r="DF128" s="16"/>
      <c r="DG128" s="16"/>
      <c r="DH128" s="16"/>
      <c r="DI128" s="16"/>
      <c r="DJ128" s="16"/>
      <c r="DK128" s="16"/>
      <c r="DL128" s="16"/>
      <c r="DM128" s="16"/>
      <c r="DN128" s="16"/>
      <c r="DO128" s="16"/>
      <c r="DP128" s="16"/>
      <c r="DQ128" s="16"/>
      <c r="DR128" s="16"/>
      <c r="DS128" s="16"/>
      <c r="DT128" s="16"/>
      <c r="DU128" s="16"/>
      <c r="DV128" s="16"/>
      <c r="DW128" s="16"/>
      <c r="DX128" s="16"/>
      <c r="DY128" s="16"/>
      <c r="DZ128" s="16"/>
      <c r="EA128" s="16"/>
      <c r="EB128" s="16"/>
      <c r="EC128" s="16"/>
      <c r="ED128" s="16"/>
      <c r="EE128" s="16"/>
    </row>
    <row r="129" spans="1:135" customFormat="1" ht="17.25" x14ac:dyDescent="0.25">
      <c r="A129" s="140" t="s">
        <v>315</v>
      </c>
      <c r="B129" s="265" t="s">
        <v>17</v>
      </c>
      <c r="C129" s="142" t="str">
        <f t="shared" si="3"/>
        <v>OK</v>
      </c>
      <c r="D129" s="16"/>
      <c r="E129" s="16"/>
      <c r="F129" s="16"/>
      <c r="G129" s="16"/>
      <c r="H129" s="16"/>
      <c r="I129" s="262"/>
      <c r="J129" s="16"/>
      <c r="K129" s="16"/>
      <c r="L129" s="16"/>
      <c r="M129" s="16"/>
      <c r="O129" s="16"/>
      <c r="P129" s="16"/>
      <c r="Q129" s="16"/>
      <c r="R129" s="16"/>
      <c r="S129" s="16"/>
      <c r="T129" s="88"/>
      <c r="Z129" s="88"/>
      <c r="AA129" s="88"/>
      <c r="AB129" s="16"/>
      <c r="AC129" s="16"/>
      <c r="AD129" s="21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  <c r="BK129" s="16"/>
      <c r="BL129" s="16"/>
      <c r="BM129" s="16"/>
      <c r="BN129" s="16"/>
      <c r="BO129" s="16"/>
      <c r="BP129" s="16"/>
      <c r="BQ129" s="16"/>
      <c r="BR129" s="16"/>
      <c r="BS129" s="16"/>
      <c r="BT129" s="16"/>
      <c r="BU129" s="16"/>
      <c r="BV129" s="16"/>
      <c r="BW129" s="16"/>
      <c r="BX129" s="16"/>
      <c r="BY129" s="16"/>
      <c r="BZ129" s="16"/>
      <c r="CA129" s="16"/>
      <c r="CB129" s="16"/>
      <c r="CC129" s="16"/>
      <c r="CD129" s="16"/>
      <c r="CE129" s="16"/>
      <c r="CF129" s="16"/>
      <c r="CG129" s="16"/>
      <c r="CH129" s="16"/>
      <c r="CI129" s="16"/>
      <c r="CJ129" s="16"/>
      <c r="CK129" s="16"/>
      <c r="CL129" s="16"/>
      <c r="CM129" s="16"/>
      <c r="CN129" s="16"/>
      <c r="CO129" s="16"/>
      <c r="CP129" s="16"/>
      <c r="CQ129" s="16"/>
      <c r="CR129" s="16"/>
      <c r="CS129" s="16"/>
      <c r="CT129" s="16"/>
      <c r="CU129" s="16"/>
      <c r="CV129" s="16"/>
      <c r="CW129" s="16"/>
      <c r="CX129" s="16"/>
      <c r="CY129" s="16"/>
      <c r="CZ129" s="16"/>
      <c r="DA129" s="16"/>
      <c r="DB129" s="16"/>
      <c r="DC129" s="16"/>
      <c r="DD129" s="16"/>
      <c r="DE129" s="16"/>
      <c r="DF129" s="16"/>
      <c r="DG129" s="16"/>
      <c r="DH129" s="16"/>
      <c r="DI129" s="16"/>
      <c r="DJ129" s="16"/>
      <c r="DK129" s="16"/>
      <c r="DL129" s="16"/>
      <c r="DM129" s="16"/>
      <c r="DN129" s="16"/>
      <c r="DO129" s="16"/>
      <c r="DP129" s="16"/>
      <c r="DQ129" s="16"/>
      <c r="DR129" s="16"/>
      <c r="DS129" s="16"/>
      <c r="DT129" s="16"/>
      <c r="DU129" s="16"/>
      <c r="DV129" s="16"/>
      <c r="DW129" s="16"/>
      <c r="DX129" s="16"/>
      <c r="DY129" s="16"/>
      <c r="DZ129" s="16"/>
      <c r="EA129" s="16"/>
      <c r="EB129" s="16"/>
      <c r="EC129" s="16"/>
      <c r="ED129" s="16"/>
      <c r="EE129" s="16"/>
    </row>
    <row r="130" spans="1:135" customFormat="1" ht="17.25" x14ac:dyDescent="0.25">
      <c r="A130" s="140" t="s">
        <v>316</v>
      </c>
      <c r="B130" s="265" t="s">
        <v>31</v>
      </c>
      <c r="C130" s="142" t="str">
        <f t="shared" si="3"/>
        <v>OK</v>
      </c>
      <c r="D130" s="16"/>
      <c r="E130" s="16"/>
      <c r="F130" s="16"/>
      <c r="G130" s="16"/>
      <c r="H130" s="16"/>
      <c r="I130" s="262"/>
      <c r="J130" s="16"/>
      <c r="K130" s="16"/>
      <c r="L130" s="16"/>
      <c r="M130" s="16"/>
      <c r="O130" s="16"/>
      <c r="P130" s="16"/>
      <c r="Q130" s="16"/>
      <c r="R130" s="16"/>
      <c r="S130" s="16"/>
      <c r="T130" s="88"/>
      <c r="U130" s="88"/>
      <c r="Z130" s="88"/>
      <c r="AA130" s="88"/>
      <c r="AB130" s="16"/>
      <c r="AC130" s="16"/>
      <c r="AD130" s="21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  <c r="BK130" s="16"/>
      <c r="BL130" s="16"/>
      <c r="BM130" s="16"/>
      <c r="BN130" s="16"/>
      <c r="BO130" s="16"/>
      <c r="BP130" s="16"/>
      <c r="BQ130" s="16"/>
      <c r="BR130" s="16"/>
      <c r="BS130" s="16"/>
      <c r="BT130" s="16"/>
      <c r="BU130" s="16"/>
      <c r="BV130" s="16"/>
      <c r="BW130" s="16"/>
      <c r="BX130" s="16"/>
      <c r="BY130" s="16"/>
      <c r="BZ130" s="16"/>
      <c r="CA130" s="16"/>
      <c r="CB130" s="16"/>
      <c r="CC130" s="16"/>
      <c r="CD130" s="16"/>
      <c r="CE130" s="16"/>
      <c r="CF130" s="16"/>
      <c r="CG130" s="16"/>
      <c r="CH130" s="16"/>
      <c r="CI130" s="16"/>
      <c r="CJ130" s="16"/>
      <c r="CK130" s="16"/>
      <c r="CL130" s="16"/>
      <c r="CM130" s="16"/>
      <c r="CN130" s="16"/>
      <c r="CO130" s="16"/>
      <c r="CP130" s="16"/>
      <c r="CQ130" s="16"/>
      <c r="CR130" s="16"/>
      <c r="CS130" s="16"/>
      <c r="CT130" s="16"/>
      <c r="CU130" s="16"/>
      <c r="CV130" s="16"/>
      <c r="CW130" s="16"/>
      <c r="CX130" s="16"/>
      <c r="CY130" s="16"/>
      <c r="CZ130" s="16"/>
      <c r="DA130" s="16"/>
      <c r="DB130" s="16"/>
      <c r="DC130" s="16"/>
      <c r="DD130" s="16"/>
      <c r="DE130" s="16"/>
      <c r="DF130" s="16"/>
      <c r="DG130" s="16"/>
      <c r="DH130" s="16"/>
      <c r="DI130" s="16"/>
      <c r="DJ130" s="16"/>
      <c r="DK130" s="16"/>
      <c r="DL130" s="16"/>
      <c r="DM130" s="16"/>
      <c r="DN130" s="16"/>
      <c r="DO130" s="16"/>
      <c r="DP130" s="16"/>
      <c r="DQ130" s="16"/>
      <c r="DR130" s="16"/>
      <c r="DS130" s="16"/>
      <c r="DT130" s="16"/>
      <c r="DU130" s="16"/>
      <c r="DV130" s="16"/>
      <c r="DW130" s="16"/>
      <c r="DX130" s="16"/>
      <c r="DY130" s="16"/>
      <c r="DZ130" s="16"/>
      <c r="EA130" s="16"/>
      <c r="EB130" s="16"/>
      <c r="EC130" s="16"/>
      <c r="ED130" s="16"/>
      <c r="EE130" s="16"/>
    </row>
    <row r="131" spans="1:135" customFormat="1" ht="17.25" x14ac:dyDescent="0.25">
      <c r="A131" s="140" t="s">
        <v>317</v>
      </c>
      <c r="B131" s="265" t="s">
        <v>3</v>
      </c>
      <c r="C131" s="142">
        <f t="shared" si="3"/>
        <v>0</v>
      </c>
      <c r="D131" s="16"/>
      <c r="E131" s="16"/>
      <c r="F131" s="16"/>
      <c r="G131" s="16"/>
      <c r="H131" s="16"/>
      <c r="I131" s="262"/>
      <c r="J131" s="16"/>
      <c r="K131" s="16"/>
      <c r="L131" s="16"/>
      <c r="M131" s="16"/>
      <c r="O131" s="16"/>
      <c r="P131" s="16"/>
      <c r="Q131" s="16"/>
      <c r="R131" s="16"/>
      <c r="S131" s="16"/>
      <c r="T131" s="88"/>
      <c r="Z131" s="88"/>
      <c r="AA131" s="88"/>
      <c r="AB131" s="16"/>
      <c r="AC131" s="16"/>
      <c r="AD131" s="21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  <c r="BK131" s="16"/>
      <c r="BL131" s="16"/>
      <c r="BM131" s="16"/>
      <c r="BN131" s="16"/>
      <c r="BO131" s="16"/>
      <c r="BP131" s="16"/>
      <c r="BQ131" s="16"/>
      <c r="BR131" s="16"/>
      <c r="BS131" s="16"/>
      <c r="BT131" s="16"/>
      <c r="BU131" s="16"/>
      <c r="BV131" s="16"/>
      <c r="BW131" s="16"/>
      <c r="BX131" s="16"/>
      <c r="BY131" s="16"/>
      <c r="BZ131" s="16"/>
      <c r="CA131" s="16"/>
      <c r="CB131" s="16"/>
      <c r="CC131" s="16"/>
      <c r="CD131" s="16"/>
      <c r="CE131" s="16"/>
      <c r="CF131" s="16"/>
      <c r="CG131" s="16"/>
      <c r="CH131" s="16"/>
      <c r="CI131" s="16"/>
      <c r="CJ131" s="16"/>
      <c r="CK131" s="16"/>
      <c r="CL131" s="16"/>
      <c r="CM131" s="16"/>
      <c r="CN131" s="16"/>
      <c r="CO131" s="16"/>
      <c r="CP131" s="16"/>
      <c r="CQ131" s="16"/>
      <c r="CR131" s="16"/>
      <c r="CS131" s="16"/>
      <c r="CT131" s="16"/>
      <c r="CU131" s="16"/>
      <c r="CV131" s="16"/>
      <c r="CW131" s="16"/>
      <c r="CX131" s="16"/>
      <c r="CY131" s="16"/>
      <c r="CZ131" s="16"/>
      <c r="DA131" s="16"/>
      <c r="DB131" s="16"/>
      <c r="DC131" s="16"/>
      <c r="DD131" s="16"/>
      <c r="DE131" s="16"/>
      <c r="DF131" s="16"/>
      <c r="DG131" s="16"/>
      <c r="DH131" s="16"/>
      <c r="DI131" s="16"/>
      <c r="DJ131" s="16"/>
      <c r="DK131" s="16"/>
      <c r="DL131" s="16"/>
      <c r="DM131" s="16"/>
      <c r="DN131" s="16"/>
      <c r="DO131" s="16"/>
      <c r="DP131" s="16"/>
      <c r="DQ131" s="16"/>
      <c r="DR131" s="16"/>
      <c r="DS131" s="16"/>
      <c r="DT131" s="16"/>
      <c r="DU131" s="16"/>
      <c r="DV131" s="16"/>
      <c r="DW131" s="16"/>
      <c r="DX131" s="16"/>
      <c r="DY131" s="16"/>
      <c r="DZ131" s="16"/>
      <c r="EA131" s="16"/>
      <c r="EB131" s="16"/>
      <c r="EC131" s="16"/>
      <c r="ED131" s="16"/>
      <c r="EE131" s="16"/>
    </row>
    <row r="132" spans="1:135" customFormat="1" x14ac:dyDescent="0.25">
      <c r="A132" s="140" t="s">
        <v>417</v>
      </c>
      <c r="B132" s="246" t="s">
        <v>63</v>
      </c>
      <c r="C132" s="142" t="str">
        <f t="shared" si="3"/>
        <v>OK</v>
      </c>
      <c r="D132" s="16"/>
      <c r="E132" s="16"/>
      <c r="F132" s="16"/>
      <c r="G132" s="16"/>
      <c r="H132" s="16"/>
      <c r="I132" s="262"/>
      <c r="J132" s="16"/>
      <c r="K132" s="16"/>
      <c r="L132" s="16"/>
      <c r="M132" s="16"/>
      <c r="O132" s="16"/>
      <c r="P132" s="16"/>
      <c r="Q132" s="16"/>
      <c r="R132" s="16"/>
      <c r="S132" s="16"/>
      <c r="T132" s="88"/>
      <c r="Z132" s="88"/>
      <c r="AA132" s="88"/>
      <c r="AB132" s="16"/>
      <c r="AC132" s="16"/>
      <c r="AD132" s="21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  <c r="BK132" s="16"/>
      <c r="BL132" s="16"/>
      <c r="BM132" s="16"/>
      <c r="BN132" s="16"/>
      <c r="BO132" s="16"/>
      <c r="BP132" s="16"/>
      <c r="BQ132" s="16"/>
      <c r="BR132" s="16"/>
      <c r="BS132" s="16"/>
      <c r="BT132" s="16"/>
      <c r="BU132" s="16"/>
      <c r="BV132" s="16"/>
      <c r="BW132" s="16"/>
      <c r="BX132" s="16"/>
      <c r="BY132" s="16"/>
      <c r="BZ132" s="16"/>
      <c r="CA132" s="16"/>
      <c r="CB132" s="16"/>
      <c r="CC132" s="16"/>
      <c r="CD132" s="16"/>
      <c r="CE132" s="16"/>
      <c r="CF132" s="16"/>
      <c r="CG132" s="16"/>
      <c r="CH132" s="16"/>
      <c r="CI132" s="16"/>
      <c r="CJ132" s="16"/>
      <c r="CK132" s="16"/>
      <c r="CL132" s="16"/>
      <c r="CM132" s="16"/>
      <c r="CN132" s="16"/>
      <c r="CO132" s="16"/>
      <c r="CP132" s="16"/>
      <c r="CQ132" s="16"/>
      <c r="CR132" s="16"/>
      <c r="CS132" s="16"/>
      <c r="CT132" s="16"/>
      <c r="CU132" s="16"/>
      <c r="CV132" s="16"/>
      <c r="CW132" s="16"/>
      <c r="CX132" s="16"/>
      <c r="CY132" s="16"/>
      <c r="CZ132" s="16"/>
      <c r="DA132" s="16"/>
      <c r="DB132" s="16"/>
      <c r="DC132" s="16"/>
      <c r="DD132" s="16"/>
      <c r="DE132" s="16"/>
      <c r="DF132" s="16"/>
      <c r="DG132" s="16"/>
      <c r="DH132" s="16"/>
      <c r="DI132" s="16"/>
      <c r="DJ132" s="16"/>
      <c r="DK132" s="16"/>
      <c r="DL132" s="16"/>
      <c r="DM132" s="16"/>
      <c r="DN132" s="16"/>
      <c r="DO132" s="16"/>
      <c r="DP132" s="16"/>
      <c r="DQ132" s="16"/>
      <c r="DR132" s="16"/>
      <c r="DS132" s="16"/>
      <c r="DT132" s="16"/>
      <c r="DU132" s="16"/>
      <c r="DV132" s="16"/>
      <c r="DW132" s="16"/>
      <c r="DX132" s="16"/>
      <c r="DY132" s="16"/>
      <c r="DZ132" s="16"/>
      <c r="EA132" s="16"/>
      <c r="EB132" s="16"/>
      <c r="EC132" s="16"/>
      <c r="ED132" s="16"/>
      <c r="EE132" s="16"/>
    </row>
    <row r="133" spans="1:135" customFormat="1" ht="17.25" x14ac:dyDescent="0.25">
      <c r="A133" s="140" t="s">
        <v>608</v>
      </c>
      <c r="B133" s="265" t="s">
        <v>46</v>
      </c>
      <c r="C133" s="142" t="str">
        <f t="shared" si="3"/>
        <v>OK</v>
      </c>
      <c r="D133" s="16"/>
      <c r="E133" s="16"/>
      <c r="F133" s="16"/>
      <c r="G133" s="16"/>
      <c r="H133" s="16"/>
      <c r="I133" s="262"/>
      <c r="J133" s="16"/>
      <c r="K133" s="16"/>
      <c r="L133" s="16"/>
      <c r="M133" s="16"/>
      <c r="O133" s="16"/>
      <c r="P133" s="16"/>
      <c r="Q133" s="16"/>
      <c r="R133" s="16"/>
      <c r="S133" s="16"/>
      <c r="T133" s="88"/>
      <c r="U133" s="88"/>
      <c r="Z133" s="88"/>
      <c r="AA133" s="88"/>
      <c r="AB133" s="16"/>
      <c r="AC133" s="16"/>
      <c r="AD133" s="21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  <c r="BK133" s="16"/>
      <c r="BL133" s="16"/>
      <c r="BM133" s="16"/>
      <c r="BN133" s="16"/>
      <c r="BO133" s="16"/>
      <c r="BP133" s="16"/>
      <c r="BQ133" s="16"/>
      <c r="BR133" s="16"/>
      <c r="BS133" s="16"/>
      <c r="BT133" s="16"/>
      <c r="BU133" s="16"/>
      <c r="BV133" s="16"/>
      <c r="BW133" s="16"/>
      <c r="BX133" s="16"/>
      <c r="BY133" s="16"/>
      <c r="BZ133" s="16"/>
      <c r="CA133" s="16"/>
      <c r="CB133" s="16"/>
      <c r="CC133" s="16"/>
      <c r="CD133" s="16"/>
      <c r="CE133" s="16"/>
      <c r="CF133" s="16"/>
      <c r="CG133" s="16"/>
      <c r="CH133" s="16"/>
      <c r="CI133" s="16"/>
      <c r="CJ133" s="16"/>
      <c r="CK133" s="16"/>
      <c r="CL133" s="16"/>
      <c r="CM133" s="16"/>
      <c r="CN133" s="16"/>
      <c r="CO133" s="16"/>
      <c r="CP133" s="16"/>
      <c r="CQ133" s="16"/>
      <c r="CR133" s="16"/>
      <c r="CS133" s="16"/>
      <c r="CT133" s="16"/>
      <c r="CU133" s="16"/>
      <c r="CV133" s="16"/>
      <c r="CW133" s="16"/>
      <c r="CX133" s="16"/>
      <c r="CY133" s="16"/>
      <c r="CZ133" s="16"/>
      <c r="DA133" s="16"/>
      <c r="DB133" s="16"/>
      <c r="DC133" s="16"/>
      <c r="DD133" s="16"/>
      <c r="DE133" s="16"/>
      <c r="DF133" s="16"/>
      <c r="DG133" s="16"/>
      <c r="DH133" s="16"/>
      <c r="DI133" s="16"/>
      <c r="DJ133" s="16"/>
      <c r="DK133" s="16"/>
      <c r="DL133" s="16"/>
      <c r="DM133" s="16"/>
      <c r="DN133" s="16"/>
      <c r="DO133" s="16"/>
      <c r="DP133" s="16"/>
      <c r="DQ133" s="16"/>
      <c r="DR133" s="16"/>
      <c r="DS133" s="16"/>
      <c r="DT133" s="16"/>
      <c r="DU133" s="16"/>
      <c r="DV133" s="16"/>
      <c r="DW133" s="16"/>
      <c r="DX133" s="16"/>
      <c r="DY133" s="16"/>
      <c r="DZ133" s="16"/>
      <c r="EA133" s="16"/>
      <c r="EB133" s="16"/>
      <c r="EC133" s="16"/>
      <c r="ED133" s="16"/>
      <c r="EE133" s="16"/>
    </row>
    <row r="134" spans="1:135" customFormat="1" ht="17.25" x14ac:dyDescent="0.25">
      <c r="A134" s="140" t="s">
        <v>728</v>
      </c>
      <c r="B134" s="265" t="s">
        <v>29</v>
      </c>
      <c r="C134" s="142" t="str">
        <f t="shared" si="3"/>
        <v>OK</v>
      </c>
      <c r="D134" s="16"/>
      <c r="E134" s="16"/>
      <c r="F134" s="16"/>
      <c r="G134" s="16"/>
      <c r="H134" s="16"/>
      <c r="I134" s="262"/>
      <c r="J134" s="16"/>
      <c r="K134" s="16"/>
      <c r="L134" s="16"/>
      <c r="M134" s="16"/>
      <c r="O134" s="16"/>
      <c r="P134" s="16"/>
      <c r="Q134" s="16"/>
      <c r="R134" s="16"/>
      <c r="S134" s="16"/>
      <c r="T134" s="88"/>
      <c r="U134" s="88"/>
      <c r="Z134" s="88"/>
      <c r="AA134" s="88"/>
      <c r="AB134" s="16"/>
      <c r="AC134" s="16"/>
      <c r="AD134" s="21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  <c r="BK134" s="16"/>
      <c r="BL134" s="16"/>
      <c r="BM134" s="16"/>
      <c r="BN134" s="16"/>
      <c r="BO134" s="16"/>
      <c r="BP134" s="16"/>
      <c r="BQ134" s="16"/>
      <c r="BR134" s="16"/>
      <c r="BS134" s="16"/>
      <c r="BT134" s="16"/>
      <c r="BU134" s="16"/>
      <c r="BV134" s="16"/>
      <c r="BW134" s="16"/>
      <c r="BX134" s="16"/>
      <c r="BY134" s="16"/>
      <c r="BZ134" s="16"/>
      <c r="CA134" s="16"/>
      <c r="CB134" s="16"/>
      <c r="CC134" s="16"/>
      <c r="CD134" s="16"/>
      <c r="CE134" s="16"/>
      <c r="CF134" s="16"/>
      <c r="CG134" s="16"/>
      <c r="CH134" s="16"/>
      <c r="CI134" s="16"/>
      <c r="CJ134" s="16"/>
      <c r="CK134" s="16"/>
      <c r="CL134" s="16"/>
      <c r="CM134" s="16"/>
      <c r="CN134" s="16"/>
      <c r="CO134" s="16"/>
      <c r="CP134" s="16"/>
      <c r="CQ134" s="16"/>
      <c r="CR134" s="16"/>
      <c r="CS134" s="16"/>
      <c r="CT134" s="16"/>
      <c r="CU134" s="16"/>
      <c r="CV134" s="16"/>
      <c r="CW134" s="16"/>
      <c r="CX134" s="16"/>
      <c r="CY134" s="16"/>
      <c r="CZ134" s="16"/>
      <c r="DA134" s="16"/>
      <c r="DB134" s="16"/>
      <c r="DC134" s="16"/>
      <c r="DD134" s="16"/>
      <c r="DE134" s="16"/>
      <c r="DF134" s="16"/>
      <c r="DG134" s="16"/>
      <c r="DH134" s="16"/>
      <c r="DI134" s="16"/>
      <c r="DJ134" s="16"/>
      <c r="DK134" s="16"/>
      <c r="DL134" s="16"/>
      <c r="DM134" s="16"/>
      <c r="DN134" s="16"/>
      <c r="DO134" s="16"/>
      <c r="DP134" s="16"/>
      <c r="DQ134" s="16"/>
      <c r="DR134" s="16"/>
      <c r="DS134" s="16"/>
      <c r="DT134" s="16"/>
      <c r="DU134" s="16"/>
      <c r="DV134" s="16"/>
      <c r="DW134" s="16"/>
      <c r="DX134" s="16"/>
      <c r="DY134" s="16"/>
      <c r="DZ134" s="16"/>
      <c r="EA134" s="16"/>
      <c r="EB134" s="16"/>
      <c r="EC134" s="16"/>
      <c r="ED134" s="16"/>
      <c r="EE134" s="16"/>
    </row>
    <row r="135" spans="1:135" customFormat="1" ht="17.25" x14ac:dyDescent="0.25">
      <c r="A135" s="140" t="s">
        <v>729</v>
      </c>
      <c r="B135" s="265" t="s">
        <v>17</v>
      </c>
      <c r="C135" s="142" t="str">
        <f t="shared" si="3"/>
        <v>OK</v>
      </c>
      <c r="D135" s="16"/>
      <c r="E135" s="16"/>
      <c r="F135" s="16"/>
      <c r="G135" s="16"/>
      <c r="H135" s="16"/>
      <c r="I135" s="262"/>
      <c r="J135" s="16"/>
      <c r="K135" s="16"/>
      <c r="L135" s="16"/>
      <c r="M135" s="16"/>
      <c r="O135" s="16"/>
      <c r="P135" s="16"/>
      <c r="Q135" s="16"/>
      <c r="R135" s="16"/>
      <c r="S135" s="16"/>
      <c r="T135" s="88"/>
      <c r="U135" s="88"/>
      <c r="Z135" s="88"/>
      <c r="AA135" s="88"/>
      <c r="AB135" s="16"/>
      <c r="AC135" s="16"/>
      <c r="AD135" s="21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  <c r="BK135" s="16"/>
      <c r="BL135" s="16"/>
      <c r="BM135" s="16"/>
      <c r="BN135" s="16"/>
      <c r="BO135" s="16"/>
      <c r="BP135" s="16"/>
      <c r="BQ135" s="16"/>
      <c r="BR135" s="16"/>
      <c r="BS135" s="16"/>
      <c r="BT135" s="16"/>
      <c r="BU135" s="16"/>
      <c r="BV135" s="16"/>
      <c r="BW135" s="16"/>
      <c r="BX135" s="16"/>
      <c r="BY135" s="16"/>
      <c r="BZ135" s="16"/>
      <c r="CA135" s="16"/>
      <c r="CB135" s="16"/>
      <c r="CC135" s="16"/>
      <c r="CD135" s="16"/>
      <c r="CE135" s="16"/>
      <c r="CF135" s="16"/>
      <c r="CG135" s="16"/>
      <c r="CH135" s="16"/>
      <c r="CI135" s="16"/>
      <c r="CJ135" s="16"/>
      <c r="CK135" s="16"/>
      <c r="CL135" s="16"/>
      <c r="CM135" s="16"/>
      <c r="CN135" s="16"/>
      <c r="CO135" s="16"/>
      <c r="CP135" s="16"/>
      <c r="CQ135" s="16"/>
      <c r="CR135" s="16"/>
      <c r="CS135" s="16"/>
      <c r="CT135" s="16"/>
      <c r="CU135" s="16"/>
      <c r="CV135" s="16"/>
      <c r="CW135" s="16"/>
      <c r="CX135" s="16"/>
      <c r="CY135" s="16"/>
      <c r="CZ135" s="16"/>
      <c r="DA135" s="16"/>
      <c r="DB135" s="16"/>
      <c r="DC135" s="16"/>
      <c r="DD135" s="16"/>
      <c r="DE135" s="16"/>
      <c r="DF135" s="16"/>
      <c r="DG135" s="16"/>
      <c r="DH135" s="16"/>
      <c r="DI135" s="16"/>
      <c r="DJ135" s="16"/>
      <c r="DK135" s="16"/>
      <c r="DL135" s="16"/>
      <c r="DM135" s="16"/>
      <c r="DN135" s="16"/>
      <c r="DO135" s="16"/>
      <c r="DP135" s="16"/>
      <c r="DQ135" s="16"/>
      <c r="DR135" s="16"/>
      <c r="DS135" s="16"/>
      <c r="DT135" s="16"/>
      <c r="DU135" s="16"/>
      <c r="DV135" s="16"/>
      <c r="DW135" s="16"/>
      <c r="DX135" s="16"/>
      <c r="DY135" s="16"/>
      <c r="DZ135" s="16"/>
      <c r="EA135" s="16"/>
      <c r="EB135" s="16"/>
      <c r="EC135" s="16"/>
      <c r="ED135" s="16"/>
      <c r="EE135" s="16"/>
    </row>
    <row r="136" spans="1:135" customFormat="1" ht="17.25" x14ac:dyDescent="0.25">
      <c r="A136" s="140" t="s">
        <v>730</v>
      </c>
      <c r="B136" s="265" t="s">
        <v>6</v>
      </c>
      <c r="C136" s="142" t="str">
        <f t="shared" si="3"/>
        <v>OK</v>
      </c>
      <c r="D136" s="16"/>
      <c r="E136" s="16"/>
      <c r="F136" s="16"/>
      <c r="G136" s="16"/>
      <c r="H136" s="16"/>
      <c r="I136" s="262"/>
      <c r="J136" s="16"/>
      <c r="K136" s="16"/>
      <c r="L136" s="16"/>
      <c r="M136" s="16"/>
      <c r="O136" s="16"/>
      <c r="P136" s="16"/>
      <c r="Q136" s="16"/>
      <c r="R136" s="16"/>
      <c r="S136" s="16"/>
      <c r="T136" s="88"/>
      <c r="U136" s="385"/>
      <c r="Z136" s="88"/>
      <c r="AA136" s="88"/>
      <c r="AB136" s="16"/>
      <c r="AC136" s="16"/>
      <c r="AD136" s="21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  <c r="BK136" s="16"/>
      <c r="BL136" s="16"/>
      <c r="BM136" s="16"/>
      <c r="BN136" s="16"/>
      <c r="BO136" s="16"/>
      <c r="BP136" s="16"/>
      <c r="BQ136" s="16"/>
      <c r="BR136" s="16"/>
      <c r="BS136" s="16"/>
      <c r="BT136" s="16"/>
      <c r="BU136" s="16"/>
      <c r="BV136" s="16"/>
      <c r="BW136" s="16"/>
      <c r="BX136" s="16"/>
      <c r="BY136" s="16"/>
      <c r="BZ136" s="16"/>
      <c r="CA136" s="16"/>
      <c r="CB136" s="16"/>
      <c r="CC136" s="16"/>
      <c r="CD136" s="16"/>
      <c r="CE136" s="16"/>
      <c r="CF136" s="16"/>
      <c r="CG136" s="16"/>
      <c r="CH136" s="16"/>
      <c r="CI136" s="16"/>
      <c r="CJ136" s="16"/>
      <c r="CK136" s="16"/>
      <c r="CL136" s="16"/>
      <c r="CM136" s="16"/>
      <c r="CN136" s="16"/>
      <c r="CO136" s="16"/>
      <c r="CP136" s="16"/>
      <c r="CQ136" s="16"/>
      <c r="CR136" s="16"/>
      <c r="CS136" s="16"/>
      <c r="CT136" s="16"/>
      <c r="CU136" s="16"/>
      <c r="CV136" s="16"/>
      <c r="CW136" s="16"/>
      <c r="CX136" s="16"/>
      <c r="CY136" s="16"/>
      <c r="CZ136" s="16"/>
      <c r="DA136" s="16"/>
      <c r="DB136" s="16"/>
      <c r="DC136" s="16"/>
      <c r="DD136" s="16"/>
      <c r="DE136" s="16"/>
      <c r="DF136" s="16"/>
      <c r="DG136" s="16"/>
      <c r="DH136" s="16"/>
      <c r="DI136" s="16"/>
      <c r="DJ136" s="16"/>
      <c r="DK136" s="16"/>
      <c r="DL136" s="16"/>
      <c r="DM136" s="16"/>
      <c r="DN136" s="16"/>
      <c r="DO136" s="16"/>
      <c r="DP136" s="16"/>
      <c r="DQ136" s="16"/>
      <c r="DR136" s="16"/>
      <c r="DS136" s="16"/>
      <c r="DT136" s="16"/>
      <c r="DU136" s="16"/>
      <c r="DV136" s="16"/>
      <c r="DW136" s="16"/>
      <c r="DX136" s="16"/>
      <c r="DY136" s="16"/>
      <c r="DZ136" s="16"/>
      <c r="EA136" s="16"/>
      <c r="EB136" s="16"/>
      <c r="EC136" s="16"/>
      <c r="ED136" s="16"/>
      <c r="EE136" s="16"/>
    </row>
    <row r="137" spans="1:135" customFormat="1" ht="17.25" x14ac:dyDescent="0.25">
      <c r="A137" s="140" t="s">
        <v>731</v>
      </c>
      <c r="B137" s="265" t="s">
        <v>26</v>
      </c>
      <c r="C137" s="142" t="str">
        <f t="shared" si="3"/>
        <v>OK</v>
      </c>
      <c r="D137" s="16"/>
      <c r="E137" s="16"/>
      <c r="F137" s="16"/>
      <c r="G137" s="16"/>
      <c r="H137" s="16"/>
      <c r="I137" s="262"/>
      <c r="J137" s="16"/>
      <c r="K137" s="16"/>
      <c r="L137" s="16"/>
      <c r="M137" s="16"/>
      <c r="O137" s="16"/>
      <c r="P137" s="16"/>
      <c r="Q137" s="16"/>
      <c r="R137" s="16"/>
      <c r="S137" s="16"/>
      <c r="T137" s="88"/>
      <c r="U137" s="385"/>
      <c r="Z137" s="88"/>
      <c r="AA137" s="88"/>
      <c r="AB137" s="16"/>
      <c r="AC137" s="16"/>
      <c r="AD137" s="21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  <c r="BK137" s="16"/>
      <c r="BL137" s="16"/>
      <c r="BM137" s="16"/>
      <c r="BN137" s="16"/>
      <c r="BO137" s="16"/>
      <c r="BP137" s="16"/>
      <c r="BQ137" s="16"/>
      <c r="BR137" s="16"/>
      <c r="BS137" s="16"/>
      <c r="BT137" s="16"/>
      <c r="BU137" s="16"/>
      <c r="BV137" s="16"/>
      <c r="BW137" s="16"/>
      <c r="BX137" s="16"/>
      <c r="BY137" s="16"/>
      <c r="BZ137" s="16"/>
      <c r="CA137" s="16"/>
      <c r="CB137" s="16"/>
      <c r="CC137" s="16"/>
      <c r="CD137" s="16"/>
      <c r="CE137" s="16"/>
      <c r="CF137" s="16"/>
      <c r="CG137" s="16"/>
      <c r="CH137" s="16"/>
      <c r="CI137" s="16"/>
      <c r="CJ137" s="16"/>
      <c r="CK137" s="16"/>
      <c r="CL137" s="16"/>
      <c r="CM137" s="16"/>
      <c r="CN137" s="16"/>
      <c r="CO137" s="16"/>
      <c r="CP137" s="16"/>
      <c r="CQ137" s="16"/>
      <c r="CR137" s="16"/>
      <c r="CS137" s="16"/>
      <c r="CT137" s="16"/>
      <c r="CU137" s="16"/>
      <c r="CV137" s="16"/>
      <c r="CW137" s="16"/>
      <c r="CX137" s="16"/>
      <c r="CY137" s="16"/>
      <c r="CZ137" s="16"/>
      <c r="DA137" s="16"/>
      <c r="DB137" s="16"/>
      <c r="DC137" s="16"/>
      <c r="DD137" s="16"/>
      <c r="DE137" s="16"/>
      <c r="DF137" s="16"/>
      <c r="DG137" s="16"/>
      <c r="DH137" s="16"/>
      <c r="DI137" s="16"/>
      <c r="DJ137" s="16"/>
      <c r="DK137" s="16"/>
      <c r="DL137" s="16"/>
      <c r="DM137" s="16"/>
      <c r="DN137" s="16"/>
      <c r="DO137" s="16"/>
      <c r="DP137" s="16"/>
      <c r="DQ137" s="16"/>
      <c r="DR137" s="16"/>
      <c r="DS137" s="16"/>
      <c r="DT137" s="16"/>
      <c r="DU137" s="16"/>
      <c r="DV137" s="16"/>
      <c r="DW137" s="16"/>
      <c r="DX137" s="16"/>
      <c r="DY137" s="16"/>
      <c r="DZ137" s="16"/>
      <c r="EA137" s="16"/>
      <c r="EB137" s="16"/>
      <c r="EC137" s="16"/>
      <c r="ED137" s="16"/>
      <c r="EE137" s="16"/>
    </row>
    <row r="138" spans="1:135" customFormat="1" x14ac:dyDescent="0.25">
      <c r="A138" s="140" t="s">
        <v>732</v>
      </c>
      <c r="B138" s="246" t="s">
        <v>62</v>
      </c>
      <c r="C138" s="142" t="str">
        <f t="shared" si="3"/>
        <v>OK</v>
      </c>
      <c r="D138" s="16"/>
      <c r="E138" s="16"/>
      <c r="F138" s="16"/>
      <c r="G138" s="16"/>
      <c r="H138" s="16"/>
      <c r="I138" s="262"/>
      <c r="J138" s="16"/>
      <c r="K138" s="16"/>
      <c r="L138" s="16"/>
      <c r="M138" s="16"/>
      <c r="O138" s="16"/>
      <c r="P138" s="16"/>
      <c r="Q138" s="16"/>
      <c r="R138" s="16"/>
      <c r="S138" s="16"/>
      <c r="T138" s="88"/>
      <c r="Z138" s="88"/>
      <c r="AA138" s="88"/>
      <c r="AB138" s="16"/>
      <c r="AC138" s="16"/>
      <c r="AD138" s="21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  <c r="BK138" s="16"/>
      <c r="BL138" s="16"/>
      <c r="BM138" s="16"/>
      <c r="BN138" s="16"/>
      <c r="BO138" s="16"/>
      <c r="BP138" s="16"/>
      <c r="BQ138" s="16"/>
      <c r="BR138" s="16"/>
      <c r="BS138" s="16"/>
      <c r="BT138" s="16"/>
      <c r="BU138" s="16"/>
      <c r="BV138" s="16"/>
      <c r="BW138" s="16"/>
      <c r="BX138" s="16"/>
      <c r="BY138" s="16"/>
      <c r="BZ138" s="16"/>
      <c r="CA138" s="16"/>
      <c r="CB138" s="16"/>
      <c r="CC138" s="16"/>
      <c r="CD138" s="16"/>
      <c r="CE138" s="16"/>
      <c r="CF138" s="16"/>
      <c r="CG138" s="16"/>
      <c r="CH138" s="16"/>
      <c r="CI138" s="16"/>
      <c r="CJ138" s="16"/>
      <c r="CK138" s="16"/>
      <c r="CL138" s="16"/>
      <c r="CM138" s="16"/>
      <c r="CN138" s="16"/>
      <c r="CO138" s="16"/>
      <c r="CP138" s="16"/>
      <c r="CQ138" s="16"/>
      <c r="CR138" s="16"/>
      <c r="CS138" s="16"/>
      <c r="CT138" s="16"/>
      <c r="CU138" s="16"/>
      <c r="CV138" s="16"/>
      <c r="CW138" s="16"/>
      <c r="CX138" s="16"/>
      <c r="CY138" s="16"/>
      <c r="CZ138" s="16"/>
      <c r="DA138" s="16"/>
      <c r="DB138" s="16"/>
      <c r="DC138" s="16"/>
      <c r="DD138" s="16"/>
      <c r="DE138" s="16"/>
      <c r="DF138" s="16"/>
      <c r="DG138" s="16"/>
      <c r="DH138" s="16"/>
      <c r="DI138" s="16"/>
      <c r="DJ138" s="16"/>
      <c r="DK138" s="16"/>
      <c r="DL138" s="16"/>
      <c r="DM138" s="16"/>
      <c r="DN138" s="16"/>
      <c r="DO138" s="16"/>
      <c r="DP138" s="16"/>
      <c r="DQ138" s="16"/>
      <c r="DR138" s="16"/>
      <c r="DS138" s="16"/>
      <c r="DT138" s="16"/>
      <c r="DU138" s="16"/>
      <c r="DV138" s="16"/>
      <c r="DW138" s="16"/>
      <c r="DX138" s="16"/>
      <c r="DY138" s="16"/>
      <c r="DZ138" s="16"/>
      <c r="EA138" s="16"/>
      <c r="EB138" s="16"/>
      <c r="EC138" s="16"/>
      <c r="ED138" s="16"/>
      <c r="EE138" s="16"/>
    </row>
    <row r="139" spans="1:135" customFormat="1" ht="17.25" x14ac:dyDescent="0.25">
      <c r="A139" s="211" t="s">
        <v>733</v>
      </c>
      <c r="B139" s="265" t="s">
        <v>322</v>
      </c>
      <c r="C139" s="142" t="str">
        <f t="shared" si="3"/>
        <v>OK</v>
      </c>
      <c r="D139" s="16"/>
      <c r="E139" s="16"/>
      <c r="F139" s="16"/>
      <c r="G139" s="16"/>
      <c r="H139" s="16"/>
      <c r="I139" s="262"/>
      <c r="J139" s="16"/>
      <c r="K139" s="16"/>
      <c r="L139" s="16"/>
      <c r="M139" s="16"/>
      <c r="O139" s="16"/>
      <c r="P139" s="16"/>
      <c r="Q139" s="16"/>
      <c r="R139" s="16"/>
      <c r="S139" s="16"/>
      <c r="T139" s="88"/>
      <c r="Z139" s="88"/>
      <c r="AA139" s="88"/>
      <c r="AB139" s="16"/>
      <c r="AC139" s="16"/>
      <c r="AD139" s="21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  <c r="BK139" s="16"/>
      <c r="BL139" s="16"/>
      <c r="BM139" s="16"/>
      <c r="BN139" s="16"/>
      <c r="BO139" s="16"/>
      <c r="BP139" s="16"/>
      <c r="BQ139" s="16"/>
      <c r="BR139" s="16"/>
      <c r="BS139" s="16"/>
      <c r="BT139" s="16"/>
      <c r="BU139" s="16"/>
      <c r="BV139" s="16"/>
      <c r="BW139" s="16"/>
      <c r="BX139" s="16"/>
      <c r="BY139" s="16"/>
      <c r="BZ139" s="16"/>
      <c r="CA139" s="16"/>
      <c r="CB139" s="16"/>
      <c r="CC139" s="16"/>
      <c r="CD139" s="16"/>
      <c r="CE139" s="16"/>
      <c r="CF139" s="16"/>
      <c r="CG139" s="16"/>
      <c r="CH139" s="16"/>
      <c r="CI139" s="16"/>
      <c r="CJ139" s="16"/>
      <c r="CK139" s="16"/>
      <c r="CL139" s="16"/>
      <c r="CM139" s="16"/>
      <c r="CN139" s="16"/>
      <c r="CO139" s="16"/>
      <c r="CP139" s="16"/>
      <c r="CQ139" s="16"/>
      <c r="CR139" s="16"/>
      <c r="CS139" s="16"/>
      <c r="CT139" s="16"/>
      <c r="CU139" s="16"/>
      <c r="CV139" s="16"/>
      <c r="CW139" s="16"/>
      <c r="CX139" s="16"/>
      <c r="CY139" s="16"/>
      <c r="CZ139" s="16"/>
      <c r="DA139" s="16"/>
      <c r="DB139" s="16"/>
      <c r="DC139" s="16"/>
      <c r="DD139" s="16"/>
      <c r="DE139" s="16"/>
      <c r="DF139" s="16"/>
      <c r="DG139" s="16"/>
      <c r="DH139" s="16"/>
      <c r="DI139" s="16"/>
      <c r="DJ139" s="16"/>
      <c r="DK139" s="16"/>
      <c r="DL139" s="16"/>
      <c r="DM139" s="16"/>
      <c r="DN139" s="16"/>
      <c r="DO139" s="16"/>
      <c r="DP139" s="16"/>
      <c r="DQ139" s="16"/>
      <c r="DR139" s="16"/>
      <c r="DS139" s="16"/>
      <c r="DT139" s="16"/>
      <c r="DU139" s="16"/>
      <c r="DV139" s="16"/>
      <c r="DW139" s="16"/>
      <c r="DX139" s="16"/>
      <c r="DY139" s="16"/>
      <c r="DZ139" s="16"/>
      <c r="EA139" s="16"/>
      <c r="EB139" s="16"/>
      <c r="EC139" s="16"/>
      <c r="ED139" s="16"/>
      <c r="EE139" s="16"/>
    </row>
    <row r="140" spans="1:135" customFormat="1" x14ac:dyDescent="0.25">
      <c r="A140" s="211" t="s">
        <v>734</v>
      </c>
      <c r="B140" s="246" t="s">
        <v>63</v>
      </c>
      <c r="C140" s="142" t="str">
        <f t="shared" si="3"/>
        <v>OK</v>
      </c>
      <c r="D140" s="16"/>
      <c r="E140" s="16"/>
      <c r="F140" s="16"/>
      <c r="G140" s="16"/>
      <c r="H140" s="16"/>
      <c r="I140" s="262"/>
      <c r="J140" s="16"/>
      <c r="K140" s="16"/>
      <c r="L140" s="16"/>
      <c r="M140" s="16"/>
      <c r="O140" s="16"/>
      <c r="P140" s="16"/>
      <c r="Q140" s="16"/>
      <c r="R140" s="16"/>
      <c r="S140" s="16"/>
      <c r="T140" s="88"/>
      <c r="Z140" s="88"/>
      <c r="AA140" s="88"/>
      <c r="AB140" s="16"/>
      <c r="AC140" s="16"/>
      <c r="AD140" s="21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  <c r="BK140" s="16"/>
      <c r="BL140" s="16"/>
      <c r="BM140" s="16"/>
      <c r="BN140" s="16"/>
      <c r="BO140" s="16"/>
      <c r="BP140" s="16"/>
      <c r="BQ140" s="16"/>
      <c r="BR140" s="16"/>
      <c r="BS140" s="16"/>
      <c r="BT140" s="16"/>
      <c r="BU140" s="16"/>
      <c r="BV140" s="16"/>
      <c r="BW140" s="16"/>
      <c r="BX140" s="16"/>
      <c r="BY140" s="16"/>
      <c r="BZ140" s="16"/>
      <c r="CA140" s="16"/>
      <c r="CB140" s="16"/>
      <c r="CC140" s="16"/>
      <c r="CD140" s="16"/>
      <c r="CE140" s="16"/>
      <c r="CF140" s="16"/>
      <c r="CG140" s="16"/>
      <c r="CH140" s="16"/>
      <c r="CI140" s="16"/>
      <c r="CJ140" s="16"/>
      <c r="CK140" s="16"/>
      <c r="CL140" s="16"/>
      <c r="CM140" s="16"/>
      <c r="CN140" s="16"/>
      <c r="CO140" s="16"/>
      <c r="CP140" s="16"/>
      <c r="CQ140" s="16"/>
      <c r="CR140" s="16"/>
      <c r="CS140" s="16"/>
      <c r="CT140" s="16"/>
      <c r="CU140" s="16"/>
      <c r="CV140" s="16"/>
      <c r="CW140" s="16"/>
      <c r="CX140" s="16"/>
      <c r="CY140" s="16"/>
      <c r="CZ140" s="16"/>
      <c r="DA140" s="16"/>
      <c r="DB140" s="16"/>
      <c r="DC140" s="16"/>
      <c r="DD140" s="16"/>
      <c r="DE140" s="16"/>
      <c r="DF140" s="16"/>
      <c r="DG140" s="16"/>
      <c r="DH140" s="16"/>
      <c r="DI140" s="16"/>
      <c r="DJ140" s="16"/>
      <c r="DK140" s="16"/>
      <c r="DL140" s="16"/>
      <c r="DM140" s="16"/>
      <c r="DN140" s="16"/>
      <c r="DO140" s="16"/>
      <c r="DP140" s="16"/>
      <c r="DQ140" s="16"/>
      <c r="DR140" s="16"/>
      <c r="DS140" s="16"/>
      <c r="DT140" s="16"/>
      <c r="DU140" s="16"/>
      <c r="DV140" s="16"/>
      <c r="DW140" s="16"/>
      <c r="DX140" s="16"/>
      <c r="DY140" s="16"/>
      <c r="DZ140" s="16"/>
      <c r="EA140" s="16"/>
      <c r="EB140" s="16"/>
      <c r="EC140" s="16"/>
      <c r="ED140" s="16"/>
      <c r="EE140" s="16"/>
    </row>
    <row r="141" spans="1:135" customFormat="1" ht="17.25" x14ac:dyDescent="0.25">
      <c r="A141" s="211" t="s">
        <v>869</v>
      </c>
      <c r="B141" s="265" t="s">
        <v>322</v>
      </c>
      <c r="C141" s="142" t="str">
        <f t="shared" si="3"/>
        <v>OK</v>
      </c>
      <c r="D141" s="16"/>
      <c r="E141" s="16"/>
      <c r="F141" s="16"/>
      <c r="G141" s="16"/>
      <c r="H141" s="16"/>
      <c r="I141" s="262"/>
      <c r="J141" s="16"/>
      <c r="K141" s="16"/>
      <c r="L141" s="16"/>
      <c r="M141" s="16"/>
      <c r="O141" s="16"/>
      <c r="P141" s="16"/>
      <c r="Q141" s="16"/>
      <c r="R141" s="16"/>
      <c r="S141" s="16"/>
      <c r="T141" s="88"/>
      <c r="U141" s="83"/>
      <c r="Z141" s="88"/>
      <c r="AA141" s="88"/>
      <c r="AB141" s="16"/>
      <c r="AC141" s="16"/>
      <c r="AD141" s="21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  <c r="BK141" s="16"/>
      <c r="BL141" s="16"/>
      <c r="BM141" s="16"/>
      <c r="BN141" s="16"/>
      <c r="BO141" s="16"/>
      <c r="BP141" s="16"/>
      <c r="BQ141" s="16"/>
      <c r="BR141" s="16"/>
      <c r="BS141" s="16"/>
      <c r="BT141" s="16"/>
      <c r="BU141" s="16"/>
      <c r="BV141" s="16"/>
      <c r="BW141" s="16"/>
      <c r="BX141" s="16"/>
      <c r="BY141" s="16"/>
      <c r="BZ141" s="16"/>
      <c r="CA141" s="16"/>
      <c r="CB141" s="16"/>
      <c r="CC141" s="16"/>
      <c r="CD141" s="16"/>
      <c r="CE141" s="16"/>
      <c r="CF141" s="16"/>
      <c r="CG141" s="16"/>
      <c r="CH141" s="16"/>
      <c r="CI141" s="16"/>
      <c r="CJ141" s="16"/>
      <c r="CK141" s="16"/>
      <c r="CL141" s="16"/>
      <c r="CM141" s="16"/>
      <c r="CN141" s="16"/>
      <c r="CO141" s="16"/>
      <c r="CP141" s="16"/>
      <c r="CQ141" s="16"/>
      <c r="CR141" s="16"/>
      <c r="CS141" s="16"/>
      <c r="CT141" s="16"/>
      <c r="CU141" s="16"/>
      <c r="CV141" s="16"/>
      <c r="CW141" s="16"/>
      <c r="CX141" s="16"/>
      <c r="CY141" s="16"/>
      <c r="CZ141" s="16"/>
      <c r="DA141" s="16"/>
      <c r="DB141" s="16"/>
      <c r="DC141" s="16"/>
      <c r="DD141" s="16"/>
      <c r="DE141" s="16"/>
      <c r="DF141" s="16"/>
      <c r="DG141" s="16"/>
      <c r="DH141" s="16"/>
      <c r="DI141" s="16"/>
      <c r="DJ141" s="16"/>
      <c r="DK141" s="16"/>
      <c r="DL141" s="16"/>
      <c r="DM141" s="16"/>
      <c r="DN141" s="16"/>
      <c r="DO141" s="16"/>
      <c r="DP141" s="16"/>
      <c r="DQ141" s="16"/>
      <c r="DR141" s="16"/>
      <c r="DS141" s="16"/>
      <c r="DT141" s="16"/>
      <c r="DU141" s="16"/>
      <c r="DV141" s="16"/>
      <c r="DW141" s="16"/>
      <c r="DX141" s="16"/>
      <c r="DY141" s="16"/>
      <c r="DZ141" s="16"/>
      <c r="EA141" s="16"/>
      <c r="EB141" s="16"/>
      <c r="EC141" s="16"/>
      <c r="ED141" s="16"/>
      <c r="EE141" s="16"/>
    </row>
    <row r="142" spans="1:135" customFormat="1" ht="17.25" x14ac:dyDescent="0.25">
      <c r="A142" s="211"/>
      <c r="B142" s="265"/>
      <c r="C142" s="142" t="str">
        <f t="shared" si="3"/>
        <v/>
      </c>
      <c r="D142" s="16"/>
      <c r="E142" s="16"/>
      <c r="F142" s="16"/>
      <c r="G142" s="16"/>
      <c r="H142" s="16"/>
      <c r="I142" s="262"/>
      <c r="J142" s="16"/>
      <c r="K142" s="16"/>
      <c r="L142" s="16"/>
      <c r="M142" s="16"/>
      <c r="O142" s="16"/>
      <c r="P142" s="16"/>
      <c r="Q142" s="16"/>
      <c r="R142" s="16"/>
      <c r="S142" s="16"/>
      <c r="T142" s="88"/>
      <c r="U142" s="88"/>
      <c r="Z142" s="88"/>
      <c r="AA142" s="88"/>
      <c r="AB142" s="16"/>
      <c r="AC142" s="16"/>
      <c r="AD142" s="21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  <c r="BK142" s="16"/>
      <c r="BL142" s="16"/>
      <c r="BM142" s="16"/>
      <c r="BN142" s="16"/>
      <c r="BO142" s="16"/>
      <c r="BP142" s="16"/>
      <c r="BQ142" s="16"/>
      <c r="BR142" s="16"/>
      <c r="BS142" s="16"/>
      <c r="BT142" s="16"/>
      <c r="BU142" s="16"/>
      <c r="BV142" s="16"/>
      <c r="BW142" s="16"/>
      <c r="BX142" s="16"/>
      <c r="BY142" s="16"/>
      <c r="BZ142" s="16"/>
      <c r="CA142" s="16"/>
      <c r="CB142" s="16"/>
      <c r="CC142" s="16"/>
      <c r="CD142" s="16"/>
      <c r="CE142" s="16"/>
      <c r="CF142" s="16"/>
      <c r="CG142" s="16"/>
      <c r="CH142" s="16"/>
      <c r="CI142" s="16"/>
      <c r="CJ142" s="16"/>
      <c r="CK142" s="16"/>
      <c r="CL142" s="16"/>
      <c r="CM142" s="16"/>
      <c r="CN142" s="16"/>
      <c r="CO142" s="16"/>
      <c r="CP142" s="16"/>
      <c r="CQ142" s="16"/>
      <c r="CR142" s="16"/>
      <c r="CS142" s="16"/>
      <c r="CT142" s="16"/>
      <c r="CU142" s="16"/>
      <c r="CV142" s="16"/>
      <c r="CW142" s="16"/>
      <c r="CX142" s="16"/>
      <c r="CY142" s="16"/>
      <c r="CZ142" s="16"/>
      <c r="DA142" s="16"/>
      <c r="DB142" s="16"/>
      <c r="DC142" s="16"/>
      <c r="DD142" s="16"/>
      <c r="DE142" s="16"/>
      <c r="DF142" s="16"/>
      <c r="DG142" s="16"/>
      <c r="DH142" s="16"/>
      <c r="DI142" s="16"/>
      <c r="DJ142" s="16"/>
      <c r="DK142" s="16"/>
      <c r="DL142" s="16"/>
      <c r="DM142" s="16"/>
      <c r="DN142" s="16"/>
      <c r="DO142" s="16"/>
      <c r="DP142" s="16"/>
      <c r="DQ142" s="16"/>
      <c r="DR142" s="16"/>
      <c r="DS142" s="16"/>
      <c r="DT142" s="16"/>
      <c r="DU142" s="16"/>
      <c r="DV142" s="16"/>
      <c r="DW142" s="16"/>
      <c r="DX142" s="16"/>
      <c r="DY142" s="16"/>
      <c r="DZ142" s="16"/>
      <c r="EA142" s="16"/>
      <c r="EB142" s="16"/>
      <c r="EC142" s="16"/>
      <c r="ED142" s="16"/>
      <c r="EE142" s="16"/>
    </row>
    <row r="143" spans="1:135" customFormat="1" ht="17.25" x14ac:dyDescent="0.25">
      <c r="A143" s="211"/>
      <c r="B143" s="265"/>
      <c r="C143" s="142" t="str">
        <f t="shared" si="3"/>
        <v/>
      </c>
      <c r="D143" s="16"/>
      <c r="E143" s="16"/>
      <c r="F143" s="16"/>
      <c r="G143" s="16"/>
      <c r="H143" s="16"/>
      <c r="I143" s="262"/>
      <c r="J143" s="16"/>
      <c r="K143" s="16"/>
      <c r="L143" s="16"/>
      <c r="M143" s="16"/>
      <c r="O143" s="16"/>
      <c r="P143" s="16"/>
      <c r="Q143" s="16"/>
      <c r="R143" s="16"/>
      <c r="S143" s="16"/>
      <c r="T143" s="88"/>
      <c r="U143" s="385"/>
      <c r="Z143" s="88"/>
      <c r="AA143" s="88"/>
      <c r="AB143" s="16"/>
      <c r="AC143" s="16"/>
      <c r="AD143" s="21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  <c r="BK143" s="16"/>
      <c r="BL143" s="16"/>
      <c r="BM143" s="16"/>
      <c r="BN143" s="16"/>
      <c r="BO143" s="16"/>
      <c r="BP143" s="16"/>
      <c r="BQ143" s="16"/>
      <c r="BR143" s="16"/>
      <c r="BS143" s="16"/>
      <c r="BT143" s="16"/>
      <c r="BU143" s="16"/>
      <c r="BV143" s="16"/>
      <c r="BW143" s="16"/>
      <c r="BX143" s="16"/>
      <c r="BY143" s="16"/>
      <c r="BZ143" s="16"/>
      <c r="CA143" s="16"/>
      <c r="CB143" s="16"/>
      <c r="CC143" s="16"/>
      <c r="CD143" s="16"/>
      <c r="CE143" s="16"/>
      <c r="CF143" s="16"/>
      <c r="CG143" s="16"/>
      <c r="CH143" s="16"/>
      <c r="CI143" s="16"/>
      <c r="CJ143" s="16"/>
      <c r="CK143" s="16"/>
      <c r="CL143" s="16"/>
      <c r="CM143" s="16"/>
      <c r="CN143" s="16"/>
      <c r="CO143" s="16"/>
      <c r="CP143" s="16"/>
      <c r="CQ143" s="16"/>
      <c r="CR143" s="16"/>
      <c r="CS143" s="16"/>
      <c r="CT143" s="16"/>
      <c r="CU143" s="16"/>
      <c r="CV143" s="16"/>
      <c r="CW143" s="16"/>
      <c r="CX143" s="16"/>
      <c r="CY143" s="16"/>
      <c r="CZ143" s="16"/>
      <c r="DA143" s="16"/>
      <c r="DB143" s="16"/>
      <c r="DC143" s="16"/>
      <c r="DD143" s="16"/>
      <c r="DE143" s="16"/>
      <c r="DF143" s="16"/>
      <c r="DG143" s="16"/>
      <c r="DH143" s="16"/>
      <c r="DI143" s="16"/>
      <c r="DJ143" s="16"/>
      <c r="DK143" s="16"/>
      <c r="DL143" s="16"/>
      <c r="DM143" s="16"/>
      <c r="DN143" s="16"/>
      <c r="DO143" s="16"/>
      <c r="DP143" s="16"/>
      <c r="DQ143" s="16"/>
      <c r="DR143" s="16"/>
      <c r="DS143" s="16"/>
      <c r="DT143" s="16"/>
      <c r="DU143" s="16"/>
      <c r="DV143" s="16"/>
      <c r="DW143" s="16"/>
      <c r="DX143" s="16"/>
      <c r="DY143" s="16"/>
      <c r="DZ143" s="16"/>
      <c r="EA143" s="16"/>
      <c r="EB143" s="16"/>
      <c r="EC143" s="16"/>
      <c r="ED143" s="16"/>
      <c r="EE143" s="16"/>
    </row>
    <row r="144" spans="1:135" customFormat="1" ht="17.25" x14ac:dyDescent="0.25">
      <c r="A144" s="211"/>
      <c r="B144" s="265"/>
      <c r="C144" s="142" t="str">
        <f t="shared" si="3"/>
        <v/>
      </c>
      <c r="D144" s="16"/>
      <c r="E144" s="16"/>
      <c r="F144" s="16"/>
      <c r="G144" s="16"/>
      <c r="H144" s="16"/>
      <c r="I144" s="262"/>
      <c r="J144" s="16"/>
      <c r="K144" s="16"/>
      <c r="L144" s="16"/>
      <c r="M144" s="16"/>
      <c r="O144" s="16"/>
      <c r="P144" s="16"/>
      <c r="Q144" s="16"/>
      <c r="R144" s="16"/>
      <c r="S144" s="16"/>
      <c r="T144" s="88"/>
      <c r="U144" s="88"/>
      <c r="Z144" s="88"/>
      <c r="AA144" s="88"/>
      <c r="AB144" s="16"/>
      <c r="AC144" s="16"/>
      <c r="AD144" s="21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  <c r="BH144" s="16"/>
      <c r="BI144" s="16"/>
      <c r="BJ144" s="16"/>
      <c r="BK144" s="16"/>
      <c r="BL144" s="16"/>
      <c r="BM144" s="16"/>
      <c r="BN144" s="16"/>
      <c r="BO144" s="16"/>
      <c r="BP144" s="16"/>
      <c r="BQ144" s="16"/>
      <c r="BR144" s="16"/>
      <c r="BS144" s="16"/>
      <c r="BT144" s="16"/>
      <c r="BU144" s="16"/>
      <c r="BV144" s="16"/>
      <c r="BW144" s="16"/>
      <c r="BX144" s="16"/>
      <c r="BY144" s="16"/>
      <c r="BZ144" s="16"/>
      <c r="CA144" s="16"/>
      <c r="CB144" s="16"/>
      <c r="CC144" s="16"/>
      <c r="CD144" s="16"/>
      <c r="CE144" s="16"/>
      <c r="CF144" s="16"/>
      <c r="CG144" s="16"/>
      <c r="CH144" s="16"/>
      <c r="CI144" s="16"/>
      <c r="CJ144" s="16"/>
      <c r="CK144" s="16"/>
      <c r="CL144" s="16"/>
      <c r="CM144" s="16"/>
      <c r="CN144" s="16"/>
      <c r="CO144" s="16"/>
      <c r="CP144" s="16"/>
      <c r="CQ144" s="16"/>
      <c r="CR144" s="16"/>
      <c r="CS144" s="16"/>
      <c r="CT144" s="16"/>
      <c r="CU144" s="16"/>
      <c r="CV144" s="16"/>
      <c r="CW144" s="16"/>
      <c r="CX144" s="16"/>
      <c r="CY144" s="16"/>
      <c r="CZ144" s="16"/>
      <c r="DA144" s="16"/>
      <c r="DB144" s="16"/>
      <c r="DC144" s="16"/>
      <c r="DD144" s="16"/>
      <c r="DE144" s="16"/>
      <c r="DF144" s="16"/>
      <c r="DG144" s="16"/>
      <c r="DH144" s="16"/>
      <c r="DI144" s="16"/>
      <c r="DJ144" s="16"/>
      <c r="DK144" s="16"/>
      <c r="DL144" s="16"/>
      <c r="DM144" s="16"/>
      <c r="DN144" s="16"/>
      <c r="DO144" s="16"/>
      <c r="DP144" s="16"/>
      <c r="DQ144" s="16"/>
      <c r="DR144" s="16"/>
      <c r="DS144" s="16"/>
      <c r="DT144" s="16"/>
      <c r="DU144" s="16"/>
      <c r="DV144" s="16"/>
      <c r="DW144" s="16"/>
      <c r="DX144" s="16"/>
      <c r="DY144" s="16"/>
      <c r="DZ144" s="16"/>
      <c r="EA144" s="16"/>
      <c r="EB144" s="16"/>
      <c r="EC144" s="16"/>
      <c r="ED144" s="16"/>
      <c r="EE144" s="16"/>
    </row>
    <row r="145" spans="1:135" customFormat="1" ht="17.25" x14ac:dyDescent="0.25">
      <c r="A145" s="211"/>
      <c r="B145" s="265"/>
      <c r="C145" s="142" t="str">
        <f t="shared" si="3"/>
        <v/>
      </c>
      <c r="D145" s="16"/>
      <c r="E145" s="16"/>
      <c r="F145" s="16"/>
      <c r="G145" s="16"/>
      <c r="H145" s="16"/>
      <c r="I145" s="262"/>
      <c r="J145" s="16"/>
      <c r="K145" s="16"/>
      <c r="L145" s="16"/>
      <c r="M145" s="16"/>
      <c r="O145" s="16"/>
      <c r="P145" s="16"/>
      <c r="Q145" s="16"/>
      <c r="R145" s="16"/>
      <c r="S145" s="16"/>
      <c r="T145" s="88"/>
      <c r="U145" s="88"/>
      <c r="Z145" s="88"/>
      <c r="AA145" s="88"/>
      <c r="AB145" s="16"/>
      <c r="AC145" s="16"/>
      <c r="AD145" s="21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  <c r="BH145" s="16"/>
      <c r="BI145" s="16"/>
      <c r="BJ145" s="16"/>
      <c r="BK145" s="16"/>
      <c r="BL145" s="16"/>
      <c r="BM145" s="16"/>
      <c r="BN145" s="16"/>
      <c r="BO145" s="16"/>
      <c r="BP145" s="16"/>
      <c r="BQ145" s="16"/>
      <c r="BR145" s="16"/>
      <c r="BS145" s="16"/>
      <c r="BT145" s="16"/>
      <c r="BU145" s="16"/>
      <c r="BV145" s="16"/>
      <c r="BW145" s="16"/>
      <c r="BX145" s="16"/>
      <c r="BY145" s="16"/>
      <c r="BZ145" s="16"/>
      <c r="CA145" s="16"/>
      <c r="CB145" s="16"/>
      <c r="CC145" s="16"/>
      <c r="CD145" s="16"/>
      <c r="CE145" s="16"/>
      <c r="CF145" s="16"/>
      <c r="CG145" s="16"/>
      <c r="CH145" s="16"/>
      <c r="CI145" s="16"/>
      <c r="CJ145" s="16"/>
      <c r="CK145" s="16"/>
      <c r="CL145" s="16"/>
      <c r="CM145" s="16"/>
      <c r="CN145" s="16"/>
      <c r="CO145" s="16"/>
      <c r="CP145" s="16"/>
      <c r="CQ145" s="16"/>
      <c r="CR145" s="16"/>
      <c r="CS145" s="16"/>
      <c r="CT145" s="16"/>
      <c r="CU145" s="16"/>
      <c r="CV145" s="16"/>
      <c r="CW145" s="16"/>
      <c r="CX145" s="16"/>
      <c r="CY145" s="16"/>
      <c r="CZ145" s="16"/>
      <c r="DA145" s="16"/>
      <c r="DB145" s="16"/>
      <c r="DC145" s="16"/>
      <c r="DD145" s="16"/>
      <c r="DE145" s="16"/>
      <c r="DF145" s="16"/>
      <c r="DG145" s="16"/>
      <c r="DH145" s="16"/>
      <c r="DI145" s="16"/>
      <c r="DJ145" s="16"/>
      <c r="DK145" s="16"/>
      <c r="DL145" s="16"/>
      <c r="DM145" s="16"/>
      <c r="DN145" s="16"/>
      <c r="DO145" s="16"/>
      <c r="DP145" s="16"/>
      <c r="DQ145" s="16"/>
      <c r="DR145" s="16"/>
      <c r="DS145" s="16"/>
      <c r="DT145" s="16"/>
      <c r="DU145" s="16"/>
      <c r="DV145" s="16"/>
      <c r="DW145" s="16"/>
      <c r="DX145" s="16"/>
      <c r="DY145" s="16"/>
      <c r="DZ145" s="16"/>
      <c r="EA145" s="16"/>
      <c r="EB145" s="16"/>
      <c r="EC145" s="16"/>
      <c r="ED145" s="16"/>
      <c r="EE145" s="16"/>
    </row>
    <row r="146" spans="1:135" customFormat="1" ht="17.25" x14ac:dyDescent="0.25">
      <c r="A146" s="211"/>
      <c r="B146" s="265"/>
      <c r="C146" s="142" t="str">
        <f t="shared" si="3"/>
        <v/>
      </c>
      <c r="D146" s="16"/>
      <c r="E146" s="16"/>
      <c r="F146" s="16"/>
      <c r="G146" s="16"/>
      <c r="H146" s="16"/>
      <c r="I146" s="262"/>
      <c r="J146" s="16"/>
      <c r="K146" s="16"/>
      <c r="L146" s="16"/>
      <c r="M146" s="16"/>
      <c r="O146" s="16"/>
      <c r="P146" s="16"/>
      <c r="Q146" s="16"/>
      <c r="R146" s="16"/>
      <c r="S146" s="16"/>
      <c r="T146" s="88"/>
      <c r="Z146" s="88"/>
      <c r="AA146" s="88"/>
      <c r="AB146" s="16"/>
      <c r="AC146" s="16"/>
      <c r="AD146" s="21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  <c r="BH146" s="16"/>
      <c r="BI146" s="16"/>
      <c r="BJ146" s="16"/>
      <c r="BK146" s="16"/>
      <c r="BL146" s="16"/>
      <c r="BM146" s="16"/>
      <c r="BN146" s="16"/>
      <c r="BO146" s="16"/>
      <c r="BP146" s="16"/>
      <c r="BQ146" s="16"/>
      <c r="BR146" s="16"/>
      <c r="BS146" s="16"/>
      <c r="BT146" s="16"/>
      <c r="BU146" s="16"/>
      <c r="BV146" s="16"/>
      <c r="BW146" s="16"/>
      <c r="BX146" s="16"/>
      <c r="BY146" s="16"/>
      <c r="BZ146" s="16"/>
      <c r="CA146" s="16"/>
      <c r="CB146" s="16"/>
      <c r="CC146" s="16"/>
      <c r="CD146" s="16"/>
      <c r="CE146" s="16"/>
      <c r="CF146" s="16"/>
      <c r="CG146" s="16"/>
      <c r="CH146" s="16"/>
      <c r="CI146" s="16"/>
      <c r="CJ146" s="16"/>
      <c r="CK146" s="16"/>
      <c r="CL146" s="16"/>
      <c r="CM146" s="16"/>
      <c r="CN146" s="16"/>
      <c r="CO146" s="16"/>
      <c r="CP146" s="16"/>
      <c r="CQ146" s="16"/>
      <c r="CR146" s="16"/>
      <c r="CS146" s="16"/>
      <c r="CT146" s="16"/>
      <c r="CU146" s="16"/>
      <c r="CV146" s="16"/>
      <c r="CW146" s="16"/>
      <c r="CX146" s="16"/>
      <c r="CY146" s="16"/>
      <c r="CZ146" s="16"/>
      <c r="DA146" s="16"/>
      <c r="DB146" s="16"/>
      <c r="DC146" s="16"/>
      <c r="DD146" s="16"/>
      <c r="DE146" s="16"/>
      <c r="DF146" s="16"/>
      <c r="DG146" s="16"/>
      <c r="DH146" s="16"/>
      <c r="DI146" s="16"/>
      <c r="DJ146" s="16"/>
      <c r="DK146" s="16"/>
      <c r="DL146" s="16"/>
      <c r="DM146" s="16"/>
      <c r="DN146" s="16"/>
      <c r="DO146" s="16"/>
      <c r="DP146" s="16"/>
      <c r="DQ146" s="16"/>
      <c r="DR146" s="16"/>
      <c r="DS146" s="16"/>
      <c r="DT146" s="16"/>
      <c r="DU146" s="16"/>
      <c r="DV146" s="16"/>
      <c r="DW146" s="16"/>
      <c r="DX146" s="16"/>
      <c r="DY146" s="16"/>
      <c r="DZ146" s="16"/>
      <c r="EA146" s="16"/>
      <c r="EB146" s="16"/>
      <c r="EC146" s="16"/>
      <c r="ED146" s="16"/>
      <c r="EE146" s="16"/>
    </row>
    <row r="147" spans="1:135" customFormat="1" ht="17.25" x14ac:dyDescent="0.25">
      <c r="A147" s="211"/>
      <c r="B147" s="265"/>
      <c r="C147" s="142" t="str">
        <f t="shared" si="3"/>
        <v/>
      </c>
      <c r="D147" s="16"/>
      <c r="E147" s="16"/>
      <c r="F147" s="16"/>
      <c r="G147" s="16"/>
      <c r="H147" s="16"/>
      <c r="I147" s="262"/>
      <c r="J147" s="16"/>
      <c r="K147" s="16"/>
      <c r="L147" s="16"/>
      <c r="M147" s="16"/>
      <c r="O147" s="16"/>
      <c r="P147" s="16"/>
      <c r="Q147" s="16"/>
      <c r="R147" s="16"/>
      <c r="S147" s="16"/>
      <c r="T147" s="88"/>
      <c r="Z147" s="88"/>
      <c r="AA147" s="88"/>
      <c r="AB147" s="16"/>
      <c r="AC147" s="16"/>
      <c r="AD147" s="21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  <c r="BH147" s="16"/>
      <c r="BI147" s="16"/>
      <c r="BJ147" s="16"/>
      <c r="BK147" s="16"/>
      <c r="BL147" s="16"/>
      <c r="BM147" s="16"/>
      <c r="BN147" s="16"/>
      <c r="BO147" s="16"/>
      <c r="BP147" s="16"/>
      <c r="BQ147" s="16"/>
      <c r="BR147" s="16"/>
      <c r="BS147" s="16"/>
      <c r="BT147" s="16"/>
      <c r="BU147" s="16"/>
      <c r="BV147" s="16"/>
      <c r="BW147" s="16"/>
      <c r="BX147" s="16"/>
      <c r="BY147" s="16"/>
      <c r="BZ147" s="16"/>
      <c r="CA147" s="16"/>
      <c r="CB147" s="16"/>
      <c r="CC147" s="16"/>
      <c r="CD147" s="16"/>
      <c r="CE147" s="16"/>
      <c r="CF147" s="16"/>
      <c r="CG147" s="16"/>
      <c r="CH147" s="16"/>
      <c r="CI147" s="16"/>
      <c r="CJ147" s="16"/>
      <c r="CK147" s="16"/>
      <c r="CL147" s="16"/>
      <c r="CM147" s="16"/>
      <c r="CN147" s="16"/>
      <c r="CO147" s="16"/>
      <c r="CP147" s="16"/>
      <c r="CQ147" s="16"/>
      <c r="CR147" s="16"/>
      <c r="CS147" s="16"/>
      <c r="CT147" s="16"/>
      <c r="CU147" s="16"/>
      <c r="CV147" s="16"/>
      <c r="CW147" s="16"/>
      <c r="CX147" s="16"/>
      <c r="CY147" s="16"/>
      <c r="CZ147" s="16"/>
      <c r="DA147" s="16"/>
      <c r="DB147" s="16"/>
      <c r="DC147" s="16"/>
      <c r="DD147" s="16"/>
      <c r="DE147" s="16"/>
      <c r="DF147" s="16"/>
      <c r="DG147" s="16"/>
      <c r="DH147" s="16"/>
      <c r="DI147" s="16"/>
      <c r="DJ147" s="16"/>
      <c r="DK147" s="16"/>
      <c r="DL147" s="16"/>
      <c r="DM147" s="16"/>
      <c r="DN147" s="16"/>
      <c r="DO147" s="16"/>
      <c r="DP147" s="16"/>
      <c r="DQ147" s="16"/>
      <c r="DR147" s="16"/>
      <c r="DS147" s="16"/>
      <c r="DT147" s="16"/>
      <c r="DU147" s="16"/>
      <c r="DV147" s="16"/>
      <c r="DW147" s="16"/>
      <c r="DX147" s="16"/>
      <c r="DY147" s="16"/>
      <c r="DZ147" s="16"/>
      <c r="EA147" s="16"/>
      <c r="EB147" s="16"/>
      <c r="EC147" s="16"/>
      <c r="ED147" s="16"/>
      <c r="EE147" s="16"/>
    </row>
    <row r="148" spans="1:135" customFormat="1" x14ac:dyDescent="0.25">
      <c r="A148" s="211"/>
      <c r="B148" s="246"/>
      <c r="C148" s="142"/>
      <c r="D148" s="16"/>
      <c r="E148" s="16"/>
      <c r="F148" s="16"/>
      <c r="G148" s="16"/>
      <c r="H148" s="16"/>
      <c r="I148" s="262"/>
      <c r="J148" s="16"/>
      <c r="K148" s="16"/>
      <c r="L148" s="16"/>
      <c r="M148" s="16"/>
      <c r="O148" s="16"/>
      <c r="P148" s="16"/>
      <c r="Q148" s="16"/>
      <c r="R148" s="16"/>
      <c r="S148" s="16"/>
      <c r="T148" s="88"/>
      <c r="U148" s="88"/>
      <c r="W148" s="88"/>
      <c r="X148" s="88"/>
      <c r="Z148" s="88"/>
      <c r="AA148" s="88"/>
      <c r="AB148" s="16"/>
      <c r="AC148" s="16"/>
      <c r="AD148" s="21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  <c r="BH148" s="16"/>
      <c r="BI148" s="16"/>
      <c r="BJ148" s="16"/>
      <c r="BK148" s="16"/>
      <c r="BL148" s="16"/>
      <c r="BM148" s="16"/>
      <c r="BN148" s="16"/>
      <c r="BO148" s="16"/>
      <c r="BP148" s="16"/>
      <c r="BQ148" s="16"/>
      <c r="BR148" s="16"/>
      <c r="BS148" s="16"/>
      <c r="BT148" s="16"/>
      <c r="BU148" s="16"/>
      <c r="BV148" s="16"/>
      <c r="BW148" s="16"/>
      <c r="BX148" s="16"/>
      <c r="BY148" s="16"/>
      <c r="BZ148" s="16"/>
      <c r="CA148" s="16"/>
      <c r="CB148" s="16"/>
      <c r="CC148" s="16"/>
      <c r="CD148" s="16"/>
      <c r="CE148" s="16"/>
      <c r="CF148" s="16"/>
      <c r="CG148" s="16"/>
      <c r="CH148" s="16"/>
      <c r="CI148" s="16"/>
      <c r="CJ148" s="16"/>
      <c r="CK148" s="16"/>
      <c r="CL148" s="16"/>
      <c r="CM148" s="16"/>
      <c r="CN148" s="16"/>
      <c r="CO148" s="16"/>
      <c r="CP148" s="16"/>
      <c r="CQ148" s="16"/>
      <c r="CR148" s="16"/>
      <c r="CS148" s="16"/>
      <c r="CT148" s="16"/>
      <c r="CU148" s="16"/>
      <c r="CV148" s="16"/>
      <c r="CW148" s="16"/>
      <c r="CX148" s="16"/>
      <c r="CY148" s="16"/>
      <c r="CZ148" s="16"/>
      <c r="DA148" s="16"/>
      <c r="DB148" s="16"/>
      <c r="DC148" s="16"/>
      <c r="DD148" s="16"/>
      <c r="DE148" s="16"/>
      <c r="DF148" s="16"/>
      <c r="DG148" s="16"/>
      <c r="DH148" s="16"/>
      <c r="DI148" s="16"/>
      <c r="DJ148" s="16"/>
      <c r="DK148" s="16"/>
      <c r="DL148" s="16"/>
      <c r="DM148" s="16"/>
      <c r="DN148" s="16"/>
      <c r="DO148" s="16"/>
      <c r="DP148" s="16"/>
      <c r="DQ148" s="16"/>
      <c r="DR148" s="16"/>
      <c r="DS148" s="16"/>
      <c r="DT148" s="16"/>
      <c r="DU148" s="16"/>
      <c r="DV148" s="16"/>
      <c r="DW148" s="16"/>
      <c r="DX148" s="16"/>
      <c r="DY148" s="16"/>
      <c r="DZ148" s="16"/>
      <c r="EA148" s="16"/>
      <c r="EB148" s="16"/>
      <c r="EC148" s="16"/>
      <c r="ED148" s="16"/>
      <c r="EE148" s="16"/>
    </row>
    <row r="149" spans="1:135" customFormat="1" x14ac:dyDescent="0.25">
      <c r="A149" s="211"/>
      <c r="B149" s="249"/>
      <c r="C149" s="142"/>
      <c r="D149" s="16"/>
      <c r="E149" s="16"/>
      <c r="F149" s="16"/>
      <c r="G149" s="16"/>
      <c r="H149" s="16"/>
      <c r="I149" s="262"/>
      <c r="J149" s="16"/>
      <c r="K149" s="16"/>
      <c r="L149" s="16"/>
      <c r="M149" s="16"/>
      <c r="O149" s="16"/>
      <c r="P149" s="16"/>
      <c r="Q149" s="16"/>
      <c r="R149" s="16"/>
      <c r="S149" s="16"/>
      <c r="T149" s="88"/>
      <c r="Z149" s="88"/>
      <c r="AA149" s="88"/>
      <c r="AB149" s="16"/>
      <c r="AC149" s="16"/>
      <c r="AD149" s="21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  <c r="BH149" s="16"/>
      <c r="BI149" s="16"/>
      <c r="BJ149" s="16"/>
      <c r="BK149" s="16"/>
      <c r="BL149" s="16"/>
      <c r="BM149" s="16"/>
      <c r="BN149" s="16"/>
      <c r="BO149" s="16"/>
      <c r="BP149" s="16"/>
      <c r="BQ149" s="16"/>
      <c r="BR149" s="16"/>
      <c r="BS149" s="16"/>
      <c r="BT149" s="16"/>
      <c r="BU149" s="16"/>
      <c r="BV149" s="16"/>
      <c r="BW149" s="16"/>
      <c r="BX149" s="16"/>
      <c r="BY149" s="16"/>
      <c r="BZ149" s="16"/>
      <c r="CA149" s="16"/>
      <c r="CB149" s="16"/>
      <c r="CC149" s="16"/>
      <c r="CD149" s="16"/>
      <c r="CE149" s="16"/>
      <c r="CF149" s="16"/>
      <c r="CG149" s="16"/>
      <c r="CH149" s="16"/>
      <c r="CI149" s="16"/>
      <c r="CJ149" s="16"/>
      <c r="CK149" s="16"/>
      <c r="CL149" s="16"/>
      <c r="CM149" s="16"/>
      <c r="CN149" s="16"/>
      <c r="CO149" s="16"/>
      <c r="CP149" s="16"/>
      <c r="CQ149" s="16"/>
      <c r="CR149" s="16"/>
      <c r="CS149" s="16"/>
      <c r="CT149" s="16"/>
      <c r="CU149" s="16"/>
      <c r="CV149" s="16"/>
      <c r="CW149" s="16"/>
      <c r="CX149" s="16"/>
      <c r="CY149" s="16"/>
      <c r="CZ149" s="16"/>
      <c r="DA149" s="16"/>
      <c r="DB149" s="16"/>
      <c r="DC149" s="16"/>
      <c r="DD149" s="16"/>
      <c r="DE149" s="16"/>
      <c r="DF149" s="16"/>
      <c r="DG149" s="16"/>
      <c r="DH149" s="16"/>
      <c r="DI149" s="16"/>
      <c r="DJ149" s="16"/>
      <c r="DK149" s="16"/>
      <c r="DL149" s="16"/>
      <c r="DM149" s="16"/>
      <c r="DN149" s="16"/>
      <c r="DO149" s="16"/>
      <c r="DP149" s="16"/>
      <c r="DQ149" s="16"/>
      <c r="DR149" s="16"/>
      <c r="DS149" s="16"/>
      <c r="DT149" s="16"/>
      <c r="DU149" s="16"/>
      <c r="DV149" s="16"/>
      <c r="DW149" s="16"/>
      <c r="DX149" s="16"/>
      <c r="DY149" s="16"/>
      <c r="DZ149" s="16"/>
      <c r="EA149" s="16"/>
      <c r="EB149" s="16"/>
      <c r="EC149" s="16"/>
      <c r="ED149" s="16"/>
      <c r="EE149" s="16"/>
    </row>
    <row r="150" spans="1:135" customFormat="1" x14ac:dyDescent="0.25">
      <c r="A150" s="211"/>
      <c r="B150" s="249"/>
      <c r="C150" s="142"/>
      <c r="D150" s="16"/>
      <c r="E150" s="16"/>
      <c r="F150" s="16"/>
      <c r="G150" s="16"/>
      <c r="H150" s="16"/>
      <c r="I150" s="262"/>
      <c r="J150" s="16"/>
      <c r="K150" s="16"/>
      <c r="L150" s="16"/>
      <c r="M150" s="16"/>
      <c r="O150" s="16"/>
      <c r="P150" s="16"/>
      <c r="Q150" s="16"/>
      <c r="R150" s="16"/>
      <c r="S150" s="16"/>
      <c r="T150" s="88"/>
      <c r="Z150" s="88"/>
      <c r="AA150" s="88"/>
      <c r="AB150" s="16"/>
      <c r="AC150" s="16"/>
      <c r="AD150" s="21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  <c r="BH150" s="16"/>
      <c r="BI150" s="16"/>
      <c r="BJ150" s="16"/>
      <c r="BK150" s="16"/>
      <c r="BL150" s="16"/>
      <c r="BM150" s="16"/>
      <c r="BN150" s="16"/>
      <c r="BO150" s="16"/>
      <c r="BP150" s="16"/>
      <c r="BQ150" s="16"/>
      <c r="BR150" s="16"/>
      <c r="BS150" s="16"/>
      <c r="BT150" s="16"/>
      <c r="BU150" s="16"/>
      <c r="BV150" s="16"/>
      <c r="BW150" s="16"/>
      <c r="BX150" s="16"/>
      <c r="BY150" s="16"/>
      <c r="BZ150" s="16"/>
      <c r="CA150" s="16"/>
      <c r="CB150" s="16"/>
      <c r="CC150" s="16"/>
      <c r="CD150" s="16"/>
      <c r="CE150" s="16"/>
      <c r="CF150" s="16"/>
      <c r="CG150" s="16"/>
      <c r="CH150" s="16"/>
      <c r="CI150" s="16"/>
      <c r="CJ150" s="16"/>
      <c r="CK150" s="16"/>
      <c r="CL150" s="16"/>
      <c r="CM150" s="16"/>
      <c r="CN150" s="16"/>
      <c r="CO150" s="16"/>
      <c r="CP150" s="16"/>
      <c r="CQ150" s="16"/>
      <c r="CR150" s="16"/>
      <c r="CS150" s="16"/>
      <c r="CT150" s="16"/>
      <c r="CU150" s="16"/>
      <c r="CV150" s="16"/>
      <c r="CW150" s="16"/>
      <c r="CX150" s="16"/>
      <c r="CY150" s="16"/>
      <c r="CZ150" s="16"/>
      <c r="DA150" s="16"/>
      <c r="DB150" s="16"/>
      <c r="DC150" s="16"/>
      <c r="DD150" s="16"/>
      <c r="DE150" s="16"/>
      <c r="DF150" s="16"/>
      <c r="DG150" s="16"/>
      <c r="DH150" s="16"/>
      <c r="DI150" s="16"/>
      <c r="DJ150" s="16"/>
      <c r="DK150" s="16"/>
      <c r="DL150" s="16"/>
      <c r="DM150" s="16"/>
      <c r="DN150" s="16"/>
      <c r="DO150" s="16"/>
      <c r="DP150" s="16"/>
      <c r="DQ150" s="16"/>
      <c r="DR150" s="16"/>
      <c r="DS150" s="16"/>
      <c r="DT150" s="16"/>
      <c r="DU150" s="16"/>
      <c r="DV150" s="16"/>
      <c r="DW150" s="16"/>
      <c r="DX150" s="16"/>
      <c r="DY150" s="16"/>
      <c r="DZ150" s="16"/>
      <c r="EA150" s="16"/>
      <c r="EB150" s="16"/>
      <c r="EC150" s="16"/>
      <c r="ED150" s="16"/>
      <c r="EE150" s="16"/>
    </row>
    <row r="151" spans="1:135" customFormat="1" x14ac:dyDescent="0.25">
      <c r="A151" s="211"/>
      <c r="B151" s="249"/>
      <c r="C151" s="142" t="str">
        <f t="shared" si="3"/>
        <v/>
      </c>
      <c r="D151" s="16"/>
      <c r="E151" s="16"/>
      <c r="F151" s="16"/>
      <c r="G151" s="16"/>
      <c r="H151" s="16"/>
      <c r="I151" s="262"/>
      <c r="J151" s="16"/>
      <c r="K151" s="16"/>
      <c r="L151" s="16"/>
      <c r="M151" s="16"/>
      <c r="O151" s="16"/>
      <c r="P151" s="16"/>
      <c r="Q151" s="16"/>
      <c r="R151" s="16"/>
      <c r="S151" s="16"/>
      <c r="T151" s="88"/>
      <c r="Z151" s="88"/>
      <c r="AA151" s="88"/>
      <c r="AB151" s="16"/>
      <c r="AC151" s="16"/>
      <c r="AD151" s="21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  <c r="BH151" s="16"/>
      <c r="BI151" s="16"/>
      <c r="BJ151" s="16"/>
      <c r="BK151" s="16"/>
      <c r="BL151" s="16"/>
      <c r="BM151" s="16"/>
      <c r="BN151" s="16"/>
      <c r="BO151" s="16"/>
      <c r="BP151" s="16"/>
      <c r="BQ151" s="16"/>
      <c r="BR151" s="16"/>
      <c r="BS151" s="16"/>
      <c r="BT151" s="16"/>
      <c r="BU151" s="16"/>
      <c r="BV151" s="16"/>
      <c r="BW151" s="16"/>
      <c r="BX151" s="16"/>
      <c r="BY151" s="16"/>
      <c r="BZ151" s="16"/>
      <c r="CA151" s="16"/>
      <c r="CB151" s="16"/>
      <c r="CC151" s="16"/>
      <c r="CD151" s="16"/>
      <c r="CE151" s="16"/>
      <c r="CF151" s="16"/>
      <c r="CG151" s="16"/>
      <c r="CH151" s="16"/>
      <c r="CI151" s="16"/>
      <c r="CJ151" s="16"/>
      <c r="CK151" s="16"/>
      <c r="CL151" s="16"/>
      <c r="CM151" s="16"/>
      <c r="CN151" s="16"/>
      <c r="CO151" s="16"/>
      <c r="CP151" s="16"/>
      <c r="CQ151" s="16"/>
      <c r="CR151" s="16"/>
      <c r="CS151" s="16"/>
      <c r="CT151" s="16"/>
      <c r="CU151" s="16"/>
      <c r="CV151" s="16"/>
      <c r="CW151" s="16"/>
      <c r="CX151" s="16"/>
      <c r="CY151" s="16"/>
      <c r="CZ151" s="16"/>
      <c r="DA151" s="16"/>
      <c r="DB151" s="16"/>
      <c r="DC151" s="16"/>
      <c r="DD151" s="16"/>
      <c r="DE151" s="16"/>
      <c r="DF151" s="16"/>
      <c r="DG151" s="16"/>
      <c r="DH151" s="16"/>
      <c r="DI151" s="16"/>
      <c r="DJ151" s="16"/>
      <c r="DK151" s="16"/>
      <c r="DL151" s="16"/>
      <c r="DM151" s="16"/>
      <c r="DN151" s="16"/>
      <c r="DO151" s="16"/>
      <c r="DP151" s="16"/>
      <c r="DQ151" s="16"/>
      <c r="DR151" s="16"/>
      <c r="DS151" s="16"/>
      <c r="DT151" s="16"/>
      <c r="DU151" s="16"/>
      <c r="DV151" s="16"/>
      <c r="DW151" s="16"/>
      <c r="DX151" s="16"/>
      <c r="DY151" s="16"/>
      <c r="DZ151" s="16"/>
      <c r="EA151" s="16"/>
      <c r="EB151" s="16"/>
      <c r="EC151" s="16"/>
      <c r="ED151" s="16"/>
      <c r="EE151" s="16"/>
    </row>
    <row r="152" spans="1:135" customFormat="1" x14ac:dyDescent="0.25">
      <c r="A152" s="211"/>
      <c r="B152" s="249"/>
      <c r="C152" s="142" t="str">
        <f t="shared" si="3"/>
        <v/>
      </c>
      <c r="D152" s="16"/>
      <c r="E152" s="16"/>
      <c r="F152" s="16"/>
      <c r="G152" s="16"/>
      <c r="H152" s="16"/>
      <c r="I152" s="262"/>
      <c r="J152" s="16"/>
      <c r="K152" s="16"/>
      <c r="L152" s="16"/>
      <c r="M152" s="16"/>
      <c r="O152" s="16"/>
      <c r="P152" s="16"/>
      <c r="Q152" s="16"/>
      <c r="R152" s="16"/>
      <c r="S152" s="16"/>
      <c r="T152" s="88"/>
      <c r="U152" s="88"/>
      <c r="W152" s="88"/>
      <c r="X152" s="88"/>
      <c r="Z152" s="88"/>
      <c r="AA152" s="88"/>
      <c r="AB152" s="16"/>
      <c r="AC152" s="16"/>
      <c r="AD152" s="21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  <c r="BH152" s="16"/>
      <c r="BI152" s="16"/>
      <c r="BJ152" s="16"/>
      <c r="BK152" s="16"/>
      <c r="BL152" s="16"/>
      <c r="BM152" s="16"/>
      <c r="BN152" s="16"/>
      <c r="BO152" s="16"/>
      <c r="BP152" s="16"/>
      <c r="BQ152" s="16"/>
      <c r="BR152" s="16"/>
      <c r="BS152" s="16"/>
      <c r="BT152" s="16"/>
      <c r="BU152" s="16"/>
      <c r="BV152" s="16"/>
      <c r="BW152" s="16"/>
      <c r="BX152" s="16"/>
      <c r="BY152" s="16"/>
      <c r="BZ152" s="16"/>
      <c r="CA152" s="16"/>
      <c r="CB152" s="16"/>
      <c r="CC152" s="16"/>
      <c r="CD152" s="16"/>
      <c r="CE152" s="16"/>
      <c r="CF152" s="16"/>
      <c r="CG152" s="16"/>
      <c r="CH152" s="16"/>
      <c r="CI152" s="16"/>
      <c r="CJ152" s="16"/>
      <c r="CK152" s="16"/>
      <c r="CL152" s="16"/>
      <c r="CM152" s="16"/>
      <c r="CN152" s="16"/>
      <c r="CO152" s="16"/>
      <c r="CP152" s="16"/>
      <c r="CQ152" s="16"/>
      <c r="CR152" s="16"/>
      <c r="CS152" s="16"/>
      <c r="CT152" s="16"/>
      <c r="CU152" s="16"/>
      <c r="CV152" s="16"/>
      <c r="CW152" s="16"/>
      <c r="CX152" s="16"/>
      <c r="CY152" s="16"/>
      <c r="CZ152" s="16"/>
      <c r="DA152" s="16"/>
      <c r="DB152" s="16"/>
      <c r="DC152" s="16"/>
      <c r="DD152" s="16"/>
      <c r="DE152" s="16"/>
      <c r="DF152" s="16"/>
      <c r="DG152" s="16"/>
      <c r="DH152" s="16"/>
      <c r="DI152" s="16"/>
      <c r="DJ152" s="16"/>
      <c r="DK152" s="16"/>
      <c r="DL152" s="16"/>
      <c r="DM152" s="16"/>
      <c r="DN152" s="16"/>
      <c r="DO152" s="16"/>
      <c r="DP152" s="16"/>
      <c r="DQ152" s="16"/>
      <c r="DR152" s="16"/>
      <c r="DS152" s="16"/>
      <c r="DT152" s="16"/>
      <c r="DU152" s="16"/>
      <c r="DV152" s="16"/>
      <c r="DW152" s="16"/>
      <c r="DX152" s="16"/>
      <c r="DY152" s="16"/>
      <c r="DZ152" s="16"/>
      <c r="EA152" s="16"/>
      <c r="EB152" s="16"/>
      <c r="EC152" s="16"/>
      <c r="ED152" s="16"/>
      <c r="EE152" s="16"/>
    </row>
    <row r="153" spans="1:135" customFormat="1" x14ac:dyDescent="0.25">
      <c r="A153" s="211"/>
      <c r="B153" s="249"/>
      <c r="C153" s="142" t="str">
        <f t="shared" si="3"/>
        <v/>
      </c>
      <c r="D153" s="16"/>
      <c r="E153" s="16"/>
      <c r="F153" s="16"/>
      <c r="G153" s="16"/>
      <c r="H153" s="16"/>
      <c r="I153" s="262"/>
      <c r="J153" s="16"/>
      <c r="K153" s="16"/>
      <c r="L153" s="16"/>
      <c r="M153" s="16"/>
      <c r="O153" s="16"/>
      <c r="P153" s="16"/>
      <c r="Q153" s="16"/>
      <c r="R153" s="16"/>
      <c r="S153" s="16"/>
      <c r="T153" s="88"/>
      <c r="Z153" s="88"/>
      <c r="AA153" s="88"/>
      <c r="AB153" s="16"/>
      <c r="AC153" s="16"/>
      <c r="AD153" s="21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  <c r="BH153" s="16"/>
      <c r="BI153" s="16"/>
      <c r="BJ153" s="16"/>
      <c r="BK153" s="16"/>
      <c r="BL153" s="16"/>
      <c r="BM153" s="16"/>
      <c r="BN153" s="16"/>
      <c r="BO153" s="16"/>
      <c r="BP153" s="16"/>
      <c r="BQ153" s="16"/>
      <c r="BR153" s="16"/>
      <c r="BS153" s="16"/>
      <c r="BT153" s="16"/>
      <c r="BU153" s="16"/>
      <c r="BV153" s="16"/>
      <c r="BW153" s="16"/>
      <c r="BX153" s="16"/>
      <c r="BY153" s="16"/>
      <c r="BZ153" s="16"/>
      <c r="CA153" s="16"/>
      <c r="CB153" s="16"/>
      <c r="CC153" s="16"/>
      <c r="CD153" s="16"/>
      <c r="CE153" s="16"/>
      <c r="CF153" s="16"/>
      <c r="CG153" s="16"/>
      <c r="CH153" s="16"/>
      <c r="CI153" s="16"/>
      <c r="CJ153" s="16"/>
      <c r="CK153" s="16"/>
      <c r="CL153" s="16"/>
      <c r="CM153" s="16"/>
      <c r="CN153" s="16"/>
      <c r="CO153" s="16"/>
      <c r="CP153" s="16"/>
      <c r="CQ153" s="16"/>
      <c r="CR153" s="16"/>
      <c r="CS153" s="16"/>
      <c r="CT153" s="16"/>
      <c r="CU153" s="16"/>
      <c r="CV153" s="16"/>
      <c r="CW153" s="16"/>
      <c r="CX153" s="16"/>
      <c r="CY153" s="16"/>
      <c r="CZ153" s="16"/>
      <c r="DA153" s="16"/>
      <c r="DB153" s="16"/>
      <c r="DC153" s="16"/>
      <c r="DD153" s="16"/>
      <c r="DE153" s="16"/>
      <c r="DF153" s="16"/>
      <c r="DG153" s="16"/>
      <c r="DH153" s="16"/>
      <c r="DI153" s="16"/>
      <c r="DJ153" s="16"/>
      <c r="DK153" s="16"/>
      <c r="DL153" s="16"/>
      <c r="DM153" s="16"/>
      <c r="DN153" s="16"/>
      <c r="DO153" s="16"/>
      <c r="DP153" s="16"/>
      <c r="DQ153" s="16"/>
      <c r="DR153" s="16"/>
      <c r="DS153" s="16"/>
      <c r="DT153" s="16"/>
      <c r="DU153" s="16"/>
      <c r="DV153" s="16"/>
      <c r="DW153" s="16"/>
      <c r="DX153" s="16"/>
      <c r="DY153" s="16"/>
      <c r="DZ153" s="16"/>
      <c r="EA153" s="16"/>
      <c r="EB153" s="16"/>
      <c r="EC153" s="16"/>
      <c r="ED153" s="16"/>
      <c r="EE153" s="16"/>
    </row>
    <row r="154" spans="1:135" customFormat="1" x14ac:dyDescent="0.25">
      <c r="A154" s="211"/>
      <c r="B154" s="249"/>
      <c r="C154" s="142" t="str">
        <f t="shared" si="3"/>
        <v/>
      </c>
      <c r="D154" s="16"/>
      <c r="E154" s="16"/>
      <c r="F154" s="16"/>
      <c r="G154" s="16"/>
      <c r="H154" s="16"/>
      <c r="I154" s="262"/>
      <c r="J154" s="16"/>
      <c r="K154" s="16"/>
      <c r="L154" s="16"/>
      <c r="M154" s="16"/>
      <c r="O154" s="16"/>
      <c r="P154" s="16"/>
      <c r="Q154" s="16"/>
      <c r="R154" s="16"/>
      <c r="S154" s="16"/>
      <c r="T154" s="88"/>
      <c r="U154" s="88"/>
      <c r="W154" s="88"/>
      <c r="X154" s="88"/>
      <c r="Z154" s="88"/>
      <c r="AA154" s="88"/>
      <c r="AB154" s="16"/>
      <c r="AC154" s="16"/>
      <c r="AD154" s="21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  <c r="BH154" s="16"/>
      <c r="BI154" s="16"/>
      <c r="BJ154" s="16"/>
      <c r="BK154" s="16"/>
      <c r="BL154" s="16"/>
      <c r="BM154" s="16"/>
      <c r="BN154" s="16"/>
      <c r="BO154" s="16"/>
      <c r="BP154" s="16"/>
      <c r="BQ154" s="16"/>
      <c r="BR154" s="16"/>
      <c r="BS154" s="16"/>
      <c r="BT154" s="16"/>
      <c r="BU154" s="16"/>
      <c r="BV154" s="16"/>
      <c r="BW154" s="16"/>
      <c r="BX154" s="16"/>
      <c r="BY154" s="16"/>
      <c r="BZ154" s="16"/>
      <c r="CA154" s="16"/>
      <c r="CB154" s="16"/>
      <c r="CC154" s="16"/>
      <c r="CD154" s="16"/>
      <c r="CE154" s="16"/>
      <c r="CF154" s="16"/>
      <c r="CG154" s="16"/>
      <c r="CH154" s="16"/>
      <c r="CI154" s="16"/>
      <c r="CJ154" s="16"/>
      <c r="CK154" s="16"/>
      <c r="CL154" s="16"/>
      <c r="CM154" s="16"/>
      <c r="CN154" s="16"/>
      <c r="CO154" s="16"/>
      <c r="CP154" s="16"/>
      <c r="CQ154" s="16"/>
      <c r="CR154" s="16"/>
      <c r="CS154" s="16"/>
      <c r="CT154" s="16"/>
      <c r="CU154" s="16"/>
      <c r="CV154" s="16"/>
      <c r="CW154" s="16"/>
      <c r="CX154" s="16"/>
      <c r="CY154" s="16"/>
      <c r="CZ154" s="16"/>
      <c r="DA154" s="16"/>
      <c r="DB154" s="16"/>
      <c r="DC154" s="16"/>
      <c r="DD154" s="16"/>
      <c r="DE154" s="16"/>
      <c r="DF154" s="16"/>
      <c r="DG154" s="16"/>
      <c r="DH154" s="16"/>
      <c r="DI154" s="16"/>
      <c r="DJ154" s="16"/>
      <c r="DK154" s="16"/>
      <c r="DL154" s="16"/>
      <c r="DM154" s="16"/>
      <c r="DN154" s="16"/>
      <c r="DO154" s="16"/>
      <c r="DP154" s="16"/>
      <c r="DQ154" s="16"/>
      <c r="DR154" s="16"/>
      <c r="DS154" s="16"/>
      <c r="DT154" s="16"/>
      <c r="DU154" s="16"/>
      <c r="DV154" s="16"/>
      <c r="DW154" s="16"/>
      <c r="DX154" s="16"/>
      <c r="DY154" s="16"/>
      <c r="DZ154" s="16"/>
      <c r="EA154" s="16"/>
      <c r="EB154" s="16"/>
      <c r="EC154" s="16"/>
      <c r="ED154" s="16"/>
      <c r="EE154" s="16"/>
    </row>
    <row r="155" spans="1:135" customFormat="1" x14ac:dyDescent="0.25">
      <c r="A155" s="211"/>
      <c r="B155" s="249"/>
      <c r="C155" s="142" t="str">
        <f t="shared" ref="C155:C218" si="4">+IFERROR(IF(B155="","",(VLOOKUP(B155,$F$2:$H$55,3,0))),"State Wrong")</f>
        <v/>
      </c>
      <c r="D155" s="16"/>
      <c r="E155" s="16"/>
      <c r="F155" s="16"/>
      <c r="G155" s="16"/>
      <c r="H155" s="16"/>
      <c r="I155" s="262"/>
      <c r="J155" s="16"/>
      <c r="K155" s="16"/>
      <c r="L155" s="16"/>
      <c r="M155" s="16"/>
      <c r="O155" s="16"/>
      <c r="P155" s="16"/>
      <c r="Q155" s="16"/>
      <c r="R155" s="16"/>
      <c r="S155" s="16"/>
      <c r="T155" s="88"/>
      <c r="Z155" s="88"/>
      <c r="AA155" s="88"/>
      <c r="AB155" s="16"/>
      <c r="AC155" s="16"/>
      <c r="AD155" s="21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  <c r="BH155" s="16"/>
      <c r="BI155" s="16"/>
      <c r="BJ155" s="16"/>
      <c r="BK155" s="16"/>
      <c r="BL155" s="16"/>
      <c r="BM155" s="16"/>
      <c r="BN155" s="16"/>
      <c r="BO155" s="16"/>
      <c r="BP155" s="16"/>
      <c r="BQ155" s="16"/>
      <c r="BR155" s="16"/>
      <c r="BS155" s="16"/>
      <c r="BT155" s="16"/>
      <c r="BU155" s="16"/>
      <c r="BV155" s="16"/>
      <c r="BW155" s="16"/>
      <c r="BX155" s="16"/>
      <c r="BY155" s="16"/>
      <c r="BZ155" s="16"/>
      <c r="CA155" s="16"/>
      <c r="CB155" s="16"/>
      <c r="CC155" s="16"/>
      <c r="CD155" s="16"/>
      <c r="CE155" s="16"/>
      <c r="CF155" s="16"/>
      <c r="CG155" s="16"/>
      <c r="CH155" s="16"/>
      <c r="CI155" s="16"/>
      <c r="CJ155" s="16"/>
      <c r="CK155" s="16"/>
      <c r="CL155" s="16"/>
      <c r="CM155" s="16"/>
      <c r="CN155" s="16"/>
      <c r="CO155" s="16"/>
      <c r="CP155" s="16"/>
      <c r="CQ155" s="16"/>
      <c r="CR155" s="16"/>
      <c r="CS155" s="16"/>
      <c r="CT155" s="16"/>
      <c r="CU155" s="16"/>
      <c r="CV155" s="16"/>
      <c r="CW155" s="16"/>
      <c r="CX155" s="16"/>
      <c r="CY155" s="16"/>
      <c r="CZ155" s="16"/>
      <c r="DA155" s="16"/>
      <c r="DB155" s="16"/>
      <c r="DC155" s="16"/>
      <c r="DD155" s="16"/>
      <c r="DE155" s="16"/>
      <c r="DF155" s="16"/>
      <c r="DG155" s="16"/>
      <c r="DH155" s="16"/>
      <c r="DI155" s="16"/>
      <c r="DJ155" s="16"/>
      <c r="DK155" s="16"/>
      <c r="DL155" s="16"/>
      <c r="DM155" s="16"/>
      <c r="DN155" s="16"/>
      <c r="DO155" s="16"/>
      <c r="DP155" s="16"/>
      <c r="DQ155" s="16"/>
      <c r="DR155" s="16"/>
      <c r="DS155" s="16"/>
      <c r="DT155" s="16"/>
      <c r="DU155" s="16"/>
      <c r="DV155" s="16"/>
      <c r="DW155" s="16"/>
      <c r="DX155" s="16"/>
      <c r="DY155" s="16"/>
      <c r="DZ155" s="16"/>
      <c r="EA155" s="16"/>
      <c r="EB155" s="16"/>
      <c r="EC155" s="16"/>
      <c r="ED155" s="16"/>
      <c r="EE155" s="16"/>
    </row>
    <row r="156" spans="1:135" customFormat="1" x14ac:dyDescent="0.25">
      <c r="A156" s="211"/>
      <c r="B156" s="249"/>
      <c r="C156" s="142" t="str">
        <f t="shared" si="4"/>
        <v/>
      </c>
      <c r="D156" s="16"/>
      <c r="E156" s="16"/>
      <c r="F156" s="16"/>
      <c r="G156" s="16"/>
      <c r="H156" s="16"/>
      <c r="I156" s="262"/>
      <c r="J156" s="16"/>
      <c r="K156" s="16"/>
      <c r="L156" s="16"/>
      <c r="M156" s="16"/>
      <c r="O156" s="16"/>
      <c r="P156" s="16"/>
      <c r="Q156" s="16"/>
      <c r="R156" s="16"/>
      <c r="S156" s="16"/>
      <c r="T156" s="88"/>
      <c r="U156" s="88"/>
      <c r="Z156" s="88"/>
      <c r="AA156" s="88"/>
      <c r="AB156" s="16"/>
      <c r="AC156" s="16"/>
      <c r="AD156" s="21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  <c r="BH156" s="16"/>
      <c r="BI156" s="16"/>
      <c r="BJ156" s="16"/>
      <c r="BK156" s="16"/>
      <c r="BL156" s="16"/>
      <c r="BM156" s="16"/>
      <c r="BN156" s="16"/>
      <c r="BO156" s="16"/>
      <c r="BP156" s="16"/>
      <c r="BQ156" s="16"/>
      <c r="BR156" s="16"/>
      <c r="BS156" s="16"/>
      <c r="BT156" s="16"/>
      <c r="BU156" s="16"/>
      <c r="BV156" s="16"/>
      <c r="BW156" s="16"/>
      <c r="BX156" s="16"/>
      <c r="BY156" s="16"/>
      <c r="BZ156" s="16"/>
      <c r="CA156" s="16"/>
      <c r="CB156" s="16"/>
      <c r="CC156" s="16"/>
      <c r="CD156" s="16"/>
      <c r="CE156" s="16"/>
      <c r="CF156" s="16"/>
      <c r="CG156" s="16"/>
      <c r="CH156" s="16"/>
      <c r="CI156" s="16"/>
      <c r="CJ156" s="16"/>
      <c r="CK156" s="16"/>
      <c r="CL156" s="16"/>
      <c r="CM156" s="16"/>
      <c r="CN156" s="16"/>
      <c r="CO156" s="16"/>
      <c r="CP156" s="16"/>
      <c r="CQ156" s="16"/>
      <c r="CR156" s="16"/>
      <c r="CS156" s="16"/>
      <c r="CT156" s="16"/>
      <c r="CU156" s="16"/>
      <c r="CV156" s="16"/>
      <c r="CW156" s="16"/>
      <c r="CX156" s="16"/>
      <c r="CY156" s="16"/>
      <c r="CZ156" s="16"/>
      <c r="DA156" s="16"/>
      <c r="DB156" s="16"/>
      <c r="DC156" s="16"/>
      <c r="DD156" s="16"/>
      <c r="DE156" s="16"/>
      <c r="DF156" s="16"/>
      <c r="DG156" s="16"/>
      <c r="DH156" s="16"/>
      <c r="DI156" s="16"/>
      <c r="DJ156" s="16"/>
      <c r="DK156" s="16"/>
      <c r="DL156" s="16"/>
      <c r="DM156" s="16"/>
      <c r="DN156" s="16"/>
      <c r="DO156" s="16"/>
      <c r="DP156" s="16"/>
      <c r="DQ156" s="16"/>
      <c r="DR156" s="16"/>
      <c r="DS156" s="16"/>
      <c r="DT156" s="16"/>
      <c r="DU156" s="16"/>
      <c r="DV156" s="16"/>
      <c r="DW156" s="16"/>
      <c r="DX156" s="16"/>
      <c r="DY156" s="16"/>
      <c r="DZ156" s="16"/>
      <c r="EA156" s="16"/>
      <c r="EB156" s="16"/>
      <c r="EC156" s="16"/>
      <c r="ED156" s="16"/>
      <c r="EE156" s="16"/>
    </row>
    <row r="157" spans="1:135" customFormat="1" x14ac:dyDescent="0.25">
      <c r="A157" s="211"/>
      <c r="B157" s="249"/>
      <c r="C157" s="142" t="str">
        <f t="shared" si="4"/>
        <v/>
      </c>
      <c r="D157" s="16"/>
      <c r="E157" s="16"/>
      <c r="F157" s="16"/>
      <c r="G157" s="16"/>
      <c r="H157" s="16"/>
      <c r="I157" s="262"/>
      <c r="J157" s="16"/>
      <c r="K157" s="16"/>
      <c r="L157" s="16"/>
      <c r="M157" s="16"/>
      <c r="O157" s="16"/>
      <c r="P157" s="16"/>
      <c r="Q157" s="16"/>
      <c r="R157" s="16"/>
      <c r="S157" s="16"/>
      <c r="T157" s="88"/>
      <c r="U157" s="88"/>
      <c r="Z157" s="88"/>
      <c r="AA157" s="88"/>
      <c r="AB157" s="16"/>
      <c r="AC157" s="16"/>
      <c r="AD157" s="21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  <c r="BH157" s="16"/>
      <c r="BI157" s="16"/>
      <c r="BJ157" s="16"/>
      <c r="BK157" s="16"/>
      <c r="BL157" s="16"/>
      <c r="BM157" s="16"/>
      <c r="BN157" s="16"/>
      <c r="BO157" s="16"/>
      <c r="BP157" s="16"/>
      <c r="BQ157" s="16"/>
      <c r="BR157" s="16"/>
      <c r="BS157" s="16"/>
      <c r="BT157" s="16"/>
      <c r="BU157" s="16"/>
      <c r="BV157" s="16"/>
      <c r="BW157" s="16"/>
      <c r="BX157" s="16"/>
      <c r="BY157" s="16"/>
      <c r="BZ157" s="16"/>
      <c r="CA157" s="16"/>
      <c r="CB157" s="16"/>
      <c r="CC157" s="16"/>
      <c r="CD157" s="16"/>
      <c r="CE157" s="16"/>
      <c r="CF157" s="16"/>
      <c r="CG157" s="16"/>
      <c r="CH157" s="16"/>
      <c r="CI157" s="16"/>
      <c r="CJ157" s="16"/>
      <c r="CK157" s="16"/>
      <c r="CL157" s="16"/>
      <c r="CM157" s="16"/>
      <c r="CN157" s="16"/>
      <c r="CO157" s="16"/>
      <c r="CP157" s="16"/>
      <c r="CQ157" s="16"/>
      <c r="CR157" s="16"/>
      <c r="CS157" s="16"/>
      <c r="CT157" s="16"/>
      <c r="CU157" s="16"/>
      <c r="CV157" s="16"/>
      <c r="CW157" s="16"/>
      <c r="CX157" s="16"/>
      <c r="CY157" s="16"/>
      <c r="CZ157" s="16"/>
      <c r="DA157" s="16"/>
      <c r="DB157" s="16"/>
      <c r="DC157" s="16"/>
      <c r="DD157" s="16"/>
      <c r="DE157" s="16"/>
      <c r="DF157" s="16"/>
      <c r="DG157" s="16"/>
      <c r="DH157" s="16"/>
      <c r="DI157" s="16"/>
      <c r="DJ157" s="16"/>
      <c r="DK157" s="16"/>
      <c r="DL157" s="16"/>
      <c r="DM157" s="16"/>
      <c r="DN157" s="16"/>
      <c r="DO157" s="16"/>
      <c r="DP157" s="16"/>
      <c r="DQ157" s="16"/>
      <c r="DR157" s="16"/>
      <c r="DS157" s="16"/>
      <c r="DT157" s="16"/>
      <c r="DU157" s="16"/>
      <c r="DV157" s="16"/>
      <c r="DW157" s="16"/>
      <c r="DX157" s="16"/>
      <c r="DY157" s="16"/>
      <c r="DZ157" s="16"/>
      <c r="EA157" s="16"/>
      <c r="EB157" s="16"/>
      <c r="EC157" s="16"/>
      <c r="ED157" s="16"/>
      <c r="EE157" s="16"/>
    </row>
    <row r="158" spans="1:135" customFormat="1" x14ac:dyDescent="0.25">
      <c r="A158" s="211"/>
      <c r="B158" s="249"/>
      <c r="C158" s="142" t="str">
        <f t="shared" si="4"/>
        <v/>
      </c>
      <c r="D158" s="16"/>
      <c r="E158" s="16"/>
      <c r="F158" s="16"/>
      <c r="G158" s="16"/>
      <c r="H158" s="16"/>
      <c r="I158" s="262"/>
      <c r="J158" s="16"/>
      <c r="K158" s="16"/>
      <c r="L158" s="16"/>
      <c r="M158" s="16"/>
      <c r="O158" s="16"/>
      <c r="P158" s="16"/>
      <c r="Q158" s="16"/>
      <c r="R158" s="16"/>
      <c r="S158" s="16"/>
      <c r="T158" s="88"/>
      <c r="U158" s="88"/>
      <c r="Z158" s="88"/>
      <c r="AA158" s="88"/>
      <c r="AB158" s="16"/>
      <c r="AC158" s="16"/>
      <c r="AD158" s="21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  <c r="BH158" s="16"/>
      <c r="BI158" s="16"/>
      <c r="BJ158" s="16"/>
      <c r="BK158" s="16"/>
      <c r="BL158" s="16"/>
      <c r="BM158" s="16"/>
      <c r="BN158" s="16"/>
      <c r="BO158" s="16"/>
      <c r="BP158" s="16"/>
      <c r="BQ158" s="16"/>
      <c r="BR158" s="16"/>
      <c r="BS158" s="16"/>
      <c r="BT158" s="16"/>
      <c r="BU158" s="16"/>
      <c r="BV158" s="16"/>
      <c r="BW158" s="16"/>
      <c r="BX158" s="16"/>
      <c r="BY158" s="16"/>
      <c r="BZ158" s="16"/>
      <c r="CA158" s="16"/>
      <c r="CB158" s="16"/>
      <c r="CC158" s="16"/>
      <c r="CD158" s="16"/>
      <c r="CE158" s="16"/>
      <c r="CF158" s="16"/>
      <c r="CG158" s="16"/>
      <c r="CH158" s="16"/>
      <c r="CI158" s="16"/>
      <c r="CJ158" s="16"/>
      <c r="CK158" s="16"/>
      <c r="CL158" s="16"/>
      <c r="CM158" s="16"/>
      <c r="CN158" s="16"/>
      <c r="CO158" s="16"/>
      <c r="CP158" s="16"/>
      <c r="CQ158" s="16"/>
      <c r="CR158" s="16"/>
      <c r="CS158" s="16"/>
      <c r="CT158" s="16"/>
      <c r="CU158" s="16"/>
      <c r="CV158" s="16"/>
      <c r="CW158" s="16"/>
      <c r="CX158" s="16"/>
      <c r="CY158" s="16"/>
      <c r="CZ158" s="16"/>
      <c r="DA158" s="16"/>
      <c r="DB158" s="16"/>
      <c r="DC158" s="16"/>
      <c r="DD158" s="16"/>
      <c r="DE158" s="16"/>
      <c r="DF158" s="16"/>
      <c r="DG158" s="16"/>
      <c r="DH158" s="16"/>
      <c r="DI158" s="16"/>
      <c r="DJ158" s="16"/>
      <c r="DK158" s="16"/>
      <c r="DL158" s="16"/>
      <c r="DM158" s="16"/>
      <c r="DN158" s="16"/>
      <c r="DO158" s="16"/>
      <c r="DP158" s="16"/>
      <c r="DQ158" s="16"/>
      <c r="DR158" s="16"/>
      <c r="DS158" s="16"/>
      <c r="DT158" s="16"/>
      <c r="DU158" s="16"/>
      <c r="DV158" s="16"/>
      <c r="DW158" s="16"/>
      <c r="DX158" s="16"/>
      <c r="DY158" s="16"/>
      <c r="DZ158" s="16"/>
      <c r="EA158" s="16"/>
      <c r="EB158" s="16"/>
      <c r="EC158" s="16"/>
      <c r="ED158" s="16"/>
      <c r="EE158" s="16"/>
    </row>
    <row r="159" spans="1:135" customFormat="1" x14ac:dyDescent="0.25">
      <c r="A159" s="211"/>
      <c r="B159" s="249"/>
      <c r="C159" s="142" t="str">
        <f t="shared" si="4"/>
        <v/>
      </c>
      <c r="D159" s="16"/>
      <c r="E159" s="16"/>
      <c r="F159" s="16"/>
      <c r="G159" s="16"/>
      <c r="H159" s="16"/>
      <c r="I159" s="262"/>
      <c r="J159" s="16"/>
      <c r="K159" s="16"/>
      <c r="L159" s="16"/>
      <c r="M159" s="16"/>
      <c r="O159" s="16"/>
      <c r="P159" s="16"/>
      <c r="Q159" s="16"/>
      <c r="R159" s="16"/>
      <c r="S159" s="16"/>
      <c r="T159" s="88"/>
      <c r="U159" s="88"/>
      <c r="Z159" s="88"/>
      <c r="AA159" s="88"/>
      <c r="AB159" s="16"/>
      <c r="AC159" s="16"/>
      <c r="AD159" s="21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  <c r="BH159" s="16"/>
      <c r="BI159" s="16"/>
      <c r="BJ159" s="16"/>
      <c r="BK159" s="16"/>
      <c r="BL159" s="16"/>
      <c r="BM159" s="16"/>
      <c r="BN159" s="16"/>
      <c r="BO159" s="16"/>
      <c r="BP159" s="16"/>
      <c r="BQ159" s="16"/>
      <c r="BR159" s="16"/>
      <c r="BS159" s="16"/>
      <c r="BT159" s="16"/>
      <c r="BU159" s="16"/>
      <c r="BV159" s="16"/>
      <c r="BW159" s="16"/>
      <c r="BX159" s="16"/>
      <c r="BY159" s="16"/>
      <c r="BZ159" s="16"/>
      <c r="CA159" s="16"/>
      <c r="CB159" s="16"/>
      <c r="CC159" s="16"/>
      <c r="CD159" s="16"/>
      <c r="CE159" s="16"/>
      <c r="CF159" s="16"/>
      <c r="CG159" s="16"/>
      <c r="CH159" s="16"/>
      <c r="CI159" s="16"/>
      <c r="CJ159" s="16"/>
      <c r="CK159" s="16"/>
      <c r="CL159" s="16"/>
      <c r="CM159" s="16"/>
      <c r="CN159" s="16"/>
      <c r="CO159" s="16"/>
      <c r="CP159" s="16"/>
      <c r="CQ159" s="16"/>
      <c r="CR159" s="16"/>
      <c r="CS159" s="16"/>
      <c r="CT159" s="16"/>
      <c r="CU159" s="16"/>
      <c r="CV159" s="16"/>
      <c r="CW159" s="16"/>
      <c r="CX159" s="16"/>
      <c r="CY159" s="16"/>
      <c r="CZ159" s="16"/>
      <c r="DA159" s="16"/>
      <c r="DB159" s="16"/>
      <c r="DC159" s="16"/>
      <c r="DD159" s="16"/>
      <c r="DE159" s="16"/>
      <c r="DF159" s="16"/>
      <c r="DG159" s="16"/>
      <c r="DH159" s="16"/>
      <c r="DI159" s="16"/>
      <c r="DJ159" s="16"/>
      <c r="DK159" s="16"/>
      <c r="DL159" s="16"/>
      <c r="DM159" s="16"/>
      <c r="DN159" s="16"/>
      <c r="DO159" s="16"/>
      <c r="DP159" s="16"/>
      <c r="DQ159" s="16"/>
      <c r="DR159" s="16"/>
      <c r="DS159" s="16"/>
      <c r="DT159" s="16"/>
      <c r="DU159" s="16"/>
      <c r="DV159" s="16"/>
      <c r="DW159" s="16"/>
      <c r="DX159" s="16"/>
      <c r="DY159" s="16"/>
      <c r="DZ159" s="16"/>
      <c r="EA159" s="16"/>
      <c r="EB159" s="16"/>
      <c r="EC159" s="16"/>
      <c r="ED159" s="16"/>
      <c r="EE159" s="16"/>
    </row>
    <row r="160" spans="1:135" customFormat="1" x14ac:dyDescent="0.25">
      <c r="A160" s="211"/>
      <c r="B160" s="249"/>
      <c r="C160" s="142" t="str">
        <f t="shared" si="4"/>
        <v/>
      </c>
      <c r="D160" s="16"/>
      <c r="E160" s="16"/>
      <c r="F160" s="16"/>
      <c r="G160" s="16"/>
      <c r="H160" s="16"/>
      <c r="I160" s="262"/>
      <c r="J160" s="16"/>
      <c r="K160" s="16"/>
      <c r="L160" s="16"/>
      <c r="M160" s="16"/>
      <c r="O160" s="16"/>
      <c r="P160" s="16"/>
      <c r="Q160" s="16"/>
      <c r="R160" s="16"/>
      <c r="S160" s="16"/>
      <c r="T160" s="88"/>
      <c r="U160" s="88"/>
      <c r="Z160" s="88"/>
      <c r="AA160" s="88"/>
      <c r="AB160" s="16"/>
      <c r="AC160" s="16"/>
      <c r="AD160" s="21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  <c r="BH160" s="16"/>
      <c r="BI160" s="16"/>
      <c r="BJ160" s="16"/>
      <c r="BK160" s="16"/>
      <c r="BL160" s="16"/>
      <c r="BM160" s="16"/>
      <c r="BN160" s="16"/>
      <c r="BO160" s="16"/>
      <c r="BP160" s="16"/>
      <c r="BQ160" s="16"/>
      <c r="BR160" s="16"/>
      <c r="BS160" s="16"/>
      <c r="BT160" s="16"/>
      <c r="BU160" s="16"/>
      <c r="BV160" s="16"/>
      <c r="BW160" s="16"/>
      <c r="BX160" s="16"/>
      <c r="BY160" s="16"/>
      <c r="BZ160" s="16"/>
      <c r="CA160" s="16"/>
      <c r="CB160" s="16"/>
      <c r="CC160" s="16"/>
      <c r="CD160" s="16"/>
      <c r="CE160" s="16"/>
      <c r="CF160" s="16"/>
      <c r="CG160" s="16"/>
      <c r="CH160" s="16"/>
      <c r="CI160" s="16"/>
      <c r="CJ160" s="16"/>
      <c r="CK160" s="16"/>
      <c r="CL160" s="16"/>
      <c r="CM160" s="16"/>
      <c r="CN160" s="16"/>
      <c r="CO160" s="16"/>
      <c r="CP160" s="16"/>
      <c r="CQ160" s="16"/>
      <c r="CR160" s="16"/>
      <c r="CS160" s="16"/>
      <c r="CT160" s="16"/>
      <c r="CU160" s="16"/>
      <c r="CV160" s="16"/>
      <c r="CW160" s="16"/>
      <c r="CX160" s="16"/>
      <c r="CY160" s="16"/>
      <c r="CZ160" s="16"/>
      <c r="DA160" s="16"/>
      <c r="DB160" s="16"/>
      <c r="DC160" s="16"/>
      <c r="DD160" s="16"/>
      <c r="DE160" s="16"/>
      <c r="DF160" s="16"/>
      <c r="DG160" s="16"/>
      <c r="DH160" s="16"/>
      <c r="DI160" s="16"/>
      <c r="DJ160" s="16"/>
      <c r="DK160" s="16"/>
      <c r="DL160" s="16"/>
      <c r="DM160" s="16"/>
      <c r="DN160" s="16"/>
      <c r="DO160" s="16"/>
      <c r="DP160" s="16"/>
      <c r="DQ160" s="16"/>
      <c r="DR160" s="16"/>
      <c r="DS160" s="16"/>
      <c r="DT160" s="16"/>
      <c r="DU160" s="16"/>
      <c r="DV160" s="16"/>
      <c r="DW160" s="16"/>
      <c r="DX160" s="16"/>
      <c r="DY160" s="16"/>
      <c r="DZ160" s="16"/>
      <c r="EA160" s="16"/>
      <c r="EB160" s="16"/>
      <c r="EC160" s="16"/>
      <c r="ED160" s="16"/>
      <c r="EE160" s="16"/>
    </row>
    <row r="161" spans="1:135" customFormat="1" x14ac:dyDescent="0.25">
      <c r="A161" s="211"/>
      <c r="B161" s="249"/>
      <c r="C161" s="142" t="str">
        <f t="shared" si="4"/>
        <v/>
      </c>
      <c r="D161" s="16"/>
      <c r="E161" s="16"/>
      <c r="F161" s="16"/>
      <c r="G161" s="16"/>
      <c r="H161" s="16"/>
      <c r="I161" s="262"/>
      <c r="J161" s="16"/>
      <c r="K161" s="16"/>
      <c r="L161" s="16"/>
      <c r="M161" s="16"/>
      <c r="O161" s="16"/>
      <c r="P161" s="16"/>
      <c r="Q161" s="16"/>
      <c r="R161" s="16"/>
      <c r="S161" s="16"/>
      <c r="T161" s="88"/>
      <c r="U161" s="88"/>
      <c r="Z161" s="88"/>
      <c r="AA161" s="88"/>
      <c r="AB161" s="16"/>
      <c r="AC161" s="16"/>
      <c r="AD161" s="21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  <c r="BH161" s="16"/>
      <c r="BI161" s="16"/>
      <c r="BJ161" s="16"/>
      <c r="BK161" s="16"/>
      <c r="BL161" s="16"/>
      <c r="BM161" s="16"/>
      <c r="BN161" s="16"/>
      <c r="BO161" s="16"/>
      <c r="BP161" s="16"/>
      <c r="BQ161" s="16"/>
      <c r="BR161" s="16"/>
      <c r="BS161" s="16"/>
      <c r="BT161" s="16"/>
      <c r="BU161" s="16"/>
      <c r="BV161" s="16"/>
      <c r="BW161" s="16"/>
      <c r="BX161" s="16"/>
      <c r="BY161" s="16"/>
      <c r="BZ161" s="16"/>
      <c r="CA161" s="16"/>
      <c r="CB161" s="16"/>
      <c r="CC161" s="16"/>
      <c r="CD161" s="16"/>
      <c r="CE161" s="16"/>
      <c r="CF161" s="16"/>
      <c r="CG161" s="16"/>
      <c r="CH161" s="16"/>
      <c r="CI161" s="16"/>
      <c r="CJ161" s="16"/>
      <c r="CK161" s="16"/>
      <c r="CL161" s="16"/>
      <c r="CM161" s="16"/>
      <c r="CN161" s="16"/>
      <c r="CO161" s="16"/>
      <c r="CP161" s="16"/>
      <c r="CQ161" s="16"/>
      <c r="CR161" s="16"/>
      <c r="CS161" s="16"/>
      <c r="CT161" s="16"/>
      <c r="CU161" s="16"/>
      <c r="CV161" s="16"/>
      <c r="CW161" s="16"/>
      <c r="CX161" s="16"/>
      <c r="CY161" s="16"/>
      <c r="CZ161" s="16"/>
      <c r="DA161" s="16"/>
      <c r="DB161" s="16"/>
      <c r="DC161" s="16"/>
      <c r="DD161" s="16"/>
      <c r="DE161" s="16"/>
      <c r="DF161" s="16"/>
      <c r="DG161" s="16"/>
      <c r="DH161" s="16"/>
      <c r="DI161" s="16"/>
      <c r="DJ161" s="16"/>
      <c r="DK161" s="16"/>
      <c r="DL161" s="16"/>
      <c r="DM161" s="16"/>
      <c r="DN161" s="16"/>
      <c r="DO161" s="16"/>
      <c r="DP161" s="16"/>
      <c r="DQ161" s="16"/>
      <c r="DR161" s="16"/>
      <c r="DS161" s="16"/>
      <c r="DT161" s="16"/>
      <c r="DU161" s="16"/>
      <c r="DV161" s="16"/>
      <c r="DW161" s="16"/>
      <c r="DX161" s="16"/>
      <c r="DY161" s="16"/>
      <c r="DZ161" s="16"/>
      <c r="EA161" s="16"/>
      <c r="EB161" s="16"/>
      <c r="EC161" s="16"/>
      <c r="ED161" s="16"/>
      <c r="EE161" s="16"/>
    </row>
    <row r="162" spans="1:135" customFormat="1" x14ac:dyDescent="0.25">
      <c r="A162" s="211"/>
      <c r="B162" s="249"/>
      <c r="C162" s="142" t="str">
        <f t="shared" si="4"/>
        <v/>
      </c>
      <c r="D162" s="16"/>
      <c r="E162" s="16"/>
      <c r="F162" s="16"/>
      <c r="G162" s="16"/>
      <c r="H162" s="16"/>
      <c r="I162" s="262"/>
      <c r="J162" s="16"/>
      <c r="K162" s="16"/>
      <c r="L162" s="16"/>
      <c r="M162" s="16"/>
      <c r="O162" s="16"/>
      <c r="P162" s="16"/>
      <c r="Q162" s="16"/>
      <c r="R162" s="16"/>
      <c r="S162" s="16"/>
      <c r="T162" s="88"/>
      <c r="Z162" s="88"/>
      <c r="AA162" s="88"/>
      <c r="AB162" s="16"/>
      <c r="AC162" s="16"/>
      <c r="AD162" s="21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  <c r="BH162" s="16"/>
      <c r="BI162" s="16"/>
      <c r="BJ162" s="16"/>
      <c r="BK162" s="16"/>
      <c r="BL162" s="16"/>
      <c r="BM162" s="16"/>
      <c r="BN162" s="16"/>
      <c r="BO162" s="16"/>
      <c r="BP162" s="16"/>
      <c r="BQ162" s="16"/>
      <c r="BR162" s="16"/>
      <c r="BS162" s="16"/>
      <c r="BT162" s="16"/>
      <c r="BU162" s="16"/>
      <c r="BV162" s="16"/>
      <c r="BW162" s="16"/>
      <c r="BX162" s="16"/>
      <c r="BY162" s="16"/>
      <c r="BZ162" s="16"/>
      <c r="CA162" s="16"/>
      <c r="CB162" s="16"/>
      <c r="CC162" s="16"/>
      <c r="CD162" s="16"/>
      <c r="CE162" s="16"/>
      <c r="CF162" s="16"/>
      <c r="CG162" s="16"/>
      <c r="CH162" s="16"/>
      <c r="CI162" s="16"/>
      <c r="CJ162" s="16"/>
      <c r="CK162" s="16"/>
      <c r="CL162" s="16"/>
      <c r="CM162" s="16"/>
      <c r="CN162" s="16"/>
      <c r="CO162" s="16"/>
      <c r="CP162" s="16"/>
      <c r="CQ162" s="16"/>
      <c r="CR162" s="16"/>
      <c r="CS162" s="16"/>
      <c r="CT162" s="16"/>
      <c r="CU162" s="16"/>
      <c r="CV162" s="16"/>
      <c r="CW162" s="16"/>
      <c r="CX162" s="16"/>
      <c r="CY162" s="16"/>
      <c r="CZ162" s="16"/>
      <c r="DA162" s="16"/>
      <c r="DB162" s="16"/>
      <c r="DC162" s="16"/>
      <c r="DD162" s="16"/>
      <c r="DE162" s="16"/>
      <c r="DF162" s="16"/>
      <c r="DG162" s="16"/>
      <c r="DH162" s="16"/>
      <c r="DI162" s="16"/>
      <c r="DJ162" s="16"/>
      <c r="DK162" s="16"/>
      <c r="DL162" s="16"/>
      <c r="DM162" s="16"/>
      <c r="DN162" s="16"/>
      <c r="DO162" s="16"/>
      <c r="DP162" s="16"/>
      <c r="DQ162" s="16"/>
      <c r="DR162" s="16"/>
      <c r="DS162" s="16"/>
      <c r="DT162" s="16"/>
      <c r="DU162" s="16"/>
      <c r="DV162" s="16"/>
      <c r="DW162" s="16"/>
      <c r="DX162" s="16"/>
      <c r="DY162" s="16"/>
      <c r="DZ162" s="16"/>
      <c r="EA162" s="16"/>
      <c r="EB162" s="16"/>
      <c r="EC162" s="16"/>
      <c r="ED162" s="16"/>
      <c r="EE162" s="16"/>
    </row>
    <row r="163" spans="1:135" customFormat="1" x14ac:dyDescent="0.25">
      <c r="A163" s="211"/>
      <c r="B163" s="249"/>
      <c r="C163" s="142" t="str">
        <f t="shared" si="4"/>
        <v/>
      </c>
      <c r="D163" s="16"/>
      <c r="E163" s="16"/>
      <c r="F163" s="16"/>
      <c r="G163" s="16"/>
      <c r="H163" s="16"/>
      <c r="I163" s="262"/>
      <c r="J163" s="16"/>
      <c r="K163" s="16"/>
      <c r="L163" s="16"/>
      <c r="M163" s="16"/>
      <c r="O163" s="16"/>
      <c r="P163" s="16"/>
      <c r="Q163" s="16"/>
      <c r="R163" s="16"/>
      <c r="S163" s="16"/>
      <c r="T163" s="88"/>
      <c r="U163" s="88"/>
      <c r="Z163" s="88"/>
      <c r="AA163" s="88"/>
      <c r="AB163" s="16"/>
      <c r="AC163" s="16"/>
      <c r="AD163" s="21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  <c r="BH163" s="16"/>
      <c r="BI163" s="16"/>
      <c r="BJ163" s="16"/>
      <c r="BK163" s="16"/>
      <c r="BL163" s="16"/>
      <c r="BM163" s="16"/>
      <c r="BN163" s="16"/>
      <c r="BO163" s="16"/>
      <c r="BP163" s="16"/>
      <c r="BQ163" s="16"/>
      <c r="BR163" s="16"/>
      <c r="BS163" s="16"/>
      <c r="BT163" s="16"/>
      <c r="BU163" s="16"/>
      <c r="BV163" s="16"/>
      <c r="BW163" s="16"/>
      <c r="BX163" s="16"/>
      <c r="BY163" s="16"/>
      <c r="BZ163" s="16"/>
      <c r="CA163" s="16"/>
      <c r="CB163" s="16"/>
      <c r="CC163" s="16"/>
      <c r="CD163" s="16"/>
      <c r="CE163" s="16"/>
      <c r="CF163" s="16"/>
      <c r="CG163" s="16"/>
      <c r="CH163" s="16"/>
      <c r="CI163" s="16"/>
      <c r="CJ163" s="16"/>
      <c r="CK163" s="16"/>
      <c r="CL163" s="16"/>
      <c r="CM163" s="16"/>
      <c r="CN163" s="16"/>
      <c r="CO163" s="16"/>
      <c r="CP163" s="16"/>
      <c r="CQ163" s="16"/>
      <c r="CR163" s="16"/>
      <c r="CS163" s="16"/>
      <c r="CT163" s="16"/>
      <c r="CU163" s="16"/>
      <c r="CV163" s="16"/>
      <c r="CW163" s="16"/>
      <c r="CX163" s="16"/>
      <c r="CY163" s="16"/>
      <c r="CZ163" s="16"/>
      <c r="DA163" s="16"/>
      <c r="DB163" s="16"/>
      <c r="DC163" s="16"/>
      <c r="DD163" s="16"/>
      <c r="DE163" s="16"/>
      <c r="DF163" s="16"/>
      <c r="DG163" s="16"/>
      <c r="DH163" s="16"/>
      <c r="DI163" s="16"/>
      <c r="DJ163" s="16"/>
      <c r="DK163" s="16"/>
      <c r="DL163" s="16"/>
      <c r="DM163" s="16"/>
      <c r="DN163" s="16"/>
      <c r="DO163" s="16"/>
      <c r="DP163" s="16"/>
      <c r="DQ163" s="16"/>
      <c r="DR163" s="16"/>
      <c r="DS163" s="16"/>
      <c r="DT163" s="16"/>
      <c r="DU163" s="16"/>
      <c r="DV163" s="16"/>
      <c r="DW163" s="16"/>
      <c r="DX163" s="16"/>
      <c r="DY163" s="16"/>
      <c r="DZ163" s="16"/>
      <c r="EA163" s="16"/>
      <c r="EB163" s="16"/>
      <c r="EC163" s="16"/>
      <c r="ED163" s="16"/>
      <c r="EE163" s="16"/>
    </row>
    <row r="164" spans="1:135" customFormat="1" x14ac:dyDescent="0.25">
      <c r="A164" s="211"/>
      <c r="B164" s="249"/>
      <c r="C164" s="142" t="str">
        <f t="shared" si="4"/>
        <v/>
      </c>
      <c r="D164" s="16"/>
      <c r="E164" s="16"/>
      <c r="F164" s="16"/>
      <c r="G164" s="16"/>
      <c r="H164" s="16"/>
      <c r="I164" s="262"/>
      <c r="J164" s="16"/>
      <c r="K164" s="16"/>
      <c r="L164" s="16"/>
      <c r="M164" s="16"/>
      <c r="O164" s="16"/>
      <c r="P164" s="16"/>
      <c r="Q164" s="16"/>
      <c r="R164" s="16"/>
      <c r="S164" s="16"/>
      <c r="T164" s="88"/>
      <c r="Z164" s="88"/>
      <c r="AA164" s="88"/>
      <c r="AB164" s="16"/>
      <c r="AC164" s="16"/>
      <c r="AD164" s="21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  <c r="BH164" s="16"/>
      <c r="BI164" s="16"/>
      <c r="BJ164" s="16"/>
      <c r="BK164" s="16"/>
      <c r="BL164" s="16"/>
      <c r="BM164" s="16"/>
      <c r="BN164" s="16"/>
      <c r="BO164" s="16"/>
      <c r="BP164" s="16"/>
      <c r="BQ164" s="16"/>
      <c r="BR164" s="16"/>
      <c r="BS164" s="16"/>
      <c r="BT164" s="16"/>
      <c r="BU164" s="16"/>
      <c r="BV164" s="16"/>
      <c r="BW164" s="16"/>
      <c r="BX164" s="16"/>
      <c r="BY164" s="16"/>
      <c r="BZ164" s="16"/>
      <c r="CA164" s="16"/>
      <c r="CB164" s="16"/>
      <c r="CC164" s="16"/>
      <c r="CD164" s="16"/>
      <c r="CE164" s="16"/>
      <c r="CF164" s="16"/>
      <c r="CG164" s="16"/>
      <c r="CH164" s="16"/>
      <c r="CI164" s="16"/>
      <c r="CJ164" s="16"/>
      <c r="CK164" s="16"/>
      <c r="CL164" s="16"/>
      <c r="CM164" s="16"/>
      <c r="CN164" s="16"/>
      <c r="CO164" s="16"/>
      <c r="CP164" s="16"/>
      <c r="CQ164" s="16"/>
      <c r="CR164" s="16"/>
      <c r="CS164" s="16"/>
      <c r="CT164" s="16"/>
      <c r="CU164" s="16"/>
      <c r="CV164" s="16"/>
      <c r="CW164" s="16"/>
      <c r="CX164" s="16"/>
      <c r="CY164" s="16"/>
      <c r="CZ164" s="16"/>
      <c r="DA164" s="16"/>
      <c r="DB164" s="16"/>
      <c r="DC164" s="16"/>
      <c r="DD164" s="16"/>
      <c r="DE164" s="16"/>
      <c r="DF164" s="16"/>
      <c r="DG164" s="16"/>
      <c r="DH164" s="16"/>
      <c r="DI164" s="16"/>
      <c r="DJ164" s="16"/>
      <c r="DK164" s="16"/>
      <c r="DL164" s="16"/>
      <c r="DM164" s="16"/>
      <c r="DN164" s="16"/>
      <c r="DO164" s="16"/>
      <c r="DP164" s="16"/>
      <c r="DQ164" s="16"/>
      <c r="DR164" s="16"/>
      <c r="DS164" s="16"/>
      <c r="DT164" s="16"/>
      <c r="DU164" s="16"/>
      <c r="DV164" s="16"/>
      <c r="DW164" s="16"/>
      <c r="DX164" s="16"/>
      <c r="DY164" s="16"/>
      <c r="DZ164" s="16"/>
      <c r="EA164" s="16"/>
      <c r="EB164" s="16"/>
      <c r="EC164" s="16"/>
      <c r="ED164" s="16"/>
      <c r="EE164" s="16"/>
    </row>
    <row r="165" spans="1:135" customFormat="1" x14ac:dyDescent="0.25">
      <c r="A165" s="211"/>
      <c r="B165" s="249"/>
      <c r="C165" s="142" t="str">
        <f t="shared" si="4"/>
        <v/>
      </c>
      <c r="D165" s="16"/>
      <c r="E165" s="16"/>
      <c r="F165" s="16"/>
      <c r="G165" s="16"/>
      <c r="H165" s="16"/>
      <c r="I165" s="262"/>
      <c r="J165" s="16"/>
      <c r="K165" s="16"/>
      <c r="L165" s="16"/>
      <c r="M165" s="16"/>
      <c r="O165" s="16"/>
      <c r="P165" s="16"/>
      <c r="Q165" s="16"/>
      <c r="R165" s="16"/>
      <c r="S165" s="16"/>
      <c r="T165" s="88"/>
      <c r="Z165" s="88"/>
      <c r="AA165" s="88"/>
      <c r="AB165" s="16"/>
      <c r="AC165" s="16"/>
      <c r="AD165" s="21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  <c r="BH165" s="16"/>
      <c r="BI165" s="16"/>
      <c r="BJ165" s="16"/>
      <c r="BK165" s="16"/>
      <c r="BL165" s="16"/>
      <c r="BM165" s="16"/>
      <c r="BN165" s="16"/>
      <c r="BO165" s="16"/>
      <c r="BP165" s="16"/>
      <c r="BQ165" s="16"/>
      <c r="BR165" s="16"/>
      <c r="BS165" s="16"/>
      <c r="BT165" s="16"/>
      <c r="BU165" s="16"/>
      <c r="BV165" s="16"/>
      <c r="BW165" s="16"/>
      <c r="BX165" s="16"/>
      <c r="BY165" s="16"/>
      <c r="BZ165" s="16"/>
      <c r="CA165" s="16"/>
      <c r="CB165" s="16"/>
      <c r="CC165" s="16"/>
      <c r="CD165" s="16"/>
      <c r="CE165" s="16"/>
      <c r="CF165" s="16"/>
      <c r="CG165" s="16"/>
      <c r="CH165" s="16"/>
      <c r="CI165" s="16"/>
      <c r="CJ165" s="16"/>
      <c r="CK165" s="16"/>
      <c r="CL165" s="16"/>
      <c r="CM165" s="16"/>
      <c r="CN165" s="16"/>
      <c r="CO165" s="16"/>
      <c r="CP165" s="16"/>
      <c r="CQ165" s="16"/>
      <c r="CR165" s="16"/>
      <c r="CS165" s="16"/>
      <c r="CT165" s="16"/>
      <c r="CU165" s="16"/>
      <c r="CV165" s="16"/>
      <c r="CW165" s="16"/>
      <c r="CX165" s="16"/>
      <c r="CY165" s="16"/>
      <c r="CZ165" s="16"/>
      <c r="DA165" s="16"/>
      <c r="DB165" s="16"/>
      <c r="DC165" s="16"/>
      <c r="DD165" s="16"/>
      <c r="DE165" s="16"/>
      <c r="DF165" s="16"/>
      <c r="DG165" s="16"/>
      <c r="DH165" s="16"/>
      <c r="DI165" s="16"/>
      <c r="DJ165" s="16"/>
      <c r="DK165" s="16"/>
      <c r="DL165" s="16"/>
      <c r="DM165" s="16"/>
      <c r="DN165" s="16"/>
      <c r="DO165" s="16"/>
      <c r="DP165" s="16"/>
      <c r="DQ165" s="16"/>
      <c r="DR165" s="16"/>
      <c r="DS165" s="16"/>
      <c r="DT165" s="16"/>
      <c r="DU165" s="16"/>
      <c r="DV165" s="16"/>
      <c r="DW165" s="16"/>
      <c r="DX165" s="16"/>
      <c r="DY165" s="16"/>
      <c r="DZ165" s="16"/>
      <c r="EA165" s="16"/>
      <c r="EB165" s="16"/>
      <c r="EC165" s="16"/>
      <c r="ED165" s="16"/>
      <c r="EE165" s="16"/>
    </row>
    <row r="166" spans="1:135" customFormat="1" x14ac:dyDescent="0.25">
      <c r="A166" s="211"/>
      <c r="B166" s="249"/>
      <c r="C166" s="142" t="str">
        <f t="shared" si="4"/>
        <v/>
      </c>
      <c r="D166" s="16"/>
      <c r="E166" s="16"/>
      <c r="F166" s="16"/>
      <c r="G166" s="16"/>
      <c r="H166" s="16"/>
      <c r="I166" s="262"/>
      <c r="J166" s="16"/>
      <c r="K166" s="16"/>
      <c r="L166" s="16"/>
      <c r="M166" s="16"/>
      <c r="O166" s="16"/>
      <c r="P166" s="16"/>
      <c r="Q166" s="16"/>
      <c r="R166" s="16"/>
      <c r="S166" s="16"/>
      <c r="T166" s="88"/>
      <c r="Z166" s="88"/>
      <c r="AA166" s="88"/>
      <c r="AB166" s="16"/>
      <c r="AC166" s="16"/>
      <c r="AD166" s="21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  <c r="BH166" s="16"/>
      <c r="BI166" s="16"/>
      <c r="BJ166" s="16"/>
      <c r="BK166" s="16"/>
      <c r="BL166" s="16"/>
      <c r="BM166" s="16"/>
      <c r="BN166" s="16"/>
      <c r="BO166" s="16"/>
      <c r="BP166" s="16"/>
      <c r="BQ166" s="16"/>
      <c r="BR166" s="16"/>
      <c r="BS166" s="16"/>
      <c r="BT166" s="16"/>
      <c r="BU166" s="16"/>
      <c r="BV166" s="16"/>
      <c r="BW166" s="16"/>
      <c r="BX166" s="16"/>
      <c r="BY166" s="16"/>
      <c r="BZ166" s="16"/>
      <c r="CA166" s="16"/>
      <c r="CB166" s="16"/>
      <c r="CC166" s="16"/>
      <c r="CD166" s="16"/>
      <c r="CE166" s="16"/>
      <c r="CF166" s="16"/>
      <c r="CG166" s="16"/>
      <c r="CH166" s="16"/>
      <c r="CI166" s="16"/>
      <c r="CJ166" s="16"/>
      <c r="CK166" s="16"/>
      <c r="CL166" s="16"/>
      <c r="CM166" s="16"/>
      <c r="CN166" s="16"/>
      <c r="CO166" s="16"/>
      <c r="CP166" s="16"/>
      <c r="CQ166" s="16"/>
      <c r="CR166" s="16"/>
      <c r="CS166" s="16"/>
      <c r="CT166" s="16"/>
      <c r="CU166" s="16"/>
      <c r="CV166" s="16"/>
      <c r="CW166" s="16"/>
      <c r="CX166" s="16"/>
      <c r="CY166" s="16"/>
      <c r="CZ166" s="16"/>
      <c r="DA166" s="16"/>
      <c r="DB166" s="16"/>
      <c r="DC166" s="16"/>
      <c r="DD166" s="16"/>
      <c r="DE166" s="16"/>
      <c r="DF166" s="16"/>
      <c r="DG166" s="16"/>
      <c r="DH166" s="16"/>
      <c r="DI166" s="16"/>
      <c r="DJ166" s="16"/>
      <c r="DK166" s="16"/>
      <c r="DL166" s="16"/>
      <c r="DM166" s="16"/>
      <c r="DN166" s="16"/>
      <c r="DO166" s="16"/>
      <c r="DP166" s="16"/>
      <c r="DQ166" s="16"/>
      <c r="DR166" s="16"/>
      <c r="DS166" s="16"/>
      <c r="DT166" s="16"/>
      <c r="DU166" s="16"/>
      <c r="DV166" s="16"/>
      <c r="DW166" s="16"/>
      <c r="DX166" s="16"/>
      <c r="DY166" s="16"/>
      <c r="DZ166" s="16"/>
      <c r="EA166" s="16"/>
      <c r="EB166" s="16"/>
      <c r="EC166" s="16"/>
      <c r="ED166" s="16"/>
      <c r="EE166" s="16"/>
    </row>
    <row r="167" spans="1:135" customFormat="1" x14ac:dyDescent="0.25">
      <c r="A167" s="211"/>
      <c r="B167" s="249"/>
      <c r="C167" s="142" t="str">
        <f t="shared" si="4"/>
        <v/>
      </c>
      <c r="D167" s="16"/>
      <c r="E167" s="16"/>
      <c r="F167" s="16"/>
      <c r="G167" s="16"/>
      <c r="H167" s="16"/>
      <c r="I167" s="262"/>
      <c r="J167" s="16"/>
      <c r="K167" s="16"/>
      <c r="L167" s="16"/>
      <c r="M167" s="16"/>
      <c r="O167" s="16"/>
      <c r="P167" s="16"/>
      <c r="Q167" s="16"/>
      <c r="R167" s="16"/>
      <c r="S167" s="16"/>
      <c r="T167" s="88"/>
      <c r="U167" s="88"/>
      <c r="Z167" s="88"/>
      <c r="AA167" s="88"/>
      <c r="AB167" s="16"/>
      <c r="AC167" s="16"/>
      <c r="AD167" s="21"/>
      <c r="AE167" s="16"/>
      <c r="AF167" s="16"/>
      <c r="AG167" s="16"/>
      <c r="AH167" s="16"/>
      <c r="AI167" s="16"/>
      <c r="AJ167" s="16"/>
      <c r="AK167" s="16"/>
      <c r="AL167" s="16"/>
      <c r="AM167" s="16"/>
      <c r="AN167" s="16"/>
      <c r="AO167" s="16"/>
      <c r="AP167" s="16"/>
      <c r="AQ167" s="16"/>
      <c r="AR167" s="16"/>
      <c r="AS167" s="16"/>
      <c r="AT167" s="16"/>
      <c r="AU167" s="16"/>
      <c r="AV167" s="16"/>
      <c r="AW167" s="16"/>
      <c r="AX167" s="16"/>
      <c r="AY167" s="16"/>
      <c r="AZ167" s="16"/>
      <c r="BA167" s="16"/>
      <c r="BB167" s="16"/>
      <c r="BC167" s="16"/>
      <c r="BD167" s="16"/>
      <c r="BE167" s="16"/>
      <c r="BF167" s="16"/>
      <c r="BG167" s="16"/>
      <c r="BH167" s="16"/>
      <c r="BI167" s="16"/>
      <c r="BJ167" s="16"/>
      <c r="BK167" s="16"/>
      <c r="BL167" s="16"/>
      <c r="BM167" s="16"/>
      <c r="BN167" s="16"/>
      <c r="BO167" s="16"/>
      <c r="BP167" s="16"/>
      <c r="BQ167" s="16"/>
      <c r="BR167" s="16"/>
      <c r="BS167" s="16"/>
      <c r="BT167" s="16"/>
      <c r="BU167" s="16"/>
      <c r="BV167" s="16"/>
      <c r="BW167" s="16"/>
      <c r="BX167" s="16"/>
      <c r="BY167" s="16"/>
      <c r="BZ167" s="16"/>
      <c r="CA167" s="16"/>
      <c r="CB167" s="16"/>
      <c r="CC167" s="16"/>
      <c r="CD167" s="16"/>
      <c r="CE167" s="16"/>
      <c r="CF167" s="16"/>
      <c r="CG167" s="16"/>
      <c r="CH167" s="16"/>
      <c r="CI167" s="16"/>
      <c r="CJ167" s="16"/>
      <c r="CK167" s="16"/>
      <c r="CL167" s="16"/>
      <c r="CM167" s="16"/>
      <c r="CN167" s="16"/>
      <c r="CO167" s="16"/>
      <c r="CP167" s="16"/>
      <c r="CQ167" s="16"/>
      <c r="CR167" s="16"/>
      <c r="CS167" s="16"/>
      <c r="CT167" s="16"/>
      <c r="CU167" s="16"/>
      <c r="CV167" s="16"/>
      <c r="CW167" s="16"/>
      <c r="CX167" s="16"/>
      <c r="CY167" s="16"/>
      <c r="CZ167" s="16"/>
      <c r="DA167" s="16"/>
      <c r="DB167" s="16"/>
      <c r="DC167" s="16"/>
      <c r="DD167" s="16"/>
      <c r="DE167" s="16"/>
      <c r="DF167" s="16"/>
      <c r="DG167" s="16"/>
      <c r="DH167" s="16"/>
      <c r="DI167" s="16"/>
      <c r="DJ167" s="16"/>
      <c r="DK167" s="16"/>
      <c r="DL167" s="16"/>
      <c r="DM167" s="16"/>
      <c r="DN167" s="16"/>
      <c r="DO167" s="16"/>
      <c r="DP167" s="16"/>
      <c r="DQ167" s="16"/>
      <c r="DR167" s="16"/>
      <c r="DS167" s="16"/>
      <c r="DT167" s="16"/>
      <c r="DU167" s="16"/>
      <c r="DV167" s="16"/>
      <c r="DW167" s="16"/>
      <c r="DX167" s="16"/>
      <c r="DY167" s="16"/>
      <c r="DZ167" s="16"/>
      <c r="EA167" s="16"/>
      <c r="EB167" s="16"/>
      <c r="EC167" s="16"/>
      <c r="ED167" s="16"/>
      <c r="EE167" s="16"/>
    </row>
    <row r="168" spans="1:135" customFormat="1" x14ac:dyDescent="0.25">
      <c r="A168" s="211"/>
      <c r="B168" s="249"/>
      <c r="C168" s="142" t="str">
        <f t="shared" si="4"/>
        <v/>
      </c>
      <c r="D168" s="16"/>
      <c r="E168" s="16"/>
      <c r="F168" s="16"/>
      <c r="G168" s="16"/>
      <c r="H168" s="16"/>
      <c r="I168" s="262"/>
      <c r="J168" s="16"/>
      <c r="K168" s="16"/>
      <c r="L168" s="16"/>
      <c r="M168" s="16"/>
      <c r="O168" s="16"/>
      <c r="P168" s="16"/>
      <c r="Q168" s="16"/>
      <c r="R168" s="16"/>
      <c r="S168" s="16"/>
      <c r="T168" s="88"/>
      <c r="Z168" s="88"/>
      <c r="AA168" s="88"/>
      <c r="AB168" s="16"/>
      <c r="AC168" s="16"/>
      <c r="AD168" s="21"/>
      <c r="AE168" s="16"/>
      <c r="AF168" s="16"/>
      <c r="AG168" s="16"/>
      <c r="AH168" s="16"/>
      <c r="AI168" s="16"/>
      <c r="AJ168" s="16"/>
      <c r="AK168" s="16"/>
      <c r="AL168" s="16"/>
      <c r="AM168" s="16"/>
      <c r="AN168" s="16"/>
      <c r="AO168" s="16"/>
      <c r="AP168" s="16"/>
      <c r="AQ168" s="16"/>
      <c r="AR168" s="16"/>
      <c r="AS168" s="16"/>
      <c r="AT168" s="16"/>
      <c r="AU168" s="16"/>
      <c r="AV168" s="16"/>
      <c r="AW168" s="16"/>
      <c r="AX168" s="16"/>
      <c r="AY168" s="16"/>
      <c r="AZ168" s="16"/>
      <c r="BA168" s="16"/>
      <c r="BB168" s="16"/>
      <c r="BC168" s="16"/>
      <c r="BD168" s="16"/>
      <c r="BE168" s="16"/>
      <c r="BF168" s="16"/>
      <c r="BG168" s="16"/>
      <c r="BH168" s="16"/>
      <c r="BI168" s="16"/>
      <c r="BJ168" s="16"/>
      <c r="BK168" s="16"/>
      <c r="BL168" s="16"/>
      <c r="BM168" s="16"/>
      <c r="BN168" s="16"/>
      <c r="BO168" s="16"/>
      <c r="BP168" s="16"/>
      <c r="BQ168" s="16"/>
      <c r="BR168" s="16"/>
      <c r="BS168" s="16"/>
      <c r="BT168" s="16"/>
      <c r="BU168" s="16"/>
      <c r="BV168" s="16"/>
      <c r="BW168" s="16"/>
      <c r="BX168" s="16"/>
      <c r="BY168" s="16"/>
      <c r="BZ168" s="16"/>
      <c r="CA168" s="16"/>
      <c r="CB168" s="16"/>
      <c r="CC168" s="16"/>
      <c r="CD168" s="16"/>
      <c r="CE168" s="16"/>
      <c r="CF168" s="16"/>
      <c r="CG168" s="16"/>
      <c r="CH168" s="16"/>
      <c r="CI168" s="16"/>
      <c r="CJ168" s="16"/>
      <c r="CK168" s="16"/>
      <c r="CL168" s="16"/>
      <c r="CM168" s="16"/>
      <c r="CN168" s="16"/>
      <c r="CO168" s="16"/>
      <c r="CP168" s="16"/>
      <c r="CQ168" s="16"/>
      <c r="CR168" s="16"/>
      <c r="CS168" s="16"/>
      <c r="CT168" s="16"/>
      <c r="CU168" s="16"/>
      <c r="CV168" s="16"/>
      <c r="CW168" s="16"/>
      <c r="CX168" s="16"/>
      <c r="CY168" s="16"/>
      <c r="CZ168" s="16"/>
      <c r="DA168" s="16"/>
      <c r="DB168" s="16"/>
      <c r="DC168" s="16"/>
      <c r="DD168" s="16"/>
      <c r="DE168" s="16"/>
      <c r="DF168" s="16"/>
      <c r="DG168" s="16"/>
      <c r="DH168" s="16"/>
      <c r="DI168" s="16"/>
      <c r="DJ168" s="16"/>
      <c r="DK168" s="16"/>
      <c r="DL168" s="16"/>
      <c r="DM168" s="16"/>
      <c r="DN168" s="16"/>
      <c r="DO168" s="16"/>
      <c r="DP168" s="16"/>
      <c r="DQ168" s="16"/>
      <c r="DR168" s="16"/>
      <c r="DS168" s="16"/>
      <c r="DT168" s="16"/>
      <c r="DU168" s="16"/>
      <c r="DV168" s="16"/>
      <c r="DW168" s="16"/>
      <c r="DX168" s="16"/>
      <c r="DY168" s="16"/>
      <c r="DZ168" s="16"/>
      <c r="EA168" s="16"/>
      <c r="EB168" s="16"/>
      <c r="EC168" s="16"/>
      <c r="ED168" s="16"/>
      <c r="EE168" s="16"/>
    </row>
    <row r="169" spans="1:135" customFormat="1" x14ac:dyDescent="0.25">
      <c r="A169" s="211"/>
      <c r="B169" s="249"/>
      <c r="C169" s="142" t="str">
        <f t="shared" si="4"/>
        <v/>
      </c>
      <c r="D169" s="16"/>
      <c r="E169" s="16"/>
      <c r="F169" s="16"/>
      <c r="G169" s="16"/>
      <c r="H169" s="16"/>
      <c r="I169" s="262"/>
      <c r="J169" s="16"/>
      <c r="K169" s="16"/>
      <c r="L169" s="16"/>
      <c r="M169" s="16"/>
      <c r="O169" s="16"/>
      <c r="P169" s="16"/>
      <c r="Q169" s="16"/>
      <c r="R169" s="16"/>
      <c r="S169" s="16"/>
      <c r="T169" s="88"/>
      <c r="Z169" s="88"/>
      <c r="AA169" s="88"/>
      <c r="AB169" s="16"/>
      <c r="AC169" s="16"/>
      <c r="AD169" s="21"/>
      <c r="AE169" s="16"/>
      <c r="AF169" s="16"/>
      <c r="AG169" s="16"/>
      <c r="AH169" s="16"/>
      <c r="AI169" s="16"/>
      <c r="AJ169" s="16"/>
      <c r="AK169" s="16"/>
      <c r="AL169" s="16"/>
      <c r="AM169" s="16"/>
      <c r="AN169" s="16"/>
      <c r="AO169" s="16"/>
      <c r="AP169" s="16"/>
      <c r="AQ169" s="16"/>
      <c r="AR169" s="16"/>
      <c r="AS169" s="16"/>
      <c r="AT169" s="16"/>
      <c r="AU169" s="16"/>
      <c r="AV169" s="16"/>
      <c r="AW169" s="16"/>
      <c r="AX169" s="16"/>
      <c r="AY169" s="16"/>
      <c r="AZ169" s="16"/>
      <c r="BA169" s="16"/>
      <c r="BB169" s="16"/>
      <c r="BC169" s="16"/>
      <c r="BD169" s="16"/>
      <c r="BE169" s="16"/>
      <c r="BF169" s="16"/>
      <c r="BG169" s="16"/>
      <c r="BH169" s="16"/>
      <c r="BI169" s="16"/>
      <c r="BJ169" s="16"/>
      <c r="BK169" s="16"/>
      <c r="BL169" s="16"/>
      <c r="BM169" s="16"/>
      <c r="BN169" s="16"/>
      <c r="BO169" s="16"/>
      <c r="BP169" s="16"/>
      <c r="BQ169" s="16"/>
      <c r="BR169" s="16"/>
      <c r="BS169" s="16"/>
      <c r="BT169" s="16"/>
      <c r="BU169" s="16"/>
      <c r="BV169" s="16"/>
      <c r="BW169" s="16"/>
      <c r="BX169" s="16"/>
      <c r="BY169" s="16"/>
      <c r="BZ169" s="16"/>
      <c r="CA169" s="16"/>
      <c r="CB169" s="16"/>
      <c r="CC169" s="16"/>
      <c r="CD169" s="16"/>
      <c r="CE169" s="16"/>
      <c r="CF169" s="16"/>
      <c r="CG169" s="16"/>
      <c r="CH169" s="16"/>
      <c r="CI169" s="16"/>
      <c r="CJ169" s="16"/>
      <c r="CK169" s="16"/>
      <c r="CL169" s="16"/>
      <c r="CM169" s="16"/>
      <c r="CN169" s="16"/>
      <c r="CO169" s="16"/>
      <c r="CP169" s="16"/>
      <c r="CQ169" s="16"/>
      <c r="CR169" s="16"/>
      <c r="CS169" s="16"/>
      <c r="CT169" s="16"/>
      <c r="CU169" s="16"/>
      <c r="CV169" s="16"/>
      <c r="CW169" s="16"/>
      <c r="CX169" s="16"/>
      <c r="CY169" s="16"/>
      <c r="CZ169" s="16"/>
      <c r="DA169" s="16"/>
      <c r="DB169" s="16"/>
      <c r="DC169" s="16"/>
      <c r="DD169" s="16"/>
      <c r="DE169" s="16"/>
      <c r="DF169" s="16"/>
      <c r="DG169" s="16"/>
      <c r="DH169" s="16"/>
      <c r="DI169" s="16"/>
      <c r="DJ169" s="16"/>
      <c r="DK169" s="16"/>
      <c r="DL169" s="16"/>
      <c r="DM169" s="16"/>
      <c r="DN169" s="16"/>
      <c r="DO169" s="16"/>
      <c r="DP169" s="16"/>
      <c r="DQ169" s="16"/>
      <c r="DR169" s="16"/>
      <c r="DS169" s="16"/>
      <c r="DT169" s="16"/>
      <c r="DU169" s="16"/>
      <c r="DV169" s="16"/>
      <c r="DW169" s="16"/>
      <c r="DX169" s="16"/>
      <c r="DY169" s="16"/>
      <c r="DZ169" s="16"/>
      <c r="EA169" s="16"/>
      <c r="EB169" s="16"/>
      <c r="EC169" s="16"/>
      <c r="ED169" s="16"/>
      <c r="EE169" s="16"/>
    </row>
    <row r="170" spans="1:135" customFormat="1" x14ac:dyDescent="0.25">
      <c r="A170" s="211"/>
      <c r="B170" s="249"/>
      <c r="C170" s="142" t="str">
        <f t="shared" si="4"/>
        <v/>
      </c>
      <c r="D170" s="16"/>
      <c r="E170" s="16"/>
      <c r="F170" s="16"/>
      <c r="G170" s="16"/>
      <c r="H170" s="16"/>
      <c r="I170" s="262"/>
      <c r="J170" s="16"/>
      <c r="K170" s="16"/>
      <c r="L170" s="16"/>
      <c r="M170" s="16"/>
      <c r="O170" s="16"/>
      <c r="P170" s="16"/>
      <c r="Q170" s="16"/>
      <c r="R170" s="16"/>
      <c r="S170" s="16"/>
      <c r="T170" s="88"/>
      <c r="Z170" s="88"/>
      <c r="AA170" s="88"/>
      <c r="AB170" s="16"/>
      <c r="AC170" s="16"/>
      <c r="AD170" s="21"/>
      <c r="AE170" s="16"/>
      <c r="AF170" s="16"/>
      <c r="AG170" s="16"/>
      <c r="AH170" s="16"/>
      <c r="AI170" s="16"/>
      <c r="AJ170" s="16"/>
      <c r="AK170" s="16"/>
      <c r="AL170" s="16"/>
      <c r="AM170" s="16"/>
      <c r="AN170" s="16"/>
      <c r="AO170" s="16"/>
      <c r="AP170" s="16"/>
      <c r="AQ170" s="16"/>
      <c r="AR170" s="16"/>
      <c r="AS170" s="16"/>
      <c r="AT170" s="16"/>
      <c r="AU170" s="16"/>
      <c r="AV170" s="16"/>
      <c r="AW170" s="16"/>
      <c r="AX170" s="16"/>
      <c r="AY170" s="16"/>
      <c r="AZ170" s="16"/>
      <c r="BA170" s="16"/>
      <c r="BB170" s="16"/>
      <c r="BC170" s="16"/>
      <c r="BD170" s="16"/>
      <c r="BE170" s="16"/>
      <c r="BF170" s="16"/>
      <c r="BG170" s="16"/>
      <c r="BH170" s="16"/>
      <c r="BI170" s="16"/>
      <c r="BJ170" s="16"/>
      <c r="BK170" s="16"/>
      <c r="BL170" s="16"/>
      <c r="BM170" s="16"/>
      <c r="BN170" s="16"/>
      <c r="BO170" s="16"/>
      <c r="BP170" s="16"/>
      <c r="BQ170" s="16"/>
      <c r="BR170" s="16"/>
      <c r="BS170" s="16"/>
      <c r="BT170" s="16"/>
      <c r="BU170" s="16"/>
      <c r="BV170" s="16"/>
      <c r="BW170" s="16"/>
      <c r="BX170" s="16"/>
      <c r="BY170" s="16"/>
      <c r="BZ170" s="16"/>
      <c r="CA170" s="16"/>
      <c r="CB170" s="16"/>
      <c r="CC170" s="16"/>
      <c r="CD170" s="16"/>
      <c r="CE170" s="16"/>
      <c r="CF170" s="16"/>
      <c r="CG170" s="16"/>
      <c r="CH170" s="16"/>
      <c r="CI170" s="16"/>
      <c r="CJ170" s="16"/>
      <c r="CK170" s="16"/>
      <c r="CL170" s="16"/>
      <c r="CM170" s="16"/>
      <c r="CN170" s="16"/>
      <c r="CO170" s="16"/>
      <c r="CP170" s="16"/>
      <c r="CQ170" s="16"/>
      <c r="CR170" s="16"/>
      <c r="CS170" s="16"/>
      <c r="CT170" s="16"/>
      <c r="CU170" s="16"/>
      <c r="CV170" s="16"/>
      <c r="CW170" s="16"/>
      <c r="CX170" s="16"/>
      <c r="CY170" s="16"/>
      <c r="CZ170" s="16"/>
      <c r="DA170" s="16"/>
      <c r="DB170" s="16"/>
      <c r="DC170" s="16"/>
      <c r="DD170" s="16"/>
      <c r="DE170" s="16"/>
      <c r="DF170" s="16"/>
      <c r="DG170" s="16"/>
      <c r="DH170" s="16"/>
      <c r="DI170" s="16"/>
      <c r="DJ170" s="16"/>
      <c r="DK170" s="16"/>
      <c r="DL170" s="16"/>
      <c r="DM170" s="16"/>
      <c r="DN170" s="16"/>
      <c r="DO170" s="16"/>
      <c r="DP170" s="16"/>
      <c r="DQ170" s="16"/>
      <c r="DR170" s="16"/>
      <c r="DS170" s="16"/>
      <c r="DT170" s="16"/>
      <c r="DU170" s="16"/>
      <c r="DV170" s="16"/>
      <c r="DW170" s="16"/>
      <c r="DX170" s="16"/>
      <c r="DY170" s="16"/>
      <c r="DZ170" s="16"/>
      <c r="EA170" s="16"/>
      <c r="EB170" s="16"/>
      <c r="EC170" s="16"/>
      <c r="ED170" s="16"/>
      <c r="EE170" s="16"/>
    </row>
    <row r="171" spans="1:135" customFormat="1" x14ac:dyDescent="0.25">
      <c r="A171" s="211"/>
      <c r="B171" s="249"/>
      <c r="C171" s="142" t="str">
        <f t="shared" si="4"/>
        <v/>
      </c>
      <c r="D171" s="16"/>
      <c r="E171" s="16"/>
      <c r="F171" s="16"/>
      <c r="G171" s="16"/>
      <c r="H171" s="16"/>
      <c r="I171" s="262"/>
      <c r="J171" s="16"/>
      <c r="K171" s="16"/>
      <c r="L171" s="16"/>
      <c r="M171" s="16"/>
      <c r="O171" s="16"/>
      <c r="P171" s="16"/>
      <c r="Q171" s="16"/>
      <c r="R171" s="16"/>
      <c r="S171" s="16"/>
      <c r="T171" s="88"/>
      <c r="U171" s="88"/>
      <c r="Z171" s="88"/>
      <c r="AA171" s="88"/>
      <c r="AB171" s="16"/>
      <c r="AC171" s="16"/>
      <c r="AD171" s="21"/>
      <c r="AE171" s="16"/>
      <c r="AF171" s="16"/>
      <c r="AG171" s="16"/>
      <c r="AH171" s="16"/>
      <c r="AI171" s="16"/>
      <c r="AJ171" s="16"/>
      <c r="AK171" s="16"/>
      <c r="AL171" s="16"/>
      <c r="AM171" s="16"/>
      <c r="AN171" s="16"/>
      <c r="AO171" s="16"/>
      <c r="AP171" s="16"/>
      <c r="AQ171" s="16"/>
      <c r="AR171" s="16"/>
      <c r="AS171" s="16"/>
      <c r="AT171" s="16"/>
      <c r="AU171" s="16"/>
      <c r="AV171" s="16"/>
      <c r="AW171" s="16"/>
      <c r="AX171" s="16"/>
      <c r="AY171" s="16"/>
      <c r="AZ171" s="16"/>
      <c r="BA171" s="16"/>
      <c r="BB171" s="16"/>
      <c r="BC171" s="16"/>
      <c r="BD171" s="16"/>
      <c r="BE171" s="16"/>
      <c r="BF171" s="16"/>
      <c r="BG171" s="16"/>
      <c r="BH171" s="16"/>
      <c r="BI171" s="16"/>
      <c r="BJ171" s="16"/>
      <c r="BK171" s="16"/>
      <c r="BL171" s="16"/>
      <c r="BM171" s="16"/>
      <c r="BN171" s="16"/>
      <c r="BO171" s="16"/>
      <c r="BP171" s="16"/>
      <c r="BQ171" s="16"/>
      <c r="BR171" s="16"/>
      <c r="BS171" s="16"/>
      <c r="BT171" s="16"/>
      <c r="BU171" s="16"/>
      <c r="BV171" s="16"/>
      <c r="BW171" s="16"/>
      <c r="BX171" s="16"/>
      <c r="BY171" s="16"/>
      <c r="BZ171" s="16"/>
      <c r="CA171" s="16"/>
      <c r="CB171" s="16"/>
      <c r="CC171" s="16"/>
      <c r="CD171" s="16"/>
      <c r="CE171" s="16"/>
      <c r="CF171" s="16"/>
      <c r="CG171" s="16"/>
      <c r="CH171" s="16"/>
      <c r="CI171" s="16"/>
      <c r="CJ171" s="16"/>
      <c r="CK171" s="16"/>
      <c r="CL171" s="16"/>
      <c r="CM171" s="16"/>
      <c r="CN171" s="16"/>
      <c r="CO171" s="16"/>
      <c r="CP171" s="16"/>
      <c r="CQ171" s="16"/>
      <c r="CR171" s="16"/>
      <c r="CS171" s="16"/>
      <c r="CT171" s="16"/>
      <c r="CU171" s="16"/>
      <c r="CV171" s="16"/>
      <c r="CW171" s="16"/>
      <c r="CX171" s="16"/>
      <c r="CY171" s="16"/>
      <c r="CZ171" s="16"/>
      <c r="DA171" s="16"/>
      <c r="DB171" s="16"/>
      <c r="DC171" s="16"/>
      <c r="DD171" s="16"/>
      <c r="DE171" s="16"/>
      <c r="DF171" s="16"/>
      <c r="DG171" s="16"/>
      <c r="DH171" s="16"/>
      <c r="DI171" s="16"/>
      <c r="DJ171" s="16"/>
      <c r="DK171" s="16"/>
      <c r="DL171" s="16"/>
      <c r="DM171" s="16"/>
      <c r="DN171" s="16"/>
      <c r="DO171" s="16"/>
      <c r="DP171" s="16"/>
      <c r="DQ171" s="16"/>
      <c r="DR171" s="16"/>
      <c r="DS171" s="16"/>
      <c r="DT171" s="16"/>
      <c r="DU171" s="16"/>
      <c r="DV171" s="16"/>
      <c r="DW171" s="16"/>
      <c r="DX171" s="16"/>
      <c r="DY171" s="16"/>
      <c r="DZ171" s="16"/>
      <c r="EA171" s="16"/>
      <c r="EB171" s="16"/>
      <c r="EC171" s="16"/>
      <c r="ED171" s="16"/>
      <c r="EE171" s="16"/>
    </row>
    <row r="172" spans="1:135" customFormat="1" x14ac:dyDescent="0.25">
      <c r="A172" s="211"/>
      <c r="B172" s="249"/>
      <c r="C172" s="142" t="str">
        <f t="shared" si="4"/>
        <v/>
      </c>
      <c r="D172" s="16"/>
      <c r="E172" s="16"/>
      <c r="F172" s="16"/>
      <c r="G172" s="16"/>
      <c r="H172" s="16"/>
      <c r="I172" s="262"/>
      <c r="J172" s="16"/>
      <c r="K172" s="16"/>
      <c r="L172" s="16"/>
      <c r="M172" s="16"/>
      <c r="O172" s="16"/>
      <c r="P172" s="16"/>
      <c r="Q172" s="16"/>
      <c r="R172" s="16"/>
      <c r="S172" s="16"/>
      <c r="T172" s="88"/>
      <c r="U172" s="88"/>
      <c r="Z172" s="88"/>
      <c r="AA172" s="88"/>
      <c r="AB172" s="16"/>
      <c r="AC172" s="16"/>
      <c r="AD172" s="21"/>
      <c r="AE172" s="16"/>
      <c r="AF172" s="16"/>
      <c r="AG172" s="16"/>
      <c r="AH172" s="16"/>
      <c r="AI172" s="16"/>
      <c r="AJ172" s="16"/>
      <c r="AK172" s="16"/>
      <c r="AL172" s="16"/>
      <c r="AM172" s="16"/>
      <c r="AN172" s="16"/>
      <c r="AO172" s="16"/>
      <c r="AP172" s="16"/>
      <c r="AQ172" s="16"/>
      <c r="AR172" s="16"/>
      <c r="AS172" s="16"/>
      <c r="AT172" s="16"/>
      <c r="AU172" s="16"/>
      <c r="AV172" s="16"/>
      <c r="AW172" s="16"/>
      <c r="AX172" s="16"/>
      <c r="AY172" s="16"/>
      <c r="AZ172" s="16"/>
      <c r="BA172" s="16"/>
      <c r="BB172" s="16"/>
      <c r="BC172" s="16"/>
      <c r="BD172" s="16"/>
      <c r="BE172" s="16"/>
      <c r="BF172" s="16"/>
      <c r="BG172" s="16"/>
      <c r="BH172" s="16"/>
      <c r="BI172" s="16"/>
      <c r="BJ172" s="16"/>
      <c r="BK172" s="16"/>
      <c r="BL172" s="16"/>
      <c r="BM172" s="16"/>
      <c r="BN172" s="16"/>
      <c r="BO172" s="16"/>
      <c r="BP172" s="16"/>
      <c r="BQ172" s="16"/>
      <c r="BR172" s="16"/>
      <c r="BS172" s="16"/>
      <c r="BT172" s="16"/>
      <c r="BU172" s="16"/>
      <c r="BV172" s="16"/>
      <c r="BW172" s="16"/>
      <c r="BX172" s="16"/>
      <c r="BY172" s="16"/>
      <c r="BZ172" s="16"/>
      <c r="CA172" s="16"/>
      <c r="CB172" s="16"/>
      <c r="CC172" s="16"/>
      <c r="CD172" s="16"/>
      <c r="CE172" s="16"/>
      <c r="CF172" s="16"/>
      <c r="CG172" s="16"/>
      <c r="CH172" s="16"/>
      <c r="CI172" s="16"/>
      <c r="CJ172" s="16"/>
      <c r="CK172" s="16"/>
      <c r="CL172" s="16"/>
      <c r="CM172" s="16"/>
      <c r="CN172" s="16"/>
      <c r="CO172" s="16"/>
      <c r="CP172" s="16"/>
      <c r="CQ172" s="16"/>
      <c r="CR172" s="16"/>
      <c r="CS172" s="16"/>
      <c r="CT172" s="16"/>
      <c r="CU172" s="16"/>
      <c r="CV172" s="16"/>
      <c r="CW172" s="16"/>
      <c r="CX172" s="16"/>
      <c r="CY172" s="16"/>
      <c r="CZ172" s="16"/>
      <c r="DA172" s="16"/>
      <c r="DB172" s="16"/>
      <c r="DC172" s="16"/>
      <c r="DD172" s="16"/>
      <c r="DE172" s="16"/>
      <c r="DF172" s="16"/>
      <c r="DG172" s="16"/>
      <c r="DH172" s="16"/>
      <c r="DI172" s="16"/>
      <c r="DJ172" s="16"/>
      <c r="DK172" s="16"/>
      <c r="DL172" s="16"/>
      <c r="DM172" s="16"/>
      <c r="DN172" s="16"/>
      <c r="DO172" s="16"/>
      <c r="DP172" s="16"/>
      <c r="DQ172" s="16"/>
      <c r="DR172" s="16"/>
      <c r="DS172" s="16"/>
      <c r="DT172" s="16"/>
      <c r="DU172" s="16"/>
      <c r="DV172" s="16"/>
      <c r="DW172" s="16"/>
      <c r="DX172" s="16"/>
      <c r="DY172" s="16"/>
      <c r="DZ172" s="16"/>
      <c r="EA172" s="16"/>
      <c r="EB172" s="16"/>
      <c r="EC172" s="16"/>
      <c r="ED172" s="16"/>
      <c r="EE172" s="16"/>
    </row>
    <row r="173" spans="1:135" customFormat="1" x14ac:dyDescent="0.25">
      <c r="A173" s="211"/>
      <c r="B173" s="249"/>
      <c r="C173" s="142" t="str">
        <f t="shared" si="4"/>
        <v/>
      </c>
      <c r="D173" s="16"/>
      <c r="E173" s="16"/>
      <c r="F173" s="16"/>
      <c r="G173" s="16"/>
      <c r="H173" s="16"/>
      <c r="I173" s="262"/>
      <c r="J173" s="16"/>
      <c r="K173" s="16"/>
      <c r="L173" s="16"/>
      <c r="M173" s="16"/>
      <c r="O173" s="16"/>
      <c r="P173" s="16"/>
      <c r="Q173" s="16"/>
      <c r="R173" s="16"/>
      <c r="S173" s="16"/>
      <c r="T173" s="88"/>
      <c r="Z173" s="88"/>
      <c r="AA173" s="88"/>
      <c r="AB173" s="16"/>
      <c r="AC173" s="16"/>
      <c r="AD173" s="21"/>
      <c r="AE173" s="16"/>
      <c r="AF173" s="16"/>
      <c r="AG173" s="16"/>
      <c r="AH173" s="16"/>
      <c r="AI173" s="16"/>
      <c r="AJ173" s="16"/>
      <c r="AK173" s="16"/>
      <c r="AL173" s="16"/>
      <c r="AM173" s="16"/>
      <c r="AN173" s="16"/>
      <c r="AO173" s="16"/>
      <c r="AP173" s="16"/>
      <c r="AQ173" s="16"/>
      <c r="AR173" s="16"/>
      <c r="AS173" s="16"/>
      <c r="AT173" s="16"/>
      <c r="AU173" s="16"/>
      <c r="AV173" s="16"/>
      <c r="AW173" s="16"/>
      <c r="AX173" s="16"/>
      <c r="AY173" s="16"/>
      <c r="AZ173" s="16"/>
      <c r="BA173" s="16"/>
      <c r="BB173" s="16"/>
      <c r="BC173" s="16"/>
      <c r="BD173" s="16"/>
      <c r="BE173" s="16"/>
      <c r="BF173" s="16"/>
      <c r="BG173" s="16"/>
      <c r="BH173" s="16"/>
      <c r="BI173" s="16"/>
      <c r="BJ173" s="16"/>
      <c r="BK173" s="16"/>
      <c r="BL173" s="16"/>
      <c r="BM173" s="16"/>
      <c r="BN173" s="16"/>
      <c r="BO173" s="16"/>
      <c r="BP173" s="16"/>
      <c r="BQ173" s="16"/>
      <c r="BR173" s="16"/>
      <c r="BS173" s="16"/>
      <c r="BT173" s="16"/>
      <c r="BU173" s="16"/>
      <c r="BV173" s="16"/>
      <c r="BW173" s="16"/>
      <c r="BX173" s="16"/>
      <c r="BY173" s="16"/>
      <c r="BZ173" s="16"/>
      <c r="CA173" s="16"/>
      <c r="CB173" s="16"/>
      <c r="CC173" s="16"/>
      <c r="CD173" s="16"/>
      <c r="CE173" s="16"/>
      <c r="CF173" s="16"/>
      <c r="CG173" s="16"/>
      <c r="CH173" s="16"/>
      <c r="CI173" s="16"/>
      <c r="CJ173" s="16"/>
      <c r="CK173" s="16"/>
      <c r="CL173" s="16"/>
      <c r="CM173" s="16"/>
      <c r="CN173" s="16"/>
      <c r="CO173" s="16"/>
      <c r="CP173" s="16"/>
      <c r="CQ173" s="16"/>
      <c r="CR173" s="16"/>
      <c r="CS173" s="16"/>
      <c r="CT173" s="16"/>
      <c r="CU173" s="16"/>
      <c r="CV173" s="16"/>
      <c r="CW173" s="16"/>
      <c r="CX173" s="16"/>
      <c r="CY173" s="16"/>
      <c r="CZ173" s="16"/>
      <c r="DA173" s="16"/>
      <c r="DB173" s="16"/>
      <c r="DC173" s="16"/>
      <c r="DD173" s="16"/>
      <c r="DE173" s="16"/>
      <c r="DF173" s="16"/>
      <c r="DG173" s="16"/>
      <c r="DH173" s="16"/>
      <c r="DI173" s="16"/>
      <c r="DJ173" s="16"/>
      <c r="DK173" s="16"/>
      <c r="DL173" s="16"/>
      <c r="DM173" s="16"/>
      <c r="DN173" s="16"/>
      <c r="DO173" s="16"/>
      <c r="DP173" s="16"/>
      <c r="DQ173" s="16"/>
      <c r="DR173" s="16"/>
      <c r="DS173" s="16"/>
      <c r="DT173" s="16"/>
      <c r="DU173" s="16"/>
      <c r="DV173" s="16"/>
      <c r="DW173" s="16"/>
      <c r="DX173" s="16"/>
      <c r="DY173" s="16"/>
      <c r="DZ173" s="16"/>
      <c r="EA173" s="16"/>
      <c r="EB173" s="16"/>
      <c r="EC173" s="16"/>
      <c r="ED173" s="16"/>
      <c r="EE173" s="16"/>
    </row>
    <row r="174" spans="1:135" customFormat="1" x14ac:dyDescent="0.25">
      <c r="A174" s="211"/>
      <c r="B174" s="249"/>
      <c r="C174" s="142" t="str">
        <f t="shared" si="4"/>
        <v/>
      </c>
      <c r="D174" s="16"/>
      <c r="E174" s="16"/>
      <c r="F174" s="16"/>
      <c r="G174" s="16"/>
      <c r="H174" s="16"/>
      <c r="I174" s="262"/>
      <c r="J174" s="16"/>
      <c r="K174" s="16"/>
      <c r="L174" s="16"/>
      <c r="M174" s="16"/>
      <c r="O174" s="16"/>
      <c r="P174" s="16"/>
      <c r="Q174" s="16"/>
      <c r="R174" s="16"/>
      <c r="S174" s="16"/>
      <c r="T174" s="88"/>
      <c r="U174" s="88"/>
      <c r="Z174" s="88"/>
      <c r="AA174" s="88"/>
      <c r="AB174" s="16"/>
      <c r="AC174" s="16"/>
      <c r="AD174" s="21"/>
      <c r="AE174" s="16"/>
      <c r="AF174" s="16"/>
      <c r="AG174" s="16"/>
      <c r="AH174" s="16"/>
      <c r="AI174" s="16"/>
      <c r="AJ174" s="16"/>
      <c r="AK174" s="16"/>
      <c r="AL174" s="16"/>
      <c r="AM174" s="16"/>
      <c r="AN174" s="16"/>
      <c r="AO174" s="16"/>
      <c r="AP174" s="16"/>
      <c r="AQ174" s="16"/>
      <c r="AR174" s="16"/>
      <c r="AS174" s="16"/>
      <c r="AT174" s="16"/>
      <c r="AU174" s="16"/>
      <c r="AV174" s="16"/>
      <c r="AW174" s="16"/>
      <c r="AX174" s="16"/>
      <c r="AY174" s="16"/>
      <c r="AZ174" s="16"/>
      <c r="BA174" s="16"/>
      <c r="BB174" s="16"/>
      <c r="BC174" s="16"/>
      <c r="BD174" s="16"/>
      <c r="BE174" s="16"/>
      <c r="BF174" s="16"/>
      <c r="BG174" s="16"/>
      <c r="BH174" s="16"/>
      <c r="BI174" s="16"/>
      <c r="BJ174" s="16"/>
      <c r="BK174" s="16"/>
      <c r="BL174" s="16"/>
      <c r="BM174" s="16"/>
      <c r="BN174" s="16"/>
      <c r="BO174" s="16"/>
      <c r="BP174" s="16"/>
      <c r="BQ174" s="16"/>
      <c r="BR174" s="16"/>
      <c r="BS174" s="16"/>
      <c r="BT174" s="16"/>
      <c r="BU174" s="16"/>
      <c r="BV174" s="16"/>
      <c r="BW174" s="16"/>
      <c r="BX174" s="16"/>
      <c r="BY174" s="16"/>
      <c r="BZ174" s="16"/>
      <c r="CA174" s="16"/>
      <c r="CB174" s="16"/>
      <c r="CC174" s="16"/>
      <c r="CD174" s="16"/>
      <c r="CE174" s="16"/>
      <c r="CF174" s="16"/>
      <c r="CG174" s="16"/>
      <c r="CH174" s="16"/>
      <c r="CI174" s="16"/>
      <c r="CJ174" s="16"/>
      <c r="CK174" s="16"/>
      <c r="CL174" s="16"/>
      <c r="CM174" s="16"/>
      <c r="CN174" s="16"/>
      <c r="CO174" s="16"/>
      <c r="CP174" s="16"/>
      <c r="CQ174" s="16"/>
      <c r="CR174" s="16"/>
      <c r="CS174" s="16"/>
      <c r="CT174" s="16"/>
      <c r="CU174" s="16"/>
      <c r="CV174" s="16"/>
      <c r="CW174" s="16"/>
      <c r="CX174" s="16"/>
      <c r="CY174" s="16"/>
      <c r="CZ174" s="16"/>
      <c r="DA174" s="16"/>
      <c r="DB174" s="16"/>
      <c r="DC174" s="16"/>
      <c r="DD174" s="16"/>
      <c r="DE174" s="16"/>
      <c r="DF174" s="16"/>
      <c r="DG174" s="16"/>
      <c r="DH174" s="16"/>
      <c r="DI174" s="16"/>
      <c r="DJ174" s="16"/>
      <c r="DK174" s="16"/>
      <c r="DL174" s="16"/>
      <c r="DM174" s="16"/>
      <c r="DN174" s="16"/>
      <c r="DO174" s="16"/>
      <c r="DP174" s="16"/>
      <c r="DQ174" s="16"/>
      <c r="DR174" s="16"/>
      <c r="DS174" s="16"/>
      <c r="DT174" s="16"/>
      <c r="DU174" s="16"/>
      <c r="DV174" s="16"/>
      <c r="DW174" s="16"/>
      <c r="DX174" s="16"/>
      <c r="DY174" s="16"/>
      <c r="DZ174" s="16"/>
      <c r="EA174" s="16"/>
      <c r="EB174" s="16"/>
      <c r="EC174" s="16"/>
      <c r="ED174" s="16"/>
      <c r="EE174" s="16"/>
    </row>
    <row r="175" spans="1:135" customFormat="1" x14ac:dyDescent="0.25">
      <c r="A175" s="211"/>
      <c r="B175" s="249"/>
      <c r="C175" s="142" t="str">
        <f t="shared" si="4"/>
        <v/>
      </c>
      <c r="D175" s="16"/>
      <c r="E175" s="16"/>
      <c r="F175" s="16"/>
      <c r="G175" s="16"/>
      <c r="H175" s="16"/>
      <c r="I175" s="262"/>
      <c r="J175" s="16"/>
      <c r="K175" s="16"/>
      <c r="L175" s="16"/>
      <c r="M175" s="16"/>
      <c r="O175" s="16"/>
      <c r="P175" s="16"/>
      <c r="Q175" s="16"/>
      <c r="R175" s="16"/>
      <c r="S175" s="16"/>
      <c r="T175" s="88"/>
      <c r="U175" s="88"/>
      <c r="Z175" s="88"/>
      <c r="AA175" s="88"/>
      <c r="AB175" s="16"/>
      <c r="AC175" s="16"/>
      <c r="AD175" s="21"/>
      <c r="AE175" s="16"/>
      <c r="AF175" s="16"/>
      <c r="AG175" s="16"/>
      <c r="AH175" s="16"/>
      <c r="AI175" s="16"/>
      <c r="AJ175" s="16"/>
      <c r="AK175" s="16"/>
      <c r="AL175" s="16"/>
      <c r="AM175" s="16"/>
      <c r="AN175" s="16"/>
      <c r="AO175" s="16"/>
      <c r="AP175" s="16"/>
      <c r="AQ175" s="16"/>
      <c r="AR175" s="16"/>
      <c r="AS175" s="16"/>
      <c r="AT175" s="16"/>
      <c r="AU175" s="16"/>
      <c r="AV175" s="16"/>
      <c r="AW175" s="16"/>
      <c r="AX175" s="16"/>
      <c r="AY175" s="16"/>
      <c r="AZ175" s="16"/>
      <c r="BA175" s="16"/>
      <c r="BB175" s="16"/>
      <c r="BC175" s="16"/>
      <c r="BD175" s="16"/>
      <c r="BE175" s="16"/>
      <c r="BF175" s="16"/>
      <c r="BG175" s="16"/>
      <c r="BH175" s="16"/>
      <c r="BI175" s="16"/>
      <c r="BJ175" s="16"/>
      <c r="BK175" s="16"/>
      <c r="BL175" s="16"/>
      <c r="BM175" s="16"/>
      <c r="BN175" s="16"/>
      <c r="BO175" s="16"/>
      <c r="BP175" s="16"/>
      <c r="BQ175" s="16"/>
      <c r="BR175" s="16"/>
      <c r="BS175" s="16"/>
      <c r="BT175" s="16"/>
      <c r="BU175" s="16"/>
      <c r="BV175" s="16"/>
      <c r="BW175" s="16"/>
      <c r="BX175" s="16"/>
      <c r="BY175" s="16"/>
      <c r="BZ175" s="16"/>
      <c r="CA175" s="16"/>
      <c r="CB175" s="16"/>
      <c r="CC175" s="16"/>
      <c r="CD175" s="16"/>
      <c r="CE175" s="16"/>
      <c r="CF175" s="16"/>
      <c r="CG175" s="16"/>
      <c r="CH175" s="16"/>
      <c r="CI175" s="16"/>
      <c r="CJ175" s="16"/>
      <c r="CK175" s="16"/>
      <c r="CL175" s="16"/>
      <c r="CM175" s="16"/>
      <c r="CN175" s="16"/>
      <c r="CO175" s="16"/>
      <c r="CP175" s="16"/>
      <c r="CQ175" s="16"/>
      <c r="CR175" s="16"/>
      <c r="CS175" s="16"/>
      <c r="CT175" s="16"/>
      <c r="CU175" s="16"/>
      <c r="CV175" s="16"/>
      <c r="CW175" s="16"/>
      <c r="CX175" s="16"/>
      <c r="CY175" s="16"/>
      <c r="CZ175" s="16"/>
      <c r="DA175" s="16"/>
      <c r="DB175" s="16"/>
      <c r="DC175" s="16"/>
      <c r="DD175" s="16"/>
      <c r="DE175" s="16"/>
      <c r="DF175" s="16"/>
      <c r="DG175" s="16"/>
      <c r="DH175" s="16"/>
      <c r="DI175" s="16"/>
      <c r="DJ175" s="16"/>
      <c r="DK175" s="16"/>
      <c r="DL175" s="16"/>
      <c r="DM175" s="16"/>
      <c r="DN175" s="16"/>
      <c r="DO175" s="16"/>
      <c r="DP175" s="16"/>
      <c r="DQ175" s="16"/>
      <c r="DR175" s="16"/>
      <c r="DS175" s="16"/>
      <c r="DT175" s="16"/>
      <c r="DU175" s="16"/>
      <c r="DV175" s="16"/>
      <c r="DW175" s="16"/>
      <c r="DX175" s="16"/>
      <c r="DY175" s="16"/>
      <c r="DZ175" s="16"/>
      <c r="EA175" s="16"/>
      <c r="EB175" s="16"/>
      <c r="EC175" s="16"/>
      <c r="ED175" s="16"/>
      <c r="EE175" s="16"/>
    </row>
    <row r="176" spans="1:135" customFormat="1" x14ac:dyDescent="0.25">
      <c r="A176" s="211"/>
      <c r="B176" s="249"/>
      <c r="C176" s="142" t="str">
        <f t="shared" si="4"/>
        <v/>
      </c>
      <c r="D176" s="16"/>
      <c r="E176" s="16"/>
      <c r="F176" s="16"/>
      <c r="G176" s="16"/>
      <c r="H176" s="16"/>
      <c r="I176" s="262"/>
      <c r="J176" s="16"/>
      <c r="K176" s="16"/>
      <c r="L176" s="16"/>
      <c r="M176" s="16"/>
      <c r="O176" s="16"/>
      <c r="P176" s="16"/>
      <c r="Q176" s="16"/>
      <c r="R176" s="16"/>
      <c r="S176" s="16"/>
      <c r="T176" s="88"/>
      <c r="U176" s="88"/>
      <c r="Z176" s="88"/>
      <c r="AA176" s="88"/>
      <c r="AB176" s="16"/>
      <c r="AC176" s="16"/>
      <c r="AD176" s="21"/>
      <c r="AE176" s="16"/>
      <c r="AF176" s="16"/>
      <c r="AG176" s="16"/>
      <c r="AH176" s="16"/>
      <c r="AI176" s="16"/>
      <c r="AJ176" s="16"/>
      <c r="AK176" s="16"/>
      <c r="AL176" s="16"/>
      <c r="AM176" s="16"/>
      <c r="AN176" s="16"/>
      <c r="AO176" s="16"/>
      <c r="AP176" s="16"/>
      <c r="AQ176" s="16"/>
      <c r="AR176" s="16"/>
      <c r="AS176" s="16"/>
      <c r="AT176" s="16"/>
      <c r="AU176" s="16"/>
      <c r="AV176" s="16"/>
      <c r="AW176" s="16"/>
      <c r="AX176" s="16"/>
      <c r="AY176" s="16"/>
      <c r="AZ176" s="16"/>
      <c r="BA176" s="16"/>
      <c r="BB176" s="16"/>
      <c r="BC176" s="16"/>
      <c r="BD176" s="16"/>
      <c r="BE176" s="16"/>
      <c r="BF176" s="16"/>
      <c r="BG176" s="16"/>
      <c r="BH176" s="16"/>
      <c r="BI176" s="16"/>
      <c r="BJ176" s="16"/>
      <c r="BK176" s="16"/>
      <c r="BL176" s="16"/>
      <c r="BM176" s="16"/>
      <c r="BN176" s="16"/>
      <c r="BO176" s="16"/>
      <c r="BP176" s="16"/>
      <c r="BQ176" s="16"/>
      <c r="BR176" s="16"/>
      <c r="BS176" s="16"/>
      <c r="BT176" s="16"/>
      <c r="BU176" s="16"/>
      <c r="BV176" s="16"/>
      <c r="BW176" s="16"/>
      <c r="BX176" s="16"/>
      <c r="BY176" s="16"/>
      <c r="BZ176" s="16"/>
      <c r="CA176" s="16"/>
      <c r="CB176" s="16"/>
      <c r="CC176" s="16"/>
      <c r="CD176" s="16"/>
      <c r="CE176" s="16"/>
      <c r="CF176" s="16"/>
      <c r="CG176" s="16"/>
      <c r="CH176" s="16"/>
      <c r="CI176" s="16"/>
      <c r="CJ176" s="16"/>
      <c r="CK176" s="16"/>
      <c r="CL176" s="16"/>
      <c r="CM176" s="16"/>
      <c r="CN176" s="16"/>
      <c r="CO176" s="16"/>
      <c r="CP176" s="16"/>
      <c r="CQ176" s="16"/>
      <c r="CR176" s="16"/>
      <c r="CS176" s="16"/>
      <c r="CT176" s="16"/>
      <c r="CU176" s="16"/>
      <c r="CV176" s="16"/>
      <c r="CW176" s="16"/>
      <c r="CX176" s="16"/>
      <c r="CY176" s="16"/>
      <c r="CZ176" s="16"/>
      <c r="DA176" s="16"/>
      <c r="DB176" s="16"/>
      <c r="DC176" s="16"/>
      <c r="DD176" s="16"/>
      <c r="DE176" s="16"/>
      <c r="DF176" s="16"/>
      <c r="DG176" s="16"/>
      <c r="DH176" s="16"/>
      <c r="DI176" s="16"/>
      <c r="DJ176" s="16"/>
      <c r="DK176" s="16"/>
      <c r="DL176" s="16"/>
      <c r="DM176" s="16"/>
      <c r="DN176" s="16"/>
      <c r="DO176" s="16"/>
      <c r="DP176" s="16"/>
      <c r="DQ176" s="16"/>
      <c r="DR176" s="16"/>
      <c r="DS176" s="16"/>
      <c r="DT176" s="16"/>
      <c r="DU176" s="16"/>
      <c r="DV176" s="16"/>
      <c r="DW176" s="16"/>
      <c r="DX176" s="16"/>
      <c r="DY176" s="16"/>
      <c r="DZ176" s="16"/>
      <c r="EA176" s="16"/>
      <c r="EB176" s="16"/>
      <c r="EC176" s="16"/>
      <c r="ED176" s="16"/>
      <c r="EE176" s="16"/>
    </row>
    <row r="177" spans="1:135" customFormat="1" x14ac:dyDescent="0.25">
      <c r="A177" s="211"/>
      <c r="B177" s="249"/>
      <c r="C177" s="142" t="str">
        <f t="shared" si="4"/>
        <v/>
      </c>
      <c r="D177" s="16"/>
      <c r="E177" s="16"/>
      <c r="F177" s="16"/>
      <c r="G177" s="16"/>
      <c r="H177" s="16"/>
      <c r="I177" s="262"/>
      <c r="J177" s="16"/>
      <c r="K177" s="16"/>
      <c r="L177" s="16"/>
      <c r="M177" s="16"/>
      <c r="O177" s="16"/>
      <c r="P177" s="16"/>
      <c r="Q177" s="16"/>
      <c r="R177" s="16"/>
      <c r="S177" s="16"/>
      <c r="T177" s="88"/>
      <c r="Z177" s="88"/>
      <c r="AA177" s="88"/>
      <c r="AB177" s="16"/>
      <c r="AC177" s="16"/>
      <c r="AD177" s="21"/>
      <c r="AE177" s="16"/>
      <c r="AF177" s="16"/>
      <c r="AG177" s="16"/>
      <c r="AH177" s="16"/>
      <c r="AI177" s="16"/>
      <c r="AJ177" s="16"/>
      <c r="AK177" s="16"/>
      <c r="AL177" s="16"/>
      <c r="AM177" s="16"/>
      <c r="AN177" s="16"/>
      <c r="AO177" s="16"/>
      <c r="AP177" s="16"/>
      <c r="AQ177" s="16"/>
      <c r="AR177" s="16"/>
      <c r="AS177" s="16"/>
      <c r="AT177" s="16"/>
      <c r="AU177" s="16"/>
      <c r="AV177" s="16"/>
      <c r="AW177" s="16"/>
      <c r="AX177" s="16"/>
      <c r="AY177" s="16"/>
      <c r="AZ177" s="16"/>
      <c r="BA177" s="16"/>
      <c r="BB177" s="16"/>
      <c r="BC177" s="16"/>
      <c r="BD177" s="16"/>
      <c r="BE177" s="16"/>
      <c r="BF177" s="16"/>
      <c r="BG177" s="16"/>
      <c r="BH177" s="16"/>
      <c r="BI177" s="16"/>
      <c r="BJ177" s="16"/>
      <c r="BK177" s="16"/>
      <c r="BL177" s="16"/>
      <c r="BM177" s="16"/>
      <c r="BN177" s="16"/>
      <c r="BO177" s="16"/>
      <c r="BP177" s="16"/>
      <c r="BQ177" s="16"/>
      <c r="BR177" s="16"/>
      <c r="BS177" s="16"/>
      <c r="BT177" s="16"/>
      <c r="BU177" s="16"/>
      <c r="BV177" s="16"/>
      <c r="BW177" s="16"/>
      <c r="BX177" s="16"/>
      <c r="BY177" s="16"/>
      <c r="BZ177" s="16"/>
      <c r="CA177" s="16"/>
      <c r="CB177" s="16"/>
      <c r="CC177" s="16"/>
      <c r="CD177" s="16"/>
      <c r="CE177" s="16"/>
      <c r="CF177" s="16"/>
      <c r="CG177" s="16"/>
      <c r="CH177" s="16"/>
      <c r="CI177" s="16"/>
      <c r="CJ177" s="16"/>
      <c r="CK177" s="16"/>
      <c r="CL177" s="16"/>
      <c r="CM177" s="16"/>
      <c r="CN177" s="16"/>
      <c r="CO177" s="16"/>
      <c r="CP177" s="16"/>
      <c r="CQ177" s="16"/>
      <c r="CR177" s="16"/>
      <c r="CS177" s="16"/>
      <c r="CT177" s="16"/>
      <c r="CU177" s="16"/>
      <c r="CV177" s="16"/>
      <c r="CW177" s="16"/>
      <c r="CX177" s="16"/>
      <c r="CY177" s="16"/>
      <c r="CZ177" s="16"/>
      <c r="DA177" s="16"/>
      <c r="DB177" s="16"/>
      <c r="DC177" s="16"/>
      <c r="DD177" s="16"/>
      <c r="DE177" s="16"/>
      <c r="DF177" s="16"/>
      <c r="DG177" s="16"/>
      <c r="DH177" s="16"/>
      <c r="DI177" s="16"/>
      <c r="DJ177" s="16"/>
      <c r="DK177" s="16"/>
      <c r="DL177" s="16"/>
      <c r="DM177" s="16"/>
      <c r="DN177" s="16"/>
      <c r="DO177" s="16"/>
      <c r="DP177" s="16"/>
      <c r="DQ177" s="16"/>
      <c r="DR177" s="16"/>
      <c r="DS177" s="16"/>
      <c r="DT177" s="16"/>
      <c r="DU177" s="16"/>
      <c r="DV177" s="16"/>
      <c r="DW177" s="16"/>
      <c r="DX177" s="16"/>
      <c r="DY177" s="16"/>
      <c r="DZ177" s="16"/>
      <c r="EA177" s="16"/>
      <c r="EB177" s="16"/>
      <c r="EC177" s="16"/>
      <c r="ED177" s="16"/>
      <c r="EE177" s="16"/>
    </row>
    <row r="178" spans="1:135" customFormat="1" x14ac:dyDescent="0.25">
      <c r="A178" s="211"/>
      <c r="B178" s="249"/>
      <c r="C178" s="142" t="str">
        <f t="shared" si="4"/>
        <v/>
      </c>
      <c r="D178" s="16"/>
      <c r="E178" s="16"/>
      <c r="F178" s="16"/>
      <c r="G178" s="16"/>
      <c r="H178" s="16"/>
      <c r="I178" s="262"/>
      <c r="J178" s="16"/>
      <c r="K178" s="16"/>
      <c r="L178" s="16"/>
      <c r="M178" s="16"/>
      <c r="O178" s="16"/>
      <c r="P178" s="16"/>
      <c r="Q178" s="16"/>
      <c r="R178" s="16"/>
      <c r="S178" s="16"/>
      <c r="T178" s="88"/>
      <c r="Z178" s="88"/>
      <c r="AA178" s="88"/>
      <c r="AB178" s="16"/>
      <c r="AC178" s="16"/>
      <c r="AD178" s="21"/>
      <c r="AE178" s="16"/>
      <c r="AF178" s="16"/>
      <c r="AG178" s="16"/>
      <c r="AH178" s="16"/>
      <c r="AI178" s="16"/>
      <c r="AJ178" s="16"/>
      <c r="AK178" s="16"/>
      <c r="AL178" s="16"/>
      <c r="AM178" s="16"/>
      <c r="AN178" s="16"/>
      <c r="AO178" s="16"/>
      <c r="AP178" s="16"/>
      <c r="AQ178" s="16"/>
      <c r="AR178" s="16"/>
      <c r="AS178" s="16"/>
      <c r="AT178" s="16"/>
      <c r="AU178" s="16"/>
      <c r="AV178" s="16"/>
      <c r="AW178" s="16"/>
      <c r="AX178" s="16"/>
      <c r="AY178" s="16"/>
      <c r="AZ178" s="16"/>
      <c r="BA178" s="16"/>
      <c r="BB178" s="16"/>
      <c r="BC178" s="16"/>
      <c r="BD178" s="16"/>
      <c r="BE178" s="16"/>
      <c r="BF178" s="16"/>
      <c r="BG178" s="16"/>
      <c r="BH178" s="16"/>
      <c r="BI178" s="16"/>
      <c r="BJ178" s="16"/>
      <c r="BK178" s="16"/>
      <c r="BL178" s="16"/>
      <c r="BM178" s="16"/>
      <c r="BN178" s="16"/>
      <c r="BO178" s="16"/>
      <c r="BP178" s="16"/>
      <c r="BQ178" s="16"/>
      <c r="BR178" s="16"/>
      <c r="BS178" s="16"/>
      <c r="BT178" s="16"/>
      <c r="BU178" s="16"/>
      <c r="BV178" s="16"/>
      <c r="BW178" s="16"/>
      <c r="BX178" s="16"/>
      <c r="BY178" s="16"/>
      <c r="BZ178" s="16"/>
      <c r="CA178" s="16"/>
      <c r="CB178" s="16"/>
      <c r="CC178" s="16"/>
      <c r="CD178" s="16"/>
      <c r="CE178" s="16"/>
      <c r="CF178" s="16"/>
      <c r="CG178" s="16"/>
      <c r="CH178" s="16"/>
      <c r="CI178" s="16"/>
      <c r="CJ178" s="16"/>
      <c r="CK178" s="16"/>
      <c r="CL178" s="16"/>
      <c r="CM178" s="16"/>
      <c r="CN178" s="16"/>
      <c r="CO178" s="16"/>
      <c r="CP178" s="16"/>
      <c r="CQ178" s="16"/>
      <c r="CR178" s="16"/>
      <c r="CS178" s="16"/>
      <c r="CT178" s="16"/>
      <c r="CU178" s="16"/>
      <c r="CV178" s="16"/>
      <c r="CW178" s="16"/>
      <c r="CX178" s="16"/>
      <c r="CY178" s="16"/>
      <c r="CZ178" s="16"/>
      <c r="DA178" s="16"/>
      <c r="DB178" s="16"/>
      <c r="DC178" s="16"/>
      <c r="DD178" s="16"/>
      <c r="DE178" s="16"/>
      <c r="DF178" s="16"/>
      <c r="DG178" s="16"/>
      <c r="DH178" s="16"/>
      <c r="DI178" s="16"/>
      <c r="DJ178" s="16"/>
      <c r="DK178" s="16"/>
      <c r="DL178" s="16"/>
      <c r="DM178" s="16"/>
      <c r="DN178" s="16"/>
      <c r="DO178" s="16"/>
      <c r="DP178" s="16"/>
      <c r="DQ178" s="16"/>
      <c r="DR178" s="16"/>
      <c r="DS178" s="16"/>
      <c r="DT178" s="16"/>
      <c r="DU178" s="16"/>
      <c r="DV178" s="16"/>
      <c r="DW178" s="16"/>
      <c r="DX178" s="16"/>
      <c r="DY178" s="16"/>
      <c r="DZ178" s="16"/>
      <c r="EA178" s="16"/>
      <c r="EB178" s="16"/>
      <c r="EC178" s="16"/>
      <c r="ED178" s="16"/>
      <c r="EE178" s="16"/>
    </row>
    <row r="179" spans="1:135" customFormat="1" x14ac:dyDescent="0.25">
      <c r="A179" s="211"/>
      <c r="B179" s="249"/>
      <c r="C179" s="142" t="str">
        <f t="shared" si="4"/>
        <v/>
      </c>
      <c r="D179" s="16"/>
      <c r="E179" s="16"/>
      <c r="F179" s="16"/>
      <c r="G179" s="16"/>
      <c r="H179" s="16"/>
      <c r="I179" s="262"/>
      <c r="J179" s="16"/>
      <c r="K179" s="16"/>
      <c r="L179" s="16"/>
      <c r="M179" s="16"/>
      <c r="O179" s="16"/>
      <c r="P179" s="16"/>
      <c r="Q179" s="16"/>
      <c r="R179" s="16"/>
      <c r="S179" s="16"/>
      <c r="T179" s="88"/>
      <c r="Z179" s="88"/>
      <c r="AA179" s="88"/>
      <c r="AB179" s="16"/>
      <c r="AC179" s="16"/>
      <c r="AD179" s="21"/>
      <c r="AE179" s="16"/>
      <c r="AF179" s="16"/>
      <c r="AG179" s="16"/>
      <c r="AH179" s="16"/>
      <c r="AI179" s="16"/>
      <c r="AJ179" s="16"/>
      <c r="AK179" s="16"/>
      <c r="AL179" s="16"/>
      <c r="AM179" s="16"/>
      <c r="AN179" s="16"/>
      <c r="AO179" s="16"/>
      <c r="AP179" s="16"/>
      <c r="AQ179" s="16"/>
      <c r="AR179" s="16"/>
      <c r="AS179" s="16"/>
      <c r="AT179" s="16"/>
      <c r="AU179" s="16"/>
      <c r="AV179" s="16"/>
      <c r="AW179" s="16"/>
      <c r="AX179" s="16"/>
      <c r="AY179" s="16"/>
      <c r="AZ179" s="16"/>
      <c r="BA179" s="16"/>
      <c r="BB179" s="16"/>
      <c r="BC179" s="16"/>
      <c r="BD179" s="16"/>
      <c r="BE179" s="16"/>
      <c r="BF179" s="16"/>
      <c r="BG179" s="16"/>
      <c r="BH179" s="16"/>
      <c r="BI179" s="16"/>
      <c r="BJ179" s="16"/>
      <c r="BK179" s="16"/>
      <c r="BL179" s="16"/>
      <c r="BM179" s="16"/>
      <c r="BN179" s="16"/>
      <c r="BO179" s="16"/>
      <c r="BP179" s="16"/>
      <c r="BQ179" s="16"/>
      <c r="BR179" s="16"/>
      <c r="BS179" s="16"/>
      <c r="BT179" s="16"/>
      <c r="BU179" s="16"/>
      <c r="BV179" s="16"/>
      <c r="BW179" s="16"/>
      <c r="BX179" s="16"/>
      <c r="BY179" s="16"/>
      <c r="BZ179" s="16"/>
      <c r="CA179" s="16"/>
      <c r="CB179" s="16"/>
      <c r="CC179" s="16"/>
      <c r="CD179" s="16"/>
      <c r="CE179" s="16"/>
      <c r="CF179" s="16"/>
      <c r="CG179" s="16"/>
      <c r="CH179" s="16"/>
      <c r="CI179" s="16"/>
      <c r="CJ179" s="16"/>
      <c r="CK179" s="16"/>
      <c r="CL179" s="16"/>
      <c r="CM179" s="16"/>
      <c r="CN179" s="16"/>
      <c r="CO179" s="16"/>
      <c r="CP179" s="16"/>
      <c r="CQ179" s="16"/>
      <c r="CR179" s="16"/>
      <c r="CS179" s="16"/>
      <c r="CT179" s="16"/>
      <c r="CU179" s="16"/>
      <c r="CV179" s="16"/>
      <c r="CW179" s="16"/>
      <c r="CX179" s="16"/>
      <c r="CY179" s="16"/>
      <c r="CZ179" s="16"/>
      <c r="DA179" s="16"/>
      <c r="DB179" s="16"/>
      <c r="DC179" s="16"/>
      <c r="DD179" s="16"/>
      <c r="DE179" s="16"/>
      <c r="DF179" s="16"/>
      <c r="DG179" s="16"/>
      <c r="DH179" s="16"/>
      <c r="DI179" s="16"/>
      <c r="DJ179" s="16"/>
      <c r="DK179" s="16"/>
      <c r="DL179" s="16"/>
      <c r="DM179" s="16"/>
      <c r="DN179" s="16"/>
      <c r="DO179" s="16"/>
      <c r="DP179" s="16"/>
      <c r="DQ179" s="16"/>
      <c r="DR179" s="16"/>
      <c r="DS179" s="16"/>
      <c r="DT179" s="16"/>
      <c r="DU179" s="16"/>
      <c r="DV179" s="16"/>
      <c r="DW179" s="16"/>
      <c r="DX179" s="16"/>
      <c r="DY179" s="16"/>
      <c r="DZ179" s="16"/>
      <c r="EA179" s="16"/>
      <c r="EB179" s="16"/>
      <c r="EC179" s="16"/>
      <c r="ED179" s="16"/>
      <c r="EE179" s="16"/>
    </row>
    <row r="180" spans="1:135" x14ac:dyDescent="0.25">
      <c r="A180" s="211"/>
      <c r="B180" s="249"/>
      <c r="C180" s="142" t="str">
        <f t="shared" si="4"/>
        <v/>
      </c>
      <c r="N180"/>
    </row>
    <row r="181" spans="1:135" x14ac:dyDescent="0.25">
      <c r="A181" s="211"/>
      <c r="B181" s="249"/>
      <c r="C181" s="142" t="str">
        <f t="shared" si="4"/>
        <v/>
      </c>
      <c r="N181"/>
    </row>
    <row r="182" spans="1:135" x14ac:dyDescent="0.25">
      <c r="A182" s="211"/>
      <c r="B182" s="249"/>
      <c r="C182" s="142" t="str">
        <f t="shared" si="4"/>
        <v/>
      </c>
      <c r="N182"/>
    </row>
    <row r="183" spans="1:135" x14ac:dyDescent="0.25">
      <c r="A183" s="211"/>
      <c r="B183" s="249"/>
      <c r="C183" s="142" t="str">
        <f t="shared" si="4"/>
        <v/>
      </c>
      <c r="N183"/>
    </row>
    <row r="184" spans="1:135" x14ac:dyDescent="0.25">
      <c r="A184" s="211"/>
      <c r="B184" s="249"/>
      <c r="C184" s="142" t="str">
        <f t="shared" si="4"/>
        <v/>
      </c>
      <c r="N184"/>
    </row>
    <row r="185" spans="1:135" x14ac:dyDescent="0.25">
      <c r="A185" s="211"/>
      <c r="B185" s="249"/>
      <c r="C185" s="142" t="str">
        <f t="shared" si="4"/>
        <v/>
      </c>
      <c r="N185"/>
    </row>
    <row r="186" spans="1:135" x14ac:dyDescent="0.25">
      <c r="A186" s="211"/>
      <c r="B186" s="249"/>
      <c r="C186" s="142" t="str">
        <f t="shared" si="4"/>
        <v/>
      </c>
      <c r="N186"/>
    </row>
    <row r="187" spans="1:135" x14ac:dyDescent="0.25">
      <c r="A187" s="211"/>
      <c r="B187" s="249"/>
      <c r="C187" s="142" t="str">
        <f t="shared" si="4"/>
        <v/>
      </c>
      <c r="N187"/>
    </row>
    <row r="188" spans="1:135" x14ac:dyDescent="0.25">
      <c r="A188" s="211"/>
      <c r="B188" s="249"/>
      <c r="C188" s="142" t="str">
        <f t="shared" si="4"/>
        <v/>
      </c>
      <c r="N188"/>
    </row>
    <row r="189" spans="1:135" x14ac:dyDescent="0.25">
      <c r="A189" s="211"/>
      <c r="B189" s="249"/>
      <c r="C189" s="142" t="str">
        <f t="shared" si="4"/>
        <v/>
      </c>
      <c r="N189"/>
    </row>
    <row r="190" spans="1:135" x14ac:dyDescent="0.25">
      <c r="A190" s="211"/>
      <c r="B190" s="249"/>
      <c r="C190" s="142" t="str">
        <f t="shared" si="4"/>
        <v/>
      </c>
      <c r="N190"/>
    </row>
    <row r="191" spans="1:135" x14ac:dyDescent="0.25">
      <c r="A191" s="211"/>
      <c r="B191" s="249"/>
      <c r="C191" s="142" t="str">
        <f t="shared" si="4"/>
        <v/>
      </c>
      <c r="N191"/>
    </row>
    <row r="192" spans="1:135" x14ac:dyDescent="0.25">
      <c r="A192" s="211"/>
      <c r="B192" s="249"/>
      <c r="C192" s="142" t="str">
        <f t="shared" si="4"/>
        <v/>
      </c>
      <c r="N192"/>
    </row>
    <row r="193" spans="1:14" x14ac:dyDescent="0.25">
      <c r="A193" s="211"/>
      <c r="B193" s="249"/>
      <c r="C193" s="142" t="str">
        <f t="shared" si="4"/>
        <v/>
      </c>
      <c r="N193"/>
    </row>
    <row r="194" spans="1:14" x14ac:dyDescent="0.25">
      <c r="A194" s="211"/>
      <c r="B194" s="249"/>
      <c r="C194" s="142" t="str">
        <f t="shared" si="4"/>
        <v/>
      </c>
      <c r="N194"/>
    </row>
    <row r="195" spans="1:14" x14ac:dyDescent="0.25">
      <c r="A195" s="211"/>
      <c r="B195" s="249"/>
      <c r="C195" s="142" t="str">
        <f t="shared" si="4"/>
        <v/>
      </c>
      <c r="N195"/>
    </row>
    <row r="196" spans="1:14" x14ac:dyDescent="0.25">
      <c r="A196" s="211"/>
      <c r="B196" s="249"/>
      <c r="C196" s="142" t="str">
        <f t="shared" si="4"/>
        <v/>
      </c>
      <c r="N196"/>
    </row>
    <row r="197" spans="1:14" x14ac:dyDescent="0.25">
      <c r="A197" s="211"/>
      <c r="B197" s="249"/>
      <c r="C197" s="142" t="str">
        <f t="shared" si="4"/>
        <v/>
      </c>
      <c r="N197"/>
    </row>
    <row r="198" spans="1:14" x14ac:dyDescent="0.25">
      <c r="A198" s="211"/>
      <c r="B198" s="249"/>
      <c r="C198" s="142" t="str">
        <f t="shared" si="4"/>
        <v/>
      </c>
      <c r="N198"/>
    </row>
    <row r="199" spans="1:14" x14ac:dyDescent="0.25">
      <c r="A199" s="211"/>
      <c r="B199" s="249"/>
      <c r="C199" s="142" t="str">
        <f t="shared" si="4"/>
        <v/>
      </c>
      <c r="N199"/>
    </row>
    <row r="200" spans="1:14" x14ac:dyDescent="0.25">
      <c r="A200" s="211"/>
      <c r="B200" s="249"/>
      <c r="C200" s="142" t="str">
        <f t="shared" si="4"/>
        <v/>
      </c>
      <c r="N200"/>
    </row>
    <row r="201" spans="1:14" x14ac:dyDescent="0.25">
      <c r="A201" s="211"/>
      <c r="B201" s="249"/>
      <c r="C201" s="142" t="str">
        <f t="shared" si="4"/>
        <v/>
      </c>
      <c r="N201"/>
    </row>
    <row r="202" spans="1:14" x14ac:dyDescent="0.25">
      <c r="A202" s="211"/>
      <c r="B202" s="249"/>
      <c r="C202" s="142" t="str">
        <f t="shared" si="4"/>
        <v/>
      </c>
      <c r="N202"/>
    </row>
    <row r="203" spans="1:14" x14ac:dyDescent="0.25">
      <c r="A203" s="211"/>
      <c r="B203" s="249"/>
      <c r="C203" s="142" t="str">
        <f t="shared" si="4"/>
        <v/>
      </c>
      <c r="N203"/>
    </row>
    <row r="204" spans="1:14" x14ac:dyDescent="0.25">
      <c r="A204" s="211"/>
      <c r="B204" s="249"/>
      <c r="C204" s="142" t="str">
        <f t="shared" si="4"/>
        <v/>
      </c>
      <c r="N204"/>
    </row>
    <row r="205" spans="1:14" x14ac:dyDescent="0.25">
      <c r="A205" s="211"/>
      <c r="B205" s="249"/>
      <c r="C205" s="142" t="str">
        <f t="shared" si="4"/>
        <v/>
      </c>
      <c r="N205"/>
    </row>
    <row r="206" spans="1:14" x14ac:dyDescent="0.25">
      <c r="A206" s="211"/>
      <c r="B206" s="249"/>
      <c r="C206" s="142" t="str">
        <f t="shared" si="4"/>
        <v/>
      </c>
      <c r="N206"/>
    </row>
    <row r="207" spans="1:14" x14ac:dyDescent="0.25">
      <c r="A207" s="211"/>
      <c r="B207" s="249"/>
      <c r="C207" s="142" t="str">
        <f t="shared" si="4"/>
        <v/>
      </c>
      <c r="N207"/>
    </row>
    <row r="208" spans="1:14" x14ac:dyDescent="0.25">
      <c r="A208" s="211"/>
      <c r="B208" s="249"/>
      <c r="C208" s="142" t="str">
        <f t="shared" si="4"/>
        <v/>
      </c>
      <c r="N208"/>
    </row>
    <row r="209" spans="1:14" x14ac:dyDescent="0.25">
      <c r="A209" s="211"/>
      <c r="B209" s="249"/>
      <c r="C209" s="142" t="str">
        <f t="shared" si="4"/>
        <v/>
      </c>
      <c r="N209"/>
    </row>
    <row r="210" spans="1:14" x14ac:dyDescent="0.25">
      <c r="A210" s="211"/>
      <c r="B210" s="249"/>
      <c r="C210" s="142" t="str">
        <f t="shared" si="4"/>
        <v/>
      </c>
      <c r="N210"/>
    </row>
    <row r="211" spans="1:14" x14ac:dyDescent="0.25">
      <c r="A211" s="211"/>
      <c r="B211" s="249"/>
      <c r="C211" s="142" t="str">
        <f t="shared" si="4"/>
        <v/>
      </c>
      <c r="N211"/>
    </row>
    <row r="212" spans="1:14" x14ac:dyDescent="0.25">
      <c r="A212" s="211"/>
      <c r="B212" s="249"/>
      <c r="C212" s="142" t="str">
        <f t="shared" si="4"/>
        <v/>
      </c>
      <c r="N212"/>
    </row>
    <row r="213" spans="1:14" x14ac:dyDescent="0.25">
      <c r="A213" s="211"/>
      <c r="B213" s="249"/>
      <c r="C213" s="142" t="str">
        <f t="shared" si="4"/>
        <v/>
      </c>
      <c r="N213"/>
    </row>
    <row r="214" spans="1:14" x14ac:dyDescent="0.25">
      <c r="A214" s="211"/>
      <c r="B214" s="249"/>
      <c r="C214" s="142" t="str">
        <f t="shared" si="4"/>
        <v/>
      </c>
      <c r="N214"/>
    </row>
    <row r="215" spans="1:14" x14ac:dyDescent="0.25">
      <c r="A215" s="211"/>
      <c r="B215" s="249"/>
      <c r="C215" s="142" t="str">
        <f t="shared" si="4"/>
        <v/>
      </c>
      <c r="N215"/>
    </row>
    <row r="216" spans="1:14" x14ac:dyDescent="0.25">
      <c r="A216" s="211"/>
      <c r="B216" s="249"/>
      <c r="C216" s="142" t="str">
        <f t="shared" si="4"/>
        <v/>
      </c>
      <c r="N216"/>
    </row>
    <row r="217" spans="1:14" x14ac:dyDescent="0.25">
      <c r="A217" s="211"/>
      <c r="B217" s="249"/>
      <c r="C217" s="142" t="str">
        <f t="shared" si="4"/>
        <v/>
      </c>
      <c r="N217"/>
    </row>
    <row r="218" spans="1:14" x14ac:dyDescent="0.25">
      <c r="A218" s="211"/>
      <c r="B218" s="249"/>
      <c r="C218" s="142" t="str">
        <f t="shared" si="4"/>
        <v/>
      </c>
      <c r="N218"/>
    </row>
    <row r="219" spans="1:14" x14ac:dyDescent="0.25">
      <c r="A219" s="211"/>
      <c r="B219" s="249"/>
      <c r="C219" s="142" t="str">
        <f t="shared" ref="C219:C282" si="5">+IFERROR(IF(B219="","",(VLOOKUP(B219,$F$2:$H$55,3,0))),"State Wrong")</f>
        <v/>
      </c>
      <c r="N219"/>
    </row>
    <row r="220" spans="1:14" x14ac:dyDescent="0.25">
      <c r="A220" s="211"/>
      <c r="B220" s="249"/>
      <c r="C220" s="142" t="str">
        <f t="shared" si="5"/>
        <v/>
      </c>
    </row>
    <row r="221" spans="1:14" x14ac:dyDescent="0.25">
      <c r="A221" s="211"/>
      <c r="B221" s="249"/>
      <c r="C221" s="142" t="str">
        <f t="shared" si="5"/>
        <v/>
      </c>
    </row>
    <row r="222" spans="1:14" x14ac:dyDescent="0.25">
      <c r="A222" s="211"/>
      <c r="B222" s="249"/>
      <c r="C222" s="142" t="str">
        <f t="shared" si="5"/>
        <v/>
      </c>
    </row>
    <row r="223" spans="1:14" x14ac:dyDescent="0.25">
      <c r="A223" s="211"/>
      <c r="B223" s="249"/>
      <c r="C223" s="142" t="str">
        <f t="shared" si="5"/>
        <v/>
      </c>
    </row>
    <row r="224" spans="1:14" x14ac:dyDescent="0.25">
      <c r="A224" s="211"/>
      <c r="B224" s="249"/>
      <c r="C224" s="142" t="str">
        <f t="shared" si="5"/>
        <v/>
      </c>
    </row>
    <row r="225" spans="1:3" x14ac:dyDescent="0.25">
      <c r="A225" s="211"/>
      <c r="B225" s="249"/>
      <c r="C225" s="142" t="str">
        <f t="shared" si="5"/>
        <v/>
      </c>
    </row>
    <row r="226" spans="1:3" x14ac:dyDescent="0.25">
      <c r="A226" s="211"/>
      <c r="B226" s="249"/>
      <c r="C226" s="142" t="str">
        <f t="shared" si="5"/>
        <v/>
      </c>
    </row>
    <row r="227" spans="1:3" x14ac:dyDescent="0.25">
      <c r="A227" s="211"/>
      <c r="B227" s="249"/>
      <c r="C227" s="142" t="str">
        <f t="shared" si="5"/>
        <v/>
      </c>
    </row>
    <row r="228" spans="1:3" x14ac:dyDescent="0.25">
      <c r="A228" s="211"/>
      <c r="B228" s="249"/>
      <c r="C228" s="142" t="str">
        <f t="shared" si="5"/>
        <v/>
      </c>
    </row>
    <row r="229" spans="1:3" x14ac:dyDescent="0.25">
      <c r="A229" s="211"/>
      <c r="B229" s="249"/>
      <c r="C229" s="142" t="str">
        <f t="shared" si="5"/>
        <v/>
      </c>
    </row>
    <row r="230" spans="1:3" x14ac:dyDescent="0.25">
      <c r="A230" s="211"/>
      <c r="B230" s="249"/>
      <c r="C230" s="142" t="str">
        <f t="shared" si="5"/>
        <v/>
      </c>
    </row>
    <row r="231" spans="1:3" x14ac:dyDescent="0.25">
      <c r="A231" s="211"/>
      <c r="B231" s="249"/>
      <c r="C231" s="142" t="str">
        <f t="shared" si="5"/>
        <v/>
      </c>
    </row>
    <row r="232" spans="1:3" x14ac:dyDescent="0.25">
      <c r="A232" s="211"/>
      <c r="B232" s="249"/>
      <c r="C232" s="142" t="str">
        <f t="shared" si="5"/>
        <v/>
      </c>
    </row>
    <row r="233" spans="1:3" x14ac:dyDescent="0.25">
      <c r="A233" s="211"/>
      <c r="B233" s="249"/>
      <c r="C233" s="142" t="str">
        <f t="shared" si="5"/>
        <v/>
      </c>
    </row>
    <row r="234" spans="1:3" x14ac:dyDescent="0.25">
      <c r="A234" s="211"/>
      <c r="B234" s="249"/>
      <c r="C234" s="142" t="str">
        <f t="shared" si="5"/>
        <v/>
      </c>
    </row>
    <row r="235" spans="1:3" x14ac:dyDescent="0.25">
      <c r="A235" s="211"/>
      <c r="B235" s="249"/>
      <c r="C235" s="142" t="str">
        <f t="shared" si="5"/>
        <v/>
      </c>
    </row>
    <row r="236" spans="1:3" x14ac:dyDescent="0.25">
      <c r="A236" s="211"/>
      <c r="B236" s="249"/>
      <c r="C236" s="142" t="str">
        <f t="shared" si="5"/>
        <v/>
      </c>
    </row>
    <row r="237" spans="1:3" x14ac:dyDescent="0.25">
      <c r="A237" s="211"/>
      <c r="B237" s="249"/>
      <c r="C237" s="142" t="str">
        <f t="shared" si="5"/>
        <v/>
      </c>
    </row>
    <row r="238" spans="1:3" x14ac:dyDescent="0.25">
      <c r="A238" s="211"/>
      <c r="B238" s="249"/>
      <c r="C238" s="142" t="str">
        <f t="shared" si="5"/>
        <v/>
      </c>
    </row>
    <row r="239" spans="1:3" x14ac:dyDescent="0.25">
      <c r="A239" s="211"/>
      <c r="B239" s="249"/>
      <c r="C239" s="142" t="str">
        <f t="shared" si="5"/>
        <v/>
      </c>
    </row>
    <row r="240" spans="1:3" x14ac:dyDescent="0.25">
      <c r="A240" s="211"/>
      <c r="B240" s="249"/>
      <c r="C240" s="142" t="str">
        <f t="shared" si="5"/>
        <v/>
      </c>
    </row>
    <row r="241" spans="1:3" x14ac:dyDescent="0.25">
      <c r="A241" s="211"/>
      <c r="B241" s="249"/>
      <c r="C241" s="142" t="str">
        <f t="shared" si="5"/>
        <v/>
      </c>
    </row>
    <row r="242" spans="1:3" x14ac:dyDescent="0.25">
      <c r="A242" s="211"/>
      <c r="B242" s="249"/>
      <c r="C242" s="142" t="str">
        <f t="shared" si="5"/>
        <v/>
      </c>
    </row>
    <row r="243" spans="1:3" x14ac:dyDescent="0.25">
      <c r="A243" s="211"/>
      <c r="B243" s="249"/>
      <c r="C243" s="142" t="str">
        <f t="shared" si="5"/>
        <v/>
      </c>
    </row>
    <row r="244" spans="1:3" x14ac:dyDescent="0.25">
      <c r="A244" s="211"/>
      <c r="B244" s="249"/>
      <c r="C244" s="142" t="str">
        <f t="shared" si="5"/>
        <v/>
      </c>
    </row>
    <row r="245" spans="1:3" x14ac:dyDescent="0.25">
      <c r="A245" s="211"/>
      <c r="B245" s="249"/>
      <c r="C245" s="142" t="str">
        <f t="shared" si="5"/>
        <v/>
      </c>
    </row>
    <row r="246" spans="1:3" x14ac:dyDescent="0.25">
      <c r="A246" s="211"/>
      <c r="B246" s="249"/>
      <c r="C246" s="142" t="str">
        <f t="shared" si="5"/>
        <v/>
      </c>
    </row>
    <row r="247" spans="1:3" x14ac:dyDescent="0.25">
      <c r="A247" s="211"/>
      <c r="B247" s="249"/>
      <c r="C247" s="142" t="str">
        <f t="shared" si="5"/>
        <v/>
      </c>
    </row>
    <row r="248" spans="1:3" x14ac:dyDescent="0.25">
      <c r="A248" s="211"/>
      <c r="B248" s="249"/>
      <c r="C248" s="142" t="str">
        <f t="shared" si="5"/>
        <v/>
      </c>
    </row>
    <row r="249" spans="1:3" x14ac:dyDescent="0.25">
      <c r="A249" s="211"/>
      <c r="B249" s="249"/>
      <c r="C249" s="142" t="str">
        <f t="shared" si="5"/>
        <v/>
      </c>
    </row>
    <row r="250" spans="1:3" x14ac:dyDescent="0.25">
      <c r="A250" s="211"/>
      <c r="B250" s="249"/>
      <c r="C250" s="142" t="str">
        <f t="shared" si="5"/>
        <v/>
      </c>
    </row>
    <row r="251" spans="1:3" x14ac:dyDescent="0.25">
      <c r="A251" s="211"/>
      <c r="B251" s="249"/>
      <c r="C251" s="142" t="str">
        <f t="shared" si="5"/>
        <v/>
      </c>
    </row>
    <row r="252" spans="1:3" x14ac:dyDescent="0.25">
      <c r="A252" s="211"/>
      <c r="B252" s="249"/>
      <c r="C252" s="142" t="str">
        <f t="shared" si="5"/>
        <v/>
      </c>
    </row>
    <row r="253" spans="1:3" x14ac:dyDescent="0.25">
      <c r="A253" s="211"/>
      <c r="B253" s="249"/>
      <c r="C253" s="142" t="str">
        <f t="shared" si="5"/>
        <v/>
      </c>
    </row>
    <row r="254" spans="1:3" x14ac:dyDescent="0.25">
      <c r="A254" s="211"/>
      <c r="B254" s="249"/>
      <c r="C254" s="142" t="str">
        <f t="shared" si="5"/>
        <v/>
      </c>
    </row>
    <row r="255" spans="1:3" x14ac:dyDescent="0.25">
      <c r="A255" s="211"/>
      <c r="B255" s="249"/>
      <c r="C255" s="142" t="str">
        <f t="shared" si="5"/>
        <v/>
      </c>
    </row>
    <row r="256" spans="1:3" x14ac:dyDescent="0.25">
      <c r="A256" s="211"/>
      <c r="B256" s="249"/>
      <c r="C256" s="142" t="str">
        <f t="shared" si="5"/>
        <v/>
      </c>
    </row>
    <row r="257" spans="1:3" x14ac:dyDescent="0.25">
      <c r="A257" s="211"/>
      <c r="B257" s="249"/>
      <c r="C257" s="142" t="str">
        <f t="shared" si="5"/>
        <v/>
      </c>
    </row>
    <row r="258" spans="1:3" x14ac:dyDescent="0.25">
      <c r="A258" s="211"/>
      <c r="B258" s="249"/>
      <c r="C258" s="142" t="str">
        <f t="shared" si="5"/>
        <v/>
      </c>
    </row>
    <row r="259" spans="1:3" x14ac:dyDescent="0.25">
      <c r="A259" s="211"/>
      <c r="B259" s="249"/>
      <c r="C259" s="142" t="str">
        <f t="shared" si="5"/>
        <v/>
      </c>
    </row>
    <row r="260" spans="1:3" x14ac:dyDescent="0.25">
      <c r="A260" s="211"/>
      <c r="B260" s="249"/>
      <c r="C260" s="142" t="str">
        <f t="shared" si="5"/>
        <v/>
      </c>
    </row>
    <row r="261" spans="1:3" x14ac:dyDescent="0.25">
      <c r="A261" s="211"/>
      <c r="B261" s="249"/>
      <c r="C261" s="142" t="str">
        <f t="shared" si="5"/>
        <v/>
      </c>
    </row>
    <row r="262" spans="1:3" x14ac:dyDescent="0.25">
      <c r="A262" s="211"/>
      <c r="B262" s="249"/>
      <c r="C262" s="142" t="str">
        <f t="shared" si="5"/>
        <v/>
      </c>
    </row>
    <row r="263" spans="1:3" x14ac:dyDescent="0.25">
      <c r="A263" s="211"/>
      <c r="B263" s="249"/>
      <c r="C263" s="142" t="str">
        <f t="shared" si="5"/>
        <v/>
      </c>
    </row>
    <row r="264" spans="1:3" x14ac:dyDescent="0.25">
      <c r="A264" s="211"/>
      <c r="B264" s="249"/>
      <c r="C264" s="142" t="str">
        <f t="shared" si="5"/>
        <v/>
      </c>
    </row>
    <row r="265" spans="1:3" x14ac:dyDescent="0.25">
      <c r="A265" s="211"/>
      <c r="B265" s="249"/>
      <c r="C265" s="142" t="str">
        <f t="shared" si="5"/>
        <v/>
      </c>
    </row>
    <row r="266" spans="1:3" x14ac:dyDescent="0.25">
      <c r="A266" s="211"/>
      <c r="B266" s="249"/>
      <c r="C266" s="142" t="str">
        <f t="shared" si="5"/>
        <v/>
      </c>
    </row>
    <row r="267" spans="1:3" x14ac:dyDescent="0.25">
      <c r="A267" s="211"/>
      <c r="B267" s="249"/>
      <c r="C267" s="142" t="str">
        <f t="shared" si="5"/>
        <v/>
      </c>
    </row>
    <row r="268" spans="1:3" x14ac:dyDescent="0.25">
      <c r="A268" s="211"/>
      <c r="B268" s="249"/>
      <c r="C268" s="142" t="str">
        <f t="shared" si="5"/>
        <v/>
      </c>
    </row>
    <row r="269" spans="1:3" x14ac:dyDescent="0.25">
      <c r="A269" s="211"/>
      <c r="B269" s="249"/>
      <c r="C269" s="142" t="str">
        <f t="shared" si="5"/>
        <v/>
      </c>
    </row>
    <row r="270" spans="1:3" x14ac:dyDescent="0.25">
      <c r="A270" s="211"/>
      <c r="B270" s="249"/>
      <c r="C270" s="142" t="str">
        <f t="shared" si="5"/>
        <v/>
      </c>
    </row>
    <row r="271" spans="1:3" x14ac:dyDescent="0.25">
      <c r="A271" s="211"/>
      <c r="B271" s="249"/>
      <c r="C271" s="142" t="str">
        <f t="shared" si="5"/>
        <v/>
      </c>
    </row>
    <row r="272" spans="1:3" x14ac:dyDescent="0.25">
      <c r="A272" s="211"/>
      <c r="B272" s="249"/>
      <c r="C272" s="142" t="str">
        <f t="shared" si="5"/>
        <v/>
      </c>
    </row>
    <row r="273" spans="1:21" x14ac:dyDescent="0.25">
      <c r="A273" s="211"/>
      <c r="B273" s="249"/>
      <c r="C273" s="142" t="str">
        <f t="shared" si="5"/>
        <v/>
      </c>
    </row>
    <row r="274" spans="1:21" x14ac:dyDescent="0.25">
      <c r="A274" s="211"/>
      <c r="B274" s="249"/>
      <c r="C274" s="142" t="str">
        <f t="shared" si="5"/>
        <v/>
      </c>
    </row>
    <row r="275" spans="1:21" x14ac:dyDescent="0.25">
      <c r="A275" s="211"/>
      <c r="B275" s="249"/>
      <c r="C275" s="142" t="str">
        <f t="shared" si="5"/>
        <v/>
      </c>
    </row>
    <row r="276" spans="1:21" x14ac:dyDescent="0.25">
      <c r="A276" s="211"/>
      <c r="B276" s="249"/>
      <c r="C276" s="142" t="str">
        <f t="shared" si="5"/>
        <v/>
      </c>
    </row>
    <row r="277" spans="1:21" x14ac:dyDescent="0.25">
      <c r="A277" s="211"/>
      <c r="B277" s="249"/>
      <c r="C277" s="142" t="str">
        <f t="shared" si="5"/>
        <v/>
      </c>
    </row>
    <row r="278" spans="1:21" x14ac:dyDescent="0.25">
      <c r="A278" s="211"/>
      <c r="B278" s="249"/>
      <c r="C278" s="142" t="str">
        <f t="shared" si="5"/>
        <v/>
      </c>
    </row>
    <row r="279" spans="1:21" x14ac:dyDescent="0.25">
      <c r="A279" s="211"/>
      <c r="B279" s="249"/>
      <c r="C279" s="142" t="str">
        <f t="shared" si="5"/>
        <v/>
      </c>
    </row>
    <row r="280" spans="1:21" x14ac:dyDescent="0.25">
      <c r="A280" s="211"/>
      <c r="B280" s="249"/>
      <c r="C280" s="142" t="str">
        <f t="shared" si="5"/>
        <v/>
      </c>
    </row>
    <row r="281" spans="1:21" x14ac:dyDescent="0.25">
      <c r="A281" s="211"/>
      <c r="B281" s="249"/>
      <c r="C281" s="142" t="str">
        <f t="shared" si="5"/>
        <v/>
      </c>
    </row>
    <row r="282" spans="1:21" x14ac:dyDescent="0.25">
      <c r="A282" s="211"/>
      <c r="B282" s="249"/>
      <c r="C282" s="142" t="str">
        <f t="shared" si="5"/>
        <v/>
      </c>
    </row>
    <row r="283" spans="1:21" x14ac:dyDescent="0.25">
      <c r="A283" s="211"/>
      <c r="B283" s="249"/>
      <c r="C283" s="142" t="str">
        <f t="shared" ref="C283:C346" si="6">+IFERROR(IF(B283="","",(VLOOKUP(B283,$F$2:$H$55,3,0))),"State Wrong")</f>
        <v/>
      </c>
    </row>
    <row r="284" spans="1:21" x14ac:dyDescent="0.25">
      <c r="A284" s="211"/>
      <c r="B284" s="249"/>
      <c r="C284" s="142" t="str">
        <f t="shared" si="6"/>
        <v/>
      </c>
    </row>
    <row r="285" spans="1:21" x14ac:dyDescent="0.25">
      <c r="A285" s="211"/>
      <c r="B285" s="249"/>
      <c r="C285" s="142" t="str">
        <f t="shared" si="6"/>
        <v/>
      </c>
    </row>
    <row r="286" spans="1:21" x14ac:dyDescent="0.25">
      <c r="A286" s="211"/>
      <c r="B286" s="249"/>
      <c r="C286" s="142" t="str">
        <f t="shared" si="6"/>
        <v/>
      </c>
      <c r="U286" s="83"/>
    </row>
    <row r="287" spans="1:21" x14ac:dyDescent="0.25">
      <c r="A287" s="211"/>
      <c r="B287" s="249"/>
      <c r="C287" s="142" t="str">
        <f t="shared" si="6"/>
        <v/>
      </c>
    </row>
    <row r="288" spans="1:21" x14ac:dyDescent="0.25">
      <c r="A288" s="211"/>
      <c r="B288" s="249"/>
      <c r="C288" s="142" t="str">
        <f t="shared" si="6"/>
        <v/>
      </c>
    </row>
    <row r="289" spans="1:3" x14ac:dyDescent="0.25">
      <c r="A289" s="211"/>
      <c r="B289" s="249"/>
      <c r="C289" s="142" t="str">
        <f t="shared" si="6"/>
        <v/>
      </c>
    </row>
    <row r="290" spans="1:3" x14ac:dyDescent="0.25">
      <c r="A290" s="211"/>
      <c r="B290" s="249"/>
      <c r="C290" s="142" t="str">
        <f t="shared" si="6"/>
        <v/>
      </c>
    </row>
    <row r="291" spans="1:3" x14ac:dyDescent="0.25">
      <c r="A291" s="211"/>
      <c r="B291" s="249"/>
      <c r="C291" s="142" t="str">
        <f t="shared" si="6"/>
        <v/>
      </c>
    </row>
    <row r="292" spans="1:3" x14ac:dyDescent="0.25">
      <c r="A292" s="211"/>
      <c r="B292" s="249"/>
      <c r="C292" s="142" t="str">
        <f t="shared" si="6"/>
        <v/>
      </c>
    </row>
    <row r="293" spans="1:3" x14ac:dyDescent="0.25">
      <c r="A293" s="211"/>
      <c r="B293" s="249"/>
      <c r="C293" s="142" t="str">
        <f t="shared" si="6"/>
        <v/>
      </c>
    </row>
    <row r="294" spans="1:3" x14ac:dyDescent="0.25">
      <c r="A294" s="211"/>
      <c r="B294" s="249"/>
      <c r="C294" s="142" t="str">
        <f t="shared" si="6"/>
        <v/>
      </c>
    </row>
    <row r="295" spans="1:3" x14ac:dyDescent="0.25">
      <c r="A295" s="211"/>
      <c r="B295" s="249"/>
      <c r="C295" s="142" t="str">
        <f t="shared" si="6"/>
        <v/>
      </c>
    </row>
    <row r="296" spans="1:3" x14ac:dyDescent="0.25">
      <c r="A296" s="211"/>
      <c r="B296" s="249"/>
      <c r="C296" s="142" t="str">
        <f t="shared" si="6"/>
        <v/>
      </c>
    </row>
    <row r="297" spans="1:3" x14ac:dyDescent="0.25">
      <c r="A297" s="211"/>
      <c r="B297" s="249"/>
      <c r="C297" s="142" t="str">
        <f t="shared" si="6"/>
        <v/>
      </c>
    </row>
    <row r="298" spans="1:3" x14ac:dyDescent="0.25">
      <c r="A298" s="211"/>
      <c r="B298" s="249"/>
      <c r="C298" s="142" t="str">
        <f t="shared" si="6"/>
        <v/>
      </c>
    </row>
    <row r="299" spans="1:3" x14ac:dyDescent="0.25">
      <c r="A299" s="211"/>
      <c r="B299" s="249"/>
      <c r="C299" s="142" t="str">
        <f t="shared" si="6"/>
        <v/>
      </c>
    </row>
    <row r="300" spans="1:3" x14ac:dyDescent="0.25">
      <c r="A300" s="211"/>
      <c r="B300" s="249"/>
      <c r="C300" s="142" t="str">
        <f t="shared" si="6"/>
        <v/>
      </c>
    </row>
    <row r="301" spans="1:3" x14ac:dyDescent="0.25">
      <c r="A301" s="211"/>
      <c r="B301" s="249"/>
      <c r="C301" s="142" t="str">
        <f t="shared" si="6"/>
        <v/>
      </c>
    </row>
    <row r="302" spans="1:3" x14ac:dyDescent="0.25">
      <c r="A302" s="211"/>
      <c r="B302" s="249"/>
      <c r="C302" s="142" t="str">
        <f t="shared" si="6"/>
        <v/>
      </c>
    </row>
    <row r="303" spans="1:3" x14ac:dyDescent="0.25">
      <c r="A303" s="211"/>
      <c r="B303" s="249"/>
      <c r="C303" s="142" t="str">
        <f t="shared" si="6"/>
        <v/>
      </c>
    </row>
    <row r="304" spans="1:3" x14ac:dyDescent="0.25">
      <c r="A304" s="211"/>
      <c r="B304" s="249"/>
      <c r="C304" s="142" t="str">
        <f t="shared" si="6"/>
        <v/>
      </c>
    </row>
    <row r="305" spans="1:3" x14ac:dyDescent="0.25">
      <c r="A305" s="211"/>
      <c r="B305" s="249"/>
      <c r="C305" s="142" t="str">
        <f t="shared" si="6"/>
        <v/>
      </c>
    </row>
    <row r="306" spans="1:3" x14ac:dyDescent="0.25">
      <c r="A306" s="211"/>
      <c r="B306" s="249"/>
      <c r="C306" s="142" t="str">
        <f t="shared" si="6"/>
        <v/>
      </c>
    </row>
    <row r="307" spans="1:3" x14ac:dyDescent="0.25">
      <c r="A307" s="211"/>
      <c r="B307" s="249"/>
      <c r="C307" s="142" t="str">
        <f t="shared" si="6"/>
        <v/>
      </c>
    </row>
    <row r="308" spans="1:3" x14ac:dyDescent="0.25">
      <c r="A308" s="211"/>
      <c r="B308" s="249"/>
      <c r="C308" s="142" t="str">
        <f t="shared" si="6"/>
        <v/>
      </c>
    </row>
    <row r="309" spans="1:3" x14ac:dyDescent="0.25">
      <c r="A309" s="211"/>
      <c r="B309" s="249"/>
      <c r="C309" s="142" t="str">
        <f t="shared" si="6"/>
        <v/>
      </c>
    </row>
    <row r="310" spans="1:3" x14ac:dyDescent="0.25">
      <c r="A310" s="211"/>
      <c r="B310" s="249"/>
      <c r="C310" s="142" t="str">
        <f t="shared" si="6"/>
        <v/>
      </c>
    </row>
    <row r="311" spans="1:3" x14ac:dyDescent="0.25">
      <c r="A311" s="211"/>
      <c r="B311" s="249"/>
      <c r="C311" s="142" t="str">
        <f t="shared" si="6"/>
        <v/>
      </c>
    </row>
    <row r="312" spans="1:3" x14ac:dyDescent="0.25">
      <c r="A312" s="211"/>
      <c r="B312" s="249"/>
      <c r="C312" s="142" t="str">
        <f t="shared" si="6"/>
        <v/>
      </c>
    </row>
    <row r="313" spans="1:3" x14ac:dyDescent="0.25">
      <c r="A313" s="211"/>
      <c r="B313" s="249"/>
      <c r="C313" s="142" t="str">
        <f t="shared" si="6"/>
        <v/>
      </c>
    </row>
    <row r="314" spans="1:3" x14ac:dyDescent="0.25">
      <c r="A314" s="211"/>
      <c r="B314" s="249"/>
      <c r="C314" s="142" t="str">
        <f t="shared" si="6"/>
        <v/>
      </c>
    </row>
    <row r="315" spans="1:3" x14ac:dyDescent="0.25">
      <c r="A315" s="211"/>
      <c r="B315" s="249"/>
      <c r="C315" s="142" t="str">
        <f t="shared" si="6"/>
        <v/>
      </c>
    </row>
    <row r="316" spans="1:3" x14ac:dyDescent="0.25">
      <c r="A316" s="211"/>
      <c r="B316" s="249"/>
      <c r="C316" s="142" t="str">
        <f t="shared" si="6"/>
        <v/>
      </c>
    </row>
    <row r="317" spans="1:3" x14ac:dyDescent="0.25">
      <c r="A317" s="211"/>
      <c r="B317" s="249"/>
      <c r="C317" s="142" t="str">
        <f t="shared" si="6"/>
        <v/>
      </c>
    </row>
    <row r="318" spans="1:3" x14ac:dyDescent="0.25">
      <c r="A318" s="211"/>
      <c r="B318" s="249"/>
      <c r="C318" s="142" t="str">
        <f t="shared" si="6"/>
        <v/>
      </c>
    </row>
    <row r="319" spans="1:3" x14ac:dyDescent="0.25">
      <c r="A319" s="211"/>
      <c r="B319" s="249"/>
      <c r="C319" s="142" t="str">
        <f t="shared" si="6"/>
        <v/>
      </c>
    </row>
    <row r="320" spans="1:3" x14ac:dyDescent="0.25">
      <c r="A320" s="211"/>
      <c r="B320" s="249"/>
      <c r="C320" s="142" t="str">
        <f t="shared" si="6"/>
        <v/>
      </c>
    </row>
    <row r="321" spans="1:3" x14ac:dyDescent="0.25">
      <c r="A321" s="211"/>
      <c r="B321" s="249"/>
      <c r="C321" s="142" t="str">
        <f t="shared" si="6"/>
        <v/>
      </c>
    </row>
    <row r="322" spans="1:3" x14ac:dyDescent="0.25">
      <c r="A322" s="211"/>
      <c r="B322" s="249"/>
      <c r="C322" s="142" t="str">
        <f t="shared" si="6"/>
        <v/>
      </c>
    </row>
    <row r="323" spans="1:3" x14ac:dyDescent="0.25">
      <c r="A323" s="211"/>
      <c r="B323" s="249"/>
      <c r="C323" s="142" t="str">
        <f t="shared" si="6"/>
        <v/>
      </c>
    </row>
    <row r="324" spans="1:3" x14ac:dyDescent="0.25">
      <c r="A324" s="211"/>
      <c r="B324" s="249"/>
      <c r="C324" s="142" t="str">
        <f t="shared" si="6"/>
        <v/>
      </c>
    </row>
    <row r="325" spans="1:3" x14ac:dyDescent="0.25">
      <c r="A325" s="211"/>
      <c r="B325" s="249"/>
      <c r="C325" s="142" t="str">
        <f t="shared" si="6"/>
        <v/>
      </c>
    </row>
    <row r="326" spans="1:3" x14ac:dyDescent="0.25">
      <c r="A326" s="211"/>
      <c r="B326" s="249"/>
      <c r="C326" s="142" t="str">
        <f t="shared" si="6"/>
        <v/>
      </c>
    </row>
    <row r="327" spans="1:3" x14ac:dyDescent="0.25">
      <c r="A327" s="211"/>
      <c r="B327" s="249"/>
      <c r="C327" s="142" t="str">
        <f t="shared" si="6"/>
        <v/>
      </c>
    </row>
    <row r="328" spans="1:3" x14ac:dyDescent="0.25">
      <c r="A328" s="211"/>
      <c r="B328" s="249"/>
      <c r="C328" s="142" t="str">
        <f t="shared" si="6"/>
        <v/>
      </c>
    </row>
    <row r="329" spans="1:3" x14ac:dyDescent="0.25">
      <c r="A329" s="211"/>
      <c r="B329" s="249"/>
      <c r="C329" s="142" t="str">
        <f t="shared" si="6"/>
        <v/>
      </c>
    </row>
    <row r="330" spans="1:3" x14ac:dyDescent="0.25">
      <c r="A330" s="211"/>
      <c r="B330" s="249"/>
      <c r="C330" s="142" t="str">
        <f t="shared" si="6"/>
        <v/>
      </c>
    </row>
    <row r="331" spans="1:3" x14ac:dyDescent="0.25">
      <c r="A331" s="211"/>
      <c r="B331" s="249"/>
      <c r="C331" s="142" t="str">
        <f t="shared" si="6"/>
        <v/>
      </c>
    </row>
    <row r="332" spans="1:3" x14ac:dyDescent="0.25">
      <c r="A332" s="211"/>
      <c r="B332" s="249"/>
      <c r="C332" s="142" t="str">
        <f t="shared" si="6"/>
        <v/>
      </c>
    </row>
    <row r="333" spans="1:3" x14ac:dyDescent="0.25">
      <c r="A333" s="211"/>
      <c r="B333" s="249"/>
      <c r="C333" s="142" t="str">
        <f t="shared" si="6"/>
        <v/>
      </c>
    </row>
    <row r="334" spans="1:3" x14ac:dyDescent="0.25">
      <c r="A334" s="211"/>
      <c r="B334" s="249"/>
      <c r="C334" s="142" t="str">
        <f t="shared" si="6"/>
        <v/>
      </c>
    </row>
    <row r="335" spans="1:3" x14ac:dyDescent="0.25">
      <c r="A335" s="211"/>
      <c r="B335" s="249"/>
      <c r="C335" s="142" t="str">
        <f t="shared" si="6"/>
        <v/>
      </c>
    </row>
    <row r="336" spans="1:3" x14ac:dyDescent="0.25">
      <c r="A336" s="211"/>
      <c r="B336" s="249"/>
      <c r="C336" s="142" t="str">
        <f t="shared" si="6"/>
        <v/>
      </c>
    </row>
    <row r="337" spans="1:26" x14ac:dyDescent="0.25">
      <c r="A337" s="211"/>
      <c r="B337" s="249"/>
      <c r="C337" s="142" t="str">
        <f t="shared" si="6"/>
        <v/>
      </c>
    </row>
    <row r="338" spans="1:26" x14ac:dyDescent="0.25">
      <c r="A338" s="211"/>
      <c r="B338" s="249"/>
      <c r="C338" s="142" t="str">
        <f t="shared" si="6"/>
        <v/>
      </c>
    </row>
    <row r="339" spans="1:26" x14ac:dyDescent="0.25">
      <c r="A339" s="211"/>
      <c r="B339" s="249"/>
      <c r="C339" s="142" t="str">
        <f t="shared" si="6"/>
        <v/>
      </c>
    </row>
    <row r="340" spans="1:26" x14ac:dyDescent="0.25">
      <c r="A340" s="211"/>
      <c r="B340" s="249"/>
      <c r="C340" s="142" t="str">
        <f t="shared" si="6"/>
        <v/>
      </c>
    </row>
    <row r="341" spans="1:26" x14ac:dyDescent="0.25">
      <c r="A341" s="211"/>
      <c r="B341" s="249"/>
      <c r="C341" s="142" t="str">
        <f t="shared" si="6"/>
        <v/>
      </c>
    </row>
    <row r="342" spans="1:26" x14ac:dyDescent="0.25">
      <c r="A342" s="211"/>
      <c r="B342" s="249"/>
      <c r="C342" s="142" t="str">
        <f t="shared" si="6"/>
        <v/>
      </c>
    </row>
    <row r="343" spans="1:26" x14ac:dyDescent="0.25">
      <c r="A343" s="211"/>
      <c r="B343" s="249"/>
      <c r="C343" s="142" t="str">
        <f t="shared" si="6"/>
        <v/>
      </c>
    </row>
    <row r="344" spans="1:26" x14ac:dyDescent="0.25">
      <c r="A344" s="211"/>
      <c r="B344" s="249"/>
      <c r="C344" s="142" t="str">
        <f t="shared" si="6"/>
        <v/>
      </c>
      <c r="X344" s="83"/>
    </row>
    <row r="345" spans="1:26" x14ac:dyDescent="0.25">
      <c r="A345" s="211"/>
      <c r="B345" s="249"/>
      <c r="C345" s="142" t="str">
        <f t="shared" si="6"/>
        <v/>
      </c>
      <c r="X345" s="83"/>
    </row>
    <row r="346" spans="1:26" x14ac:dyDescent="0.25">
      <c r="A346" s="211"/>
      <c r="B346" s="249"/>
      <c r="C346" s="142" t="str">
        <f t="shared" si="6"/>
        <v/>
      </c>
      <c r="X346" s="83"/>
    </row>
    <row r="347" spans="1:26" x14ac:dyDescent="0.25">
      <c r="A347" s="211"/>
      <c r="B347" s="249"/>
      <c r="C347" s="142" t="str">
        <f t="shared" ref="C347:C410" si="7">+IFERROR(IF(B347="","",(VLOOKUP(B347,$F$2:$H$55,3,0))),"State Wrong")</f>
        <v/>
      </c>
      <c r="X347" s="83"/>
      <c r="Z347" s="83"/>
    </row>
    <row r="348" spans="1:26" x14ac:dyDescent="0.25">
      <c r="A348" s="211"/>
      <c r="B348" s="249"/>
      <c r="C348" s="142" t="str">
        <f t="shared" si="7"/>
        <v/>
      </c>
      <c r="U348" s="83"/>
    </row>
    <row r="349" spans="1:26" x14ac:dyDescent="0.25">
      <c r="A349" s="211"/>
      <c r="B349" s="249"/>
      <c r="C349" s="142" t="str">
        <f t="shared" si="7"/>
        <v/>
      </c>
      <c r="U349" s="83"/>
      <c r="X349" s="83"/>
    </row>
    <row r="350" spans="1:26" x14ac:dyDescent="0.25">
      <c r="A350" s="211"/>
      <c r="B350" s="249"/>
      <c r="C350" s="142" t="str">
        <f t="shared" si="7"/>
        <v/>
      </c>
      <c r="U350" s="83"/>
    </row>
    <row r="351" spans="1:26" x14ac:dyDescent="0.25">
      <c r="A351" s="211"/>
      <c r="B351" s="249"/>
      <c r="C351" s="142" t="str">
        <f t="shared" si="7"/>
        <v/>
      </c>
      <c r="U351" s="88"/>
      <c r="V351"/>
      <c r="W351"/>
      <c r="X351"/>
    </row>
    <row r="352" spans="1:26" x14ac:dyDescent="0.25">
      <c r="A352" s="211"/>
      <c r="B352" s="249"/>
      <c r="C352" s="142" t="str">
        <f t="shared" si="7"/>
        <v/>
      </c>
      <c r="X352" s="83"/>
    </row>
    <row r="353" spans="1:26" x14ac:dyDescent="0.25">
      <c r="A353" s="211"/>
      <c r="B353" s="249"/>
      <c r="C353" s="142" t="str">
        <f t="shared" si="7"/>
        <v/>
      </c>
      <c r="X353" s="83"/>
    </row>
    <row r="354" spans="1:26" x14ac:dyDescent="0.25">
      <c r="A354" s="211"/>
      <c r="B354" s="249"/>
      <c r="C354" s="142" t="str">
        <f t="shared" si="7"/>
        <v/>
      </c>
      <c r="U354" s="83"/>
    </row>
    <row r="355" spans="1:26" x14ac:dyDescent="0.25">
      <c r="A355" s="211"/>
      <c r="B355" s="249"/>
      <c r="C355" s="142" t="str">
        <f t="shared" si="7"/>
        <v/>
      </c>
      <c r="U355" s="83"/>
    </row>
    <row r="356" spans="1:26" x14ac:dyDescent="0.25">
      <c r="A356" s="211"/>
      <c r="B356" s="249"/>
      <c r="C356" s="142" t="str">
        <f t="shared" si="7"/>
        <v/>
      </c>
      <c r="U356" s="83"/>
    </row>
    <row r="357" spans="1:26" x14ac:dyDescent="0.25">
      <c r="A357" s="211"/>
      <c r="B357" s="249"/>
      <c r="C357" s="142" t="str">
        <f t="shared" si="7"/>
        <v/>
      </c>
      <c r="U357" s="83"/>
      <c r="Z357" s="88"/>
    </row>
    <row r="358" spans="1:26" x14ac:dyDescent="0.25">
      <c r="A358" s="211"/>
      <c r="B358" s="249"/>
      <c r="C358" s="142" t="str">
        <f t="shared" si="7"/>
        <v/>
      </c>
      <c r="U358" s="83"/>
      <c r="Z358" s="88"/>
    </row>
    <row r="359" spans="1:26" x14ac:dyDescent="0.25">
      <c r="A359" s="211"/>
      <c r="B359" s="249"/>
      <c r="C359" s="142" t="str">
        <f t="shared" si="7"/>
        <v/>
      </c>
      <c r="U359" s="83"/>
    </row>
    <row r="360" spans="1:26" x14ac:dyDescent="0.25">
      <c r="A360" s="211"/>
      <c r="B360" s="249"/>
      <c r="C360" s="142" t="str">
        <f t="shared" si="7"/>
        <v/>
      </c>
      <c r="U360" s="83"/>
    </row>
    <row r="361" spans="1:26" x14ac:dyDescent="0.25">
      <c r="A361" s="211"/>
      <c r="B361" s="249"/>
      <c r="C361" s="142" t="str">
        <f t="shared" si="7"/>
        <v/>
      </c>
      <c r="X361" s="83"/>
    </row>
    <row r="362" spans="1:26" x14ac:dyDescent="0.25">
      <c r="A362" s="211"/>
      <c r="B362" s="249"/>
      <c r="C362" s="142" t="str">
        <f t="shared" si="7"/>
        <v/>
      </c>
      <c r="X362" s="83"/>
    </row>
    <row r="363" spans="1:26" x14ac:dyDescent="0.25">
      <c r="A363" s="211"/>
      <c r="B363" s="249"/>
      <c r="C363" s="142" t="str">
        <f t="shared" si="7"/>
        <v/>
      </c>
      <c r="X363" s="83"/>
    </row>
    <row r="364" spans="1:26" x14ac:dyDescent="0.25">
      <c r="A364" s="211"/>
      <c r="B364" s="249"/>
      <c r="C364" s="142" t="str">
        <f t="shared" si="7"/>
        <v/>
      </c>
      <c r="X364" s="83"/>
    </row>
    <row r="365" spans="1:26" x14ac:dyDescent="0.25">
      <c r="A365" s="211"/>
      <c r="B365" s="249"/>
      <c r="C365" s="142" t="str">
        <f t="shared" si="7"/>
        <v/>
      </c>
      <c r="X365" s="83"/>
    </row>
    <row r="366" spans="1:26" x14ac:dyDescent="0.25">
      <c r="A366" s="211"/>
      <c r="B366" s="249"/>
      <c r="C366" s="142" t="str">
        <f t="shared" si="7"/>
        <v/>
      </c>
      <c r="U366" s="83"/>
    </row>
    <row r="367" spans="1:26" x14ac:dyDescent="0.25">
      <c r="A367" s="211"/>
      <c r="B367" s="249"/>
      <c r="C367" s="142" t="str">
        <f t="shared" si="7"/>
        <v/>
      </c>
      <c r="U367" s="83"/>
      <c r="Z367" s="88"/>
    </row>
    <row r="368" spans="1:26" x14ac:dyDescent="0.25">
      <c r="A368" s="211"/>
      <c r="B368" s="249"/>
      <c r="C368" s="142" t="str">
        <f t="shared" si="7"/>
        <v/>
      </c>
      <c r="U368" s="83"/>
    </row>
    <row r="369" spans="1:26" x14ac:dyDescent="0.25">
      <c r="A369" s="211"/>
      <c r="B369" s="249"/>
      <c r="C369" s="142" t="str">
        <f t="shared" si="7"/>
        <v/>
      </c>
      <c r="U369" s="83"/>
      <c r="Z369" s="88"/>
    </row>
    <row r="370" spans="1:26" x14ac:dyDescent="0.25">
      <c r="A370" s="211"/>
      <c r="B370" s="249"/>
      <c r="C370" s="142" t="str">
        <f t="shared" si="7"/>
        <v/>
      </c>
      <c r="T370" s="83"/>
    </row>
    <row r="371" spans="1:26" x14ac:dyDescent="0.25">
      <c r="A371" s="211"/>
      <c r="B371" s="249"/>
      <c r="C371" s="142" t="str">
        <f t="shared" si="7"/>
        <v/>
      </c>
      <c r="U371" s="83"/>
    </row>
    <row r="372" spans="1:26" x14ac:dyDescent="0.25">
      <c r="A372" s="211"/>
      <c r="B372" s="249"/>
      <c r="C372" s="142" t="str">
        <f t="shared" si="7"/>
        <v/>
      </c>
      <c r="U372" s="83"/>
    </row>
    <row r="373" spans="1:26" x14ac:dyDescent="0.25">
      <c r="A373" s="211"/>
      <c r="B373" s="249"/>
      <c r="C373" s="142" t="str">
        <f t="shared" si="7"/>
        <v/>
      </c>
      <c r="U373" s="83"/>
    </row>
    <row r="374" spans="1:26" x14ac:dyDescent="0.25">
      <c r="A374" s="211"/>
      <c r="B374" s="249"/>
      <c r="C374" s="142" t="str">
        <f t="shared" si="7"/>
        <v/>
      </c>
      <c r="U374" s="83"/>
    </row>
    <row r="375" spans="1:26" x14ac:dyDescent="0.25">
      <c r="A375" s="211"/>
      <c r="B375" s="249"/>
      <c r="C375" s="142" t="str">
        <f t="shared" si="7"/>
        <v/>
      </c>
      <c r="T375" s="83"/>
      <c r="Z375" s="83"/>
    </row>
    <row r="376" spans="1:26" x14ac:dyDescent="0.25">
      <c r="A376" s="211"/>
      <c r="B376" s="249"/>
      <c r="C376" s="142" t="str">
        <f t="shared" si="7"/>
        <v/>
      </c>
      <c r="T376" s="83"/>
      <c r="Z376" s="88"/>
    </row>
    <row r="377" spans="1:26" x14ac:dyDescent="0.25">
      <c r="A377" s="211"/>
      <c r="B377" s="249"/>
      <c r="C377" s="142" t="str">
        <f t="shared" si="7"/>
        <v/>
      </c>
      <c r="T377" s="83"/>
      <c r="Z377" s="88"/>
    </row>
    <row r="378" spans="1:26" x14ac:dyDescent="0.25">
      <c r="A378" s="211"/>
      <c r="B378" s="249"/>
      <c r="C378" s="142" t="str">
        <f t="shared" si="7"/>
        <v/>
      </c>
      <c r="T378" s="83"/>
      <c r="Z378" s="83"/>
    </row>
    <row r="379" spans="1:26" x14ac:dyDescent="0.25">
      <c r="A379" s="211"/>
      <c r="B379" s="249"/>
      <c r="C379" s="142" t="str">
        <f t="shared" si="7"/>
        <v/>
      </c>
      <c r="T379" s="83"/>
      <c r="Z379" s="88"/>
    </row>
    <row r="380" spans="1:26" x14ac:dyDescent="0.25">
      <c r="A380" s="211"/>
      <c r="B380" s="249"/>
      <c r="C380" s="142" t="str">
        <f t="shared" si="7"/>
        <v/>
      </c>
      <c r="U380" s="83"/>
      <c r="Z380" s="88"/>
    </row>
    <row r="381" spans="1:26" x14ac:dyDescent="0.25">
      <c r="A381" s="211"/>
      <c r="B381" s="249"/>
      <c r="C381" s="142" t="str">
        <f t="shared" si="7"/>
        <v/>
      </c>
      <c r="T381" s="83"/>
      <c r="Z381" s="83"/>
    </row>
    <row r="382" spans="1:26" x14ac:dyDescent="0.25">
      <c r="A382" s="211"/>
      <c r="B382" s="249"/>
      <c r="C382" s="142" t="str">
        <f t="shared" si="7"/>
        <v/>
      </c>
      <c r="T382" s="83"/>
      <c r="Z382" s="83"/>
    </row>
    <row r="383" spans="1:26" x14ac:dyDescent="0.25">
      <c r="A383" s="211"/>
      <c r="B383" s="249"/>
      <c r="C383" s="142" t="str">
        <f t="shared" si="7"/>
        <v/>
      </c>
      <c r="U383" s="83"/>
    </row>
    <row r="384" spans="1:26" x14ac:dyDescent="0.25">
      <c r="A384" s="211"/>
      <c r="B384" s="249"/>
      <c r="C384" s="142" t="str">
        <f t="shared" si="7"/>
        <v/>
      </c>
      <c r="U384" s="83"/>
    </row>
    <row r="385" spans="1:26" x14ac:dyDescent="0.25">
      <c r="A385" s="211"/>
      <c r="B385" s="249"/>
      <c r="C385" s="142" t="str">
        <f t="shared" si="7"/>
        <v/>
      </c>
      <c r="U385" s="83"/>
      <c r="Z385" s="88"/>
    </row>
    <row r="386" spans="1:26" x14ac:dyDescent="0.25">
      <c r="A386" s="211"/>
      <c r="B386" s="249"/>
      <c r="C386" s="142" t="str">
        <f t="shared" si="7"/>
        <v/>
      </c>
      <c r="U386" s="83"/>
    </row>
    <row r="387" spans="1:26" x14ac:dyDescent="0.25">
      <c r="A387" s="211"/>
      <c r="B387" s="249"/>
      <c r="C387" s="142" t="str">
        <f t="shared" si="7"/>
        <v/>
      </c>
      <c r="T387" s="83"/>
    </row>
    <row r="388" spans="1:26" x14ac:dyDescent="0.25">
      <c r="A388" s="211"/>
      <c r="B388" s="249"/>
      <c r="C388" s="142" t="str">
        <f t="shared" si="7"/>
        <v/>
      </c>
    </row>
    <row r="389" spans="1:26" x14ac:dyDescent="0.25">
      <c r="A389" s="211"/>
      <c r="B389" s="249"/>
      <c r="C389" s="142" t="str">
        <f t="shared" si="7"/>
        <v/>
      </c>
    </row>
    <row r="390" spans="1:26" x14ac:dyDescent="0.25">
      <c r="A390" s="211"/>
      <c r="B390" s="249"/>
      <c r="C390" s="142" t="str">
        <f t="shared" si="7"/>
        <v/>
      </c>
    </row>
    <row r="391" spans="1:26" x14ac:dyDescent="0.25">
      <c r="A391" s="211"/>
      <c r="B391" s="249"/>
      <c r="C391" s="142" t="str">
        <f t="shared" si="7"/>
        <v/>
      </c>
    </row>
    <row r="392" spans="1:26" x14ac:dyDescent="0.25">
      <c r="A392" s="211"/>
      <c r="B392" s="249"/>
      <c r="C392" s="142" t="str">
        <f t="shared" si="7"/>
        <v/>
      </c>
    </row>
    <row r="393" spans="1:26" x14ac:dyDescent="0.25">
      <c r="A393" s="211"/>
      <c r="B393" s="249"/>
      <c r="C393" s="142" t="str">
        <f t="shared" si="7"/>
        <v/>
      </c>
    </row>
    <row r="394" spans="1:26" x14ac:dyDescent="0.25">
      <c r="A394" s="211"/>
      <c r="B394" s="249"/>
      <c r="C394" s="142" t="str">
        <f t="shared" si="7"/>
        <v/>
      </c>
    </row>
    <row r="395" spans="1:26" x14ac:dyDescent="0.25">
      <c r="A395" s="211"/>
      <c r="B395" s="249"/>
      <c r="C395" s="142" t="str">
        <f t="shared" si="7"/>
        <v/>
      </c>
    </row>
    <row r="396" spans="1:26" x14ac:dyDescent="0.25">
      <c r="A396" s="211"/>
      <c r="B396" s="249"/>
      <c r="C396" s="142" t="str">
        <f t="shared" si="7"/>
        <v/>
      </c>
    </row>
    <row r="397" spans="1:26" x14ac:dyDescent="0.25">
      <c r="A397" s="211"/>
      <c r="B397" s="249"/>
      <c r="C397" s="142" t="str">
        <f t="shared" si="7"/>
        <v/>
      </c>
    </row>
    <row r="398" spans="1:26" x14ac:dyDescent="0.25">
      <c r="A398" s="211"/>
      <c r="B398" s="249"/>
      <c r="C398" s="142" t="str">
        <f t="shared" si="7"/>
        <v/>
      </c>
    </row>
    <row r="399" spans="1:26" x14ac:dyDescent="0.25">
      <c r="A399" s="211"/>
      <c r="B399" s="249"/>
      <c r="C399" s="142" t="str">
        <f t="shared" si="7"/>
        <v/>
      </c>
    </row>
    <row r="400" spans="1:26" x14ac:dyDescent="0.25">
      <c r="A400" s="211"/>
      <c r="B400" s="249"/>
      <c r="C400" s="142" t="str">
        <f t="shared" si="7"/>
        <v/>
      </c>
    </row>
    <row r="401" spans="1:3" x14ac:dyDescent="0.25">
      <c r="A401" s="211"/>
      <c r="B401" s="249"/>
      <c r="C401" s="142" t="str">
        <f t="shared" si="7"/>
        <v/>
      </c>
    </row>
    <row r="402" spans="1:3" x14ac:dyDescent="0.25">
      <c r="A402" s="211"/>
      <c r="B402" s="249"/>
      <c r="C402" s="142" t="str">
        <f t="shared" si="7"/>
        <v/>
      </c>
    </row>
    <row r="403" spans="1:3" x14ac:dyDescent="0.25">
      <c r="A403" s="211"/>
      <c r="B403" s="249"/>
      <c r="C403" s="142" t="str">
        <f t="shared" si="7"/>
        <v/>
      </c>
    </row>
    <row r="404" spans="1:3" x14ac:dyDescent="0.25">
      <c r="A404" s="211"/>
      <c r="B404" s="249"/>
      <c r="C404" s="142" t="str">
        <f t="shared" si="7"/>
        <v/>
      </c>
    </row>
    <row r="405" spans="1:3" x14ac:dyDescent="0.25">
      <c r="A405" s="211"/>
      <c r="B405" s="249"/>
      <c r="C405" s="142" t="str">
        <f t="shared" si="7"/>
        <v/>
      </c>
    </row>
    <row r="406" spans="1:3" x14ac:dyDescent="0.25">
      <c r="A406" s="211"/>
      <c r="B406" s="249"/>
      <c r="C406" s="142" t="str">
        <f t="shared" si="7"/>
        <v/>
      </c>
    </row>
    <row r="407" spans="1:3" x14ac:dyDescent="0.25">
      <c r="A407" s="211"/>
      <c r="B407" s="249"/>
      <c r="C407" s="142" t="str">
        <f t="shared" si="7"/>
        <v/>
      </c>
    </row>
    <row r="408" spans="1:3" x14ac:dyDescent="0.25">
      <c r="A408" s="211"/>
      <c r="B408" s="249"/>
      <c r="C408" s="142" t="str">
        <f t="shared" si="7"/>
        <v/>
      </c>
    </row>
    <row r="409" spans="1:3" x14ac:dyDescent="0.25">
      <c r="A409" s="211"/>
      <c r="B409" s="249"/>
      <c r="C409" s="142" t="str">
        <f t="shared" si="7"/>
        <v/>
      </c>
    </row>
    <row r="410" spans="1:3" x14ac:dyDescent="0.25">
      <c r="A410" s="211"/>
      <c r="B410" s="249"/>
      <c r="C410" s="142" t="str">
        <f t="shared" si="7"/>
        <v/>
      </c>
    </row>
    <row r="411" spans="1:3" x14ac:dyDescent="0.25">
      <c r="A411" s="211"/>
      <c r="B411" s="249"/>
      <c r="C411" s="142" t="str">
        <f t="shared" ref="C411:C474" si="8">+IFERROR(IF(B411="","",(VLOOKUP(B411,$F$2:$H$55,3,0))),"State Wrong")</f>
        <v/>
      </c>
    </row>
    <row r="412" spans="1:3" x14ac:dyDescent="0.25">
      <c r="A412" s="211"/>
      <c r="B412" s="249"/>
      <c r="C412" s="142" t="str">
        <f t="shared" si="8"/>
        <v/>
      </c>
    </row>
    <row r="413" spans="1:3" x14ac:dyDescent="0.25">
      <c r="A413" s="211"/>
      <c r="B413" s="249"/>
      <c r="C413" s="142" t="str">
        <f t="shared" si="8"/>
        <v/>
      </c>
    </row>
    <row r="414" spans="1:3" x14ac:dyDescent="0.25">
      <c r="A414" s="211"/>
      <c r="B414" s="249"/>
      <c r="C414" s="142" t="str">
        <f t="shared" si="8"/>
        <v/>
      </c>
    </row>
    <row r="415" spans="1:3" x14ac:dyDescent="0.25">
      <c r="A415" s="211"/>
      <c r="B415" s="249"/>
      <c r="C415" s="142" t="str">
        <f t="shared" si="8"/>
        <v/>
      </c>
    </row>
    <row r="416" spans="1:3" x14ac:dyDescent="0.25">
      <c r="A416" s="211"/>
      <c r="B416" s="249"/>
      <c r="C416" s="142" t="str">
        <f t="shared" si="8"/>
        <v/>
      </c>
    </row>
    <row r="417" spans="1:3" x14ac:dyDescent="0.25">
      <c r="A417" s="211"/>
      <c r="B417" s="249"/>
      <c r="C417" s="142" t="str">
        <f t="shared" si="8"/>
        <v/>
      </c>
    </row>
    <row r="418" spans="1:3" x14ac:dyDescent="0.25">
      <c r="A418" s="211"/>
      <c r="B418" s="249"/>
      <c r="C418" s="142" t="str">
        <f t="shared" si="8"/>
        <v/>
      </c>
    </row>
    <row r="419" spans="1:3" x14ac:dyDescent="0.25">
      <c r="A419" s="211"/>
      <c r="B419" s="249"/>
      <c r="C419" s="142" t="str">
        <f t="shared" si="8"/>
        <v/>
      </c>
    </row>
    <row r="420" spans="1:3" x14ac:dyDescent="0.25">
      <c r="A420" s="211"/>
      <c r="B420" s="249"/>
      <c r="C420" s="142" t="str">
        <f t="shared" si="8"/>
        <v/>
      </c>
    </row>
    <row r="421" spans="1:3" x14ac:dyDescent="0.25">
      <c r="A421" s="211"/>
      <c r="B421" s="249"/>
      <c r="C421" s="142" t="str">
        <f t="shared" si="8"/>
        <v/>
      </c>
    </row>
    <row r="422" spans="1:3" x14ac:dyDescent="0.25">
      <c r="A422" s="211"/>
      <c r="B422" s="249"/>
      <c r="C422" s="142" t="str">
        <f t="shared" si="8"/>
        <v/>
      </c>
    </row>
    <row r="423" spans="1:3" x14ac:dyDescent="0.25">
      <c r="A423" s="211"/>
      <c r="B423" s="249"/>
      <c r="C423" s="142" t="str">
        <f t="shared" si="8"/>
        <v/>
      </c>
    </row>
    <row r="424" spans="1:3" x14ac:dyDescent="0.25">
      <c r="A424" s="211"/>
      <c r="B424" s="249"/>
      <c r="C424" s="142" t="str">
        <f t="shared" si="8"/>
        <v/>
      </c>
    </row>
    <row r="425" spans="1:3" x14ac:dyDescent="0.25">
      <c r="A425" s="211"/>
      <c r="B425" s="249"/>
      <c r="C425" s="142" t="str">
        <f t="shared" si="8"/>
        <v/>
      </c>
    </row>
    <row r="426" spans="1:3" x14ac:dyDescent="0.25">
      <c r="A426" s="211"/>
      <c r="B426" s="249"/>
      <c r="C426" s="142" t="str">
        <f t="shared" si="8"/>
        <v/>
      </c>
    </row>
    <row r="427" spans="1:3" x14ac:dyDescent="0.25">
      <c r="A427" s="211"/>
      <c r="B427" s="249"/>
      <c r="C427" s="142" t="str">
        <f t="shared" si="8"/>
        <v/>
      </c>
    </row>
    <row r="428" spans="1:3" x14ac:dyDescent="0.25">
      <c r="A428" s="211"/>
      <c r="B428" s="249"/>
      <c r="C428" s="142" t="str">
        <f t="shared" si="8"/>
        <v/>
      </c>
    </row>
    <row r="429" spans="1:3" x14ac:dyDescent="0.25">
      <c r="A429" s="211"/>
      <c r="B429" s="249"/>
      <c r="C429" s="142" t="str">
        <f t="shared" si="8"/>
        <v/>
      </c>
    </row>
    <row r="430" spans="1:3" x14ac:dyDescent="0.25">
      <c r="A430" s="211"/>
      <c r="B430" s="249"/>
      <c r="C430" s="142" t="str">
        <f t="shared" si="8"/>
        <v/>
      </c>
    </row>
    <row r="431" spans="1:3" x14ac:dyDescent="0.25">
      <c r="A431" s="211"/>
      <c r="B431" s="249"/>
      <c r="C431" s="142" t="str">
        <f t="shared" si="8"/>
        <v/>
      </c>
    </row>
    <row r="432" spans="1:3" x14ac:dyDescent="0.25">
      <c r="A432" s="211"/>
      <c r="B432" s="249"/>
      <c r="C432" s="142" t="str">
        <f t="shared" si="8"/>
        <v/>
      </c>
    </row>
    <row r="433" spans="1:3" x14ac:dyDescent="0.25">
      <c r="A433" s="211"/>
      <c r="B433" s="249"/>
      <c r="C433" s="142" t="str">
        <f t="shared" si="8"/>
        <v/>
      </c>
    </row>
    <row r="434" spans="1:3" x14ac:dyDescent="0.25">
      <c r="A434" s="211"/>
      <c r="B434" s="249"/>
      <c r="C434" s="142" t="str">
        <f t="shared" si="8"/>
        <v/>
      </c>
    </row>
    <row r="435" spans="1:3" x14ac:dyDescent="0.25">
      <c r="A435" s="211"/>
      <c r="B435" s="249"/>
      <c r="C435" s="142" t="str">
        <f t="shared" si="8"/>
        <v/>
      </c>
    </row>
    <row r="436" spans="1:3" x14ac:dyDescent="0.25">
      <c r="A436" s="211"/>
      <c r="B436" s="249"/>
      <c r="C436" s="142" t="str">
        <f t="shared" si="8"/>
        <v/>
      </c>
    </row>
    <row r="437" spans="1:3" x14ac:dyDescent="0.25">
      <c r="A437" s="211"/>
      <c r="B437" s="249"/>
      <c r="C437" s="142" t="str">
        <f t="shared" si="8"/>
        <v/>
      </c>
    </row>
    <row r="438" spans="1:3" x14ac:dyDescent="0.25">
      <c r="A438" s="211"/>
      <c r="B438" s="249"/>
      <c r="C438" s="142" t="str">
        <f t="shared" si="8"/>
        <v/>
      </c>
    </row>
    <row r="439" spans="1:3" x14ac:dyDescent="0.25">
      <c r="A439" s="211"/>
      <c r="B439" s="249"/>
      <c r="C439" s="142" t="str">
        <f t="shared" si="8"/>
        <v/>
      </c>
    </row>
    <row r="440" spans="1:3" x14ac:dyDescent="0.25">
      <c r="A440" s="211"/>
      <c r="B440" s="249"/>
      <c r="C440" s="142" t="str">
        <f t="shared" si="8"/>
        <v/>
      </c>
    </row>
    <row r="441" spans="1:3" x14ac:dyDescent="0.25">
      <c r="A441" s="211"/>
      <c r="B441" s="249"/>
      <c r="C441" s="142" t="str">
        <f t="shared" si="8"/>
        <v/>
      </c>
    </row>
    <row r="442" spans="1:3" x14ac:dyDescent="0.25">
      <c r="A442" s="211"/>
      <c r="B442" s="249"/>
      <c r="C442" s="142" t="str">
        <f t="shared" si="8"/>
        <v/>
      </c>
    </row>
    <row r="443" spans="1:3" x14ac:dyDescent="0.25">
      <c r="A443" s="211"/>
      <c r="B443" s="249"/>
      <c r="C443" s="142" t="str">
        <f t="shared" si="8"/>
        <v/>
      </c>
    </row>
    <row r="444" spans="1:3" x14ac:dyDescent="0.25">
      <c r="A444" s="211"/>
      <c r="B444" s="249"/>
      <c r="C444" s="142" t="str">
        <f t="shared" si="8"/>
        <v/>
      </c>
    </row>
    <row r="445" spans="1:3" x14ac:dyDescent="0.25">
      <c r="A445" s="211"/>
      <c r="B445" s="249"/>
      <c r="C445" s="142" t="str">
        <f t="shared" si="8"/>
        <v/>
      </c>
    </row>
    <row r="446" spans="1:3" x14ac:dyDescent="0.25">
      <c r="A446" s="211"/>
      <c r="B446" s="249"/>
      <c r="C446" s="142" t="str">
        <f t="shared" si="8"/>
        <v/>
      </c>
    </row>
    <row r="447" spans="1:3" x14ac:dyDescent="0.25">
      <c r="A447" s="211"/>
      <c r="B447" s="249"/>
      <c r="C447" s="142" t="str">
        <f t="shared" si="8"/>
        <v/>
      </c>
    </row>
    <row r="448" spans="1:3" x14ac:dyDescent="0.25">
      <c r="A448" s="211"/>
      <c r="B448" s="249"/>
      <c r="C448" s="142" t="str">
        <f t="shared" si="8"/>
        <v/>
      </c>
    </row>
    <row r="449" spans="1:3" x14ac:dyDescent="0.25">
      <c r="A449" s="211"/>
      <c r="B449" s="249"/>
      <c r="C449" s="142" t="str">
        <f t="shared" si="8"/>
        <v/>
      </c>
    </row>
    <row r="450" spans="1:3" x14ac:dyDescent="0.25">
      <c r="A450" s="211"/>
      <c r="B450" s="249"/>
      <c r="C450" s="142" t="str">
        <f t="shared" si="8"/>
        <v/>
      </c>
    </row>
    <row r="451" spans="1:3" x14ac:dyDescent="0.25">
      <c r="A451" s="211"/>
      <c r="B451" s="249"/>
      <c r="C451" s="142" t="str">
        <f t="shared" si="8"/>
        <v/>
      </c>
    </row>
    <row r="452" spans="1:3" x14ac:dyDescent="0.25">
      <c r="A452" s="211"/>
      <c r="B452" s="249"/>
      <c r="C452" s="142" t="str">
        <f t="shared" si="8"/>
        <v/>
      </c>
    </row>
    <row r="453" spans="1:3" x14ac:dyDescent="0.25">
      <c r="A453" s="211"/>
      <c r="B453" s="249"/>
      <c r="C453" s="142" t="str">
        <f t="shared" si="8"/>
        <v/>
      </c>
    </row>
    <row r="454" spans="1:3" x14ac:dyDescent="0.25">
      <c r="A454" s="211"/>
      <c r="B454" s="249"/>
      <c r="C454" s="142" t="str">
        <f t="shared" si="8"/>
        <v/>
      </c>
    </row>
    <row r="455" spans="1:3" x14ac:dyDescent="0.25">
      <c r="A455" s="211"/>
      <c r="B455" s="249"/>
      <c r="C455" s="142" t="str">
        <f t="shared" si="8"/>
        <v/>
      </c>
    </row>
    <row r="456" spans="1:3" x14ac:dyDescent="0.25">
      <c r="A456" s="211"/>
      <c r="B456" s="249"/>
      <c r="C456" s="142" t="str">
        <f t="shared" si="8"/>
        <v/>
      </c>
    </row>
    <row r="457" spans="1:3" x14ac:dyDescent="0.25">
      <c r="A457" s="211"/>
      <c r="B457" s="249"/>
      <c r="C457" s="142" t="str">
        <f t="shared" si="8"/>
        <v/>
      </c>
    </row>
    <row r="458" spans="1:3" x14ac:dyDescent="0.25">
      <c r="A458" s="211"/>
      <c r="B458" s="249"/>
      <c r="C458" s="142" t="str">
        <f t="shared" si="8"/>
        <v/>
      </c>
    </row>
    <row r="459" spans="1:3" x14ac:dyDescent="0.25">
      <c r="A459" s="211"/>
      <c r="B459" s="249"/>
      <c r="C459" s="142" t="str">
        <f t="shared" si="8"/>
        <v/>
      </c>
    </row>
    <row r="460" spans="1:3" x14ac:dyDescent="0.25">
      <c r="A460" s="211"/>
      <c r="B460" s="249"/>
      <c r="C460" s="142" t="str">
        <f t="shared" si="8"/>
        <v/>
      </c>
    </row>
    <row r="461" spans="1:3" x14ac:dyDescent="0.25">
      <c r="A461" s="211"/>
      <c r="B461" s="249"/>
      <c r="C461" s="142" t="str">
        <f t="shared" si="8"/>
        <v/>
      </c>
    </row>
    <row r="462" spans="1:3" x14ac:dyDescent="0.25">
      <c r="A462" s="211"/>
      <c r="B462" s="249"/>
      <c r="C462" s="142" t="str">
        <f t="shared" si="8"/>
        <v/>
      </c>
    </row>
    <row r="463" spans="1:3" x14ac:dyDescent="0.25">
      <c r="A463" s="211"/>
      <c r="B463" s="249"/>
      <c r="C463" s="142" t="str">
        <f t="shared" si="8"/>
        <v/>
      </c>
    </row>
    <row r="464" spans="1:3" x14ac:dyDescent="0.25">
      <c r="A464" s="211"/>
      <c r="B464" s="249"/>
      <c r="C464" s="142" t="str">
        <f t="shared" si="8"/>
        <v/>
      </c>
    </row>
    <row r="465" spans="1:3" x14ac:dyDescent="0.25">
      <c r="A465" s="211"/>
      <c r="B465" s="249"/>
      <c r="C465" s="142" t="str">
        <f t="shared" si="8"/>
        <v/>
      </c>
    </row>
    <row r="466" spans="1:3" x14ac:dyDescent="0.25">
      <c r="A466" s="211"/>
      <c r="B466" s="249"/>
      <c r="C466" s="142" t="str">
        <f t="shared" si="8"/>
        <v/>
      </c>
    </row>
    <row r="467" spans="1:3" x14ac:dyDescent="0.25">
      <c r="A467" s="211"/>
      <c r="B467" s="249"/>
      <c r="C467" s="142" t="str">
        <f t="shared" si="8"/>
        <v/>
      </c>
    </row>
    <row r="468" spans="1:3" x14ac:dyDescent="0.25">
      <c r="A468" s="211"/>
      <c r="B468" s="249"/>
      <c r="C468" s="142" t="str">
        <f t="shared" si="8"/>
        <v/>
      </c>
    </row>
    <row r="469" spans="1:3" x14ac:dyDescent="0.25">
      <c r="A469" s="211"/>
      <c r="B469" s="249"/>
      <c r="C469" s="142" t="str">
        <f t="shared" si="8"/>
        <v/>
      </c>
    </row>
    <row r="470" spans="1:3" x14ac:dyDescent="0.25">
      <c r="A470" s="211"/>
      <c r="B470" s="249"/>
      <c r="C470" s="142" t="str">
        <f t="shared" si="8"/>
        <v/>
      </c>
    </row>
    <row r="471" spans="1:3" x14ac:dyDescent="0.25">
      <c r="A471" s="211"/>
      <c r="B471" s="249"/>
      <c r="C471" s="142" t="str">
        <f t="shared" si="8"/>
        <v/>
      </c>
    </row>
    <row r="472" spans="1:3" x14ac:dyDescent="0.25">
      <c r="A472" s="211"/>
      <c r="B472" s="249"/>
      <c r="C472" s="142" t="str">
        <f t="shared" si="8"/>
        <v/>
      </c>
    </row>
    <row r="473" spans="1:3" x14ac:dyDescent="0.25">
      <c r="A473" s="211"/>
      <c r="B473" s="249"/>
      <c r="C473" s="142" t="str">
        <f t="shared" si="8"/>
        <v/>
      </c>
    </row>
    <row r="474" spans="1:3" x14ac:dyDescent="0.25">
      <c r="A474" s="211"/>
      <c r="B474" s="249"/>
      <c r="C474" s="142" t="str">
        <f t="shared" si="8"/>
        <v/>
      </c>
    </row>
    <row r="475" spans="1:3" x14ac:dyDescent="0.25">
      <c r="A475" s="211"/>
      <c r="B475" s="249"/>
      <c r="C475" s="142" t="str">
        <f t="shared" ref="C475:C528" si="9">+IFERROR(IF(B475="","",(VLOOKUP(B475,$F$2:$H$55,3,0))),"State Wrong")</f>
        <v/>
      </c>
    </row>
    <row r="476" spans="1:3" x14ac:dyDescent="0.25">
      <c r="A476" s="211"/>
      <c r="B476" s="249"/>
      <c r="C476" s="142" t="str">
        <f t="shared" si="9"/>
        <v/>
      </c>
    </row>
    <row r="477" spans="1:3" x14ac:dyDescent="0.25">
      <c r="A477" s="211"/>
      <c r="B477" s="249"/>
      <c r="C477" s="142" t="str">
        <f t="shared" si="9"/>
        <v/>
      </c>
    </row>
    <row r="478" spans="1:3" x14ac:dyDescent="0.25">
      <c r="A478" s="211"/>
      <c r="B478" s="249"/>
      <c r="C478" s="142" t="str">
        <f t="shared" si="9"/>
        <v/>
      </c>
    </row>
    <row r="479" spans="1:3" x14ac:dyDescent="0.25">
      <c r="A479" s="211"/>
      <c r="B479" s="249"/>
      <c r="C479" s="142" t="str">
        <f t="shared" si="9"/>
        <v/>
      </c>
    </row>
    <row r="480" spans="1:3" x14ac:dyDescent="0.25">
      <c r="A480" s="211"/>
      <c r="B480" s="249"/>
      <c r="C480" s="142" t="str">
        <f t="shared" si="9"/>
        <v/>
      </c>
    </row>
    <row r="481" spans="1:3" x14ac:dyDescent="0.25">
      <c r="A481" s="211"/>
      <c r="B481" s="249"/>
      <c r="C481" s="142" t="str">
        <f t="shared" si="9"/>
        <v/>
      </c>
    </row>
    <row r="482" spans="1:3" x14ac:dyDescent="0.25">
      <c r="A482" s="211"/>
      <c r="B482" s="249"/>
      <c r="C482" s="142" t="str">
        <f t="shared" si="9"/>
        <v/>
      </c>
    </row>
    <row r="483" spans="1:3" x14ac:dyDescent="0.25">
      <c r="A483" s="211"/>
      <c r="B483" s="249"/>
      <c r="C483" s="142" t="str">
        <f t="shared" si="9"/>
        <v/>
      </c>
    </row>
    <row r="484" spans="1:3" x14ac:dyDescent="0.25">
      <c r="A484" s="211"/>
      <c r="B484" s="249"/>
      <c r="C484" s="142" t="str">
        <f t="shared" si="9"/>
        <v/>
      </c>
    </row>
    <row r="485" spans="1:3" x14ac:dyDescent="0.25">
      <c r="A485" s="211"/>
      <c r="B485" s="249"/>
      <c r="C485" s="142" t="str">
        <f t="shared" si="9"/>
        <v/>
      </c>
    </row>
    <row r="486" spans="1:3" x14ac:dyDescent="0.25">
      <c r="A486" s="211"/>
      <c r="B486" s="249"/>
      <c r="C486" s="142" t="str">
        <f t="shared" si="9"/>
        <v/>
      </c>
    </row>
    <row r="487" spans="1:3" x14ac:dyDescent="0.25">
      <c r="A487" s="211"/>
      <c r="B487" s="249"/>
      <c r="C487" s="142" t="str">
        <f t="shared" si="9"/>
        <v/>
      </c>
    </row>
    <row r="488" spans="1:3" x14ac:dyDescent="0.25">
      <c r="A488" s="211"/>
      <c r="B488" s="249"/>
      <c r="C488" s="142" t="str">
        <f t="shared" si="9"/>
        <v/>
      </c>
    </row>
    <row r="489" spans="1:3" x14ac:dyDescent="0.25">
      <c r="A489" s="211"/>
      <c r="B489" s="249"/>
      <c r="C489" s="142" t="str">
        <f t="shared" si="9"/>
        <v/>
      </c>
    </row>
    <row r="490" spans="1:3" x14ac:dyDescent="0.25">
      <c r="A490" s="211"/>
      <c r="B490" s="249"/>
      <c r="C490" s="142" t="str">
        <f t="shared" si="9"/>
        <v/>
      </c>
    </row>
    <row r="491" spans="1:3" x14ac:dyDescent="0.25">
      <c r="A491" s="211"/>
      <c r="B491" s="249"/>
      <c r="C491" s="142" t="str">
        <f t="shared" si="9"/>
        <v/>
      </c>
    </row>
    <row r="492" spans="1:3" x14ac:dyDescent="0.25">
      <c r="A492" s="211"/>
      <c r="B492" s="249"/>
      <c r="C492" s="142" t="str">
        <f t="shared" si="9"/>
        <v/>
      </c>
    </row>
    <row r="493" spans="1:3" x14ac:dyDescent="0.25">
      <c r="A493" s="211"/>
      <c r="B493" s="249"/>
      <c r="C493" s="142" t="str">
        <f t="shared" si="9"/>
        <v/>
      </c>
    </row>
    <row r="494" spans="1:3" x14ac:dyDescent="0.25">
      <c r="A494" s="211"/>
      <c r="B494" s="249"/>
      <c r="C494" s="142" t="str">
        <f t="shared" si="9"/>
        <v/>
      </c>
    </row>
    <row r="495" spans="1:3" x14ac:dyDescent="0.25">
      <c r="A495" s="211"/>
      <c r="B495" s="249"/>
      <c r="C495" s="142" t="str">
        <f t="shared" si="9"/>
        <v/>
      </c>
    </row>
    <row r="496" spans="1:3" x14ac:dyDescent="0.25">
      <c r="A496" s="211"/>
      <c r="B496" s="249"/>
      <c r="C496" s="142" t="str">
        <f t="shared" si="9"/>
        <v/>
      </c>
    </row>
    <row r="497" spans="1:3" x14ac:dyDescent="0.25">
      <c r="A497" s="211"/>
      <c r="B497" s="249"/>
      <c r="C497" s="142" t="str">
        <f t="shared" si="9"/>
        <v/>
      </c>
    </row>
    <row r="498" spans="1:3" x14ac:dyDescent="0.25">
      <c r="A498" s="211"/>
      <c r="B498" s="249"/>
      <c r="C498" s="142" t="str">
        <f t="shared" si="9"/>
        <v/>
      </c>
    </row>
    <row r="499" spans="1:3" x14ac:dyDescent="0.25">
      <c r="A499" s="211"/>
      <c r="B499" s="249"/>
      <c r="C499" s="142" t="str">
        <f t="shared" si="9"/>
        <v/>
      </c>
    </row>
    <row r="500" spans="1:3" x14ac:dyDescent="0.25">
      <c r="A500" s="211"/>
      <c r="B500" s="249"/>
      <c r="C500" s="142" t="str">
        <f t="shared" si="9"/>
        <v/>
      </c>
    </row>
    <row r="501" spans="1:3" x14ac:dyDescent="0.25">
      <c r="A501" s="211"/>
      <c r="B501" s="249"/>
      <c r="C501" s="142" t="str">
        <f t="shared" si="9"/>
        <v/>
      </c>
    </row>
    <row r="502" spans="1:3" x14ac:dyDescent="0.25">
      <c r="A502" s="211"/>
      <c r="B502" s="249"/>
      <c r="C502" s="142" t="str">
        <f t="shared" si="9"/>
        <v/>
      </c>
    </row>
    <row r="503" spans="1:3" x14ac:dyDescent="0.25">
      <c r="A503" s="211"/>
      <c r="B503" s="249"/>
      <c r="C503" s="142" t="str">
        <f t="shared" si="9"/>
        <v/>
      </c>
    </row>
    <row r="504" spans="1:3" x14ac:dyDescent="0.25">
      <c r="A504" s="211"/>
      <c r="B504" s="249"/>
      <c r="C504" s="142" t="str">
        <f t="shared" si="9"/>
        <v/>
      </c>
    </row>
    <row r="505" spans="1:3" x14ac:dyDescent="0.25">
      <c r="A505" s="211"/>
      <c r="B505" s="249"/>
      <c r="C505" s="142" t="str">
        <f t="shared" si="9"/>
        <v/>
      </c>
    </row>
    <row r="506" spans="1:3" x14ac:dyDescent="0.25">
      <c r="A506" s="211"/>
      <c r="B506" s="249"/>
      <c r="C506" s="142" t="str">
        <f t="shared" si="9"/>
        <v/>
      </c>
    </row>
    <row r="507" spans="1:3" x14ac:dyDescent="0.25">
      <c r="A507" s="211"/>
      <c r="B507" s="249"/>
      <c r="C507" s="142" t="str">
        <f t="shared" si="9"/>
        <v/>
      </c>
    </row>
    <row r="508" spans="1:3" x14ac:dyDescent="0.25">
      <c r="A508" s="211"/>
      <c r="B508" s="249"/>
      <c r="C508" s="142" t="str">
        <f t="shared" si="9"/>
        <v/>
      </c>
    </row>
    <row r="509" spans="1:3" x14ac:dyDescent="0.25">
      <c r="A509" s="211"/>
      <c r="B509" s="249"/>
      <c r="C509" s="142" t="str">
        <f t="shared" si="9"/>
        <v/>
      </c>
    </row>
    <row r="510" spans="1:3" x14ac:dyDescent="0.25">
      <c r="A510" s="211"/>
      <c r="B510" s="249"/>
      <c r="C510" s="142" t="str">
        <f t="shared" si="9"/>
        <v/>
      </c>
    </row>
    <row r="511" spans="1:3" x14ac:dyDescent="0.25">
      <c r="A511" s="211"/>
      <c r="B511" s="249"/>
      <c r="C511" s="142" t="str">
        <f t="shared" si="9"/>
        <v/>
      </c>
    </row>
    <row r="512" spans="1:3" x14ac:dyDescent="0.25">
      <c r="A512" s="211"/>
      <c r="B512" s="249"/>
      <c r="C512" s="142" t="str">
        <f t="shared" si="9"/>
        <v/>
      </c>
    </row>
    <row r="513" spans="1:3" x14ac:dyDescent="0.25">
      <c r="A513" s="211"/>
      <c r="B513" s="249"/>
      <c r="C513" s="142" t="str">
        <f t="shared" si="9"/>
        <v/>
      </c>
    </row>
    <row r="514" spans="1:3" x14ac:dyDescent="0.25">
      <c r="A514" s="211"/>
      <c r="B514" s="249"/>
      <c r="C514" s="142" t="str">
        <f t="shared" si="9"/>
        <v/>
      </c>
    </row>
    <row r="515" spans="1:3" x14ac:dyDescent="0.25">
      <c r="A515" s="211"/>
      <c r="B515" s="249"/>
      <c r="C515" s="142" t="str">
        <f t="shared" si="9"/>
        <v/>
      </c>
    </row>
    <row r="516" spans="1:3" x14ac:dyDescent="0.25">
      <c r="A516" s="211"/>
      <c r="B516" s="249"/>
      <c r="C516" s="142" t="str">
        <f t="shared" si="9"/>
        <v/>
      </c>
    </row>
    <row r="517" spans="1:3" x14ac:dyDescent="0.25">
      <c r="A517" s="211"/>
      <c r="B517" s="249"/>
      <c r="C517" s="142" t="str">
        <f t="shared" si="9"/>
        <v/>
      </c>
    </row>
    <row r="518" spans="1:3" x14ac:dyDescent="0.25">
      <c r="A518" s="211"/>
      <c r="B518" s="249"/>
      <c r="C518" s="142" t="str">
        <f t="shared" si="9"/>
        <v/>
      </c>
    </row>
    <row r="519" spans="1:3" x14ac:dyDescent="0.25">
      <c r="A519" s="211"/>
      <c r="B519" s="249"/>
      <c r="C519" s="142" t="str">
        <f t="shared" si="9"/>
        <v/>
      </c>
    </row>
    <row r="520" spans="1:3" x14ac:dyDescent="0.25">
      <c r="A520" s="211"/>
      <c r="B520" s="249"/>
      <c r="C520" s="142" t="str">
        <f t="shared" si="9"/>
        <v/>
      </c>
    </row>
    <row r="521" spans="1:3" x14ac:dyDescent="0.25">
      <c r="A521" s="211"/>
      <c r="B521" s="249"/>
      <c r="C521" s="142" t="str">
        <f t="shared" si="9"/>
        <v/>
      </c>
    </row>
    <row r="522" spans="1:3" x14ac:dyDescent="0.25">
      <c r="A522" s="211"/>
      <c r="B522" s="249"/>
      <c r="C522" s="142" t="str">
        <f t="shared" si="9"/>
        <v/>
      </c>
    </row>
    <row r="523" spans="1:3" x14ac:dyDescent="0.25">
      <c r="A523" s="211"/>
      <c r="B523" s="249"/>
      <c r="C523" s="142" t="str">
        <f t="shared" si="9"/>
        <v/>
      </c>
    </row>
    <row r="524" spans="1:3" x14ac:dyDescent="0.25">
      <c r="A524" s="211"/>
      <c r="B524" s="249"/>
      <c r="C524" s="142" t="str">
        <f t="shared" si="9"/>
        <v/>
      </c>
    </row>
    <row r="525" spans="1:3" x14ac:dyDescent="0.25">
      <c r="A525" s="211"/>
      <c r="B525" s="249"/>
      <c r="C525" s="142" t="str">
        <f t="shared" si="9"/>
        <v/>
      </c>
    </row>
    <row r="526" spans="1:3" x14ac:dyDescent="0.25">
      <c r="A526" s="211"/>
      <c r="B526" s="249"/>
      <c r="C526" s="142" t="str">
        <f t="shared" si="9"/>
        <v/>
      </c>
    </row>
    <row r="527" spans="1:3" x14ac:dyDescent="0.25">
      <c r="A527" s="211"/>
      <c r="B527" s="249"/>
      <c r="C527" s="142" t="str">
        <f t="shared" si="9"/>
        <v/>
      </c>
    </row>
    <row r="528" spans="1:3" x14ac:dyDescent="0.25">
      <c r="A528" s="211"/>
      <c r="B528" s="249"/>
      <c r="C528" s="142" t="str">
        <f t="shared" si="9"/>
        <v/>
      </c>
    </row>
  </sheetData>
  <protectedRanges>
    <protectedRange sqref="A103" name="Range1_2"/>
    <protectedRange sqref="A104" name="Range1_1_1"/>
    <protectedRange sqref="DD5" name="Range1_1_1_2_4_1"/>
    <protectedRange sqref="N6:N13" name="Range1_1"/>
  </protectedRanges>
  <mergeCells count="2">
    <mergeCell ref="I1:K1"/>
    <mergeCell ref="N1:O1"/>
  </mergeCells>
  <phoneticPr fontId="43" type="noConversion"/>
  <conditionalFormatting sqref="A135:A138">
    <cfRule type="duplicateValues" dxfId="39" priority="82"/>
  </conditionalFormatting>
  <conditionalFormatting sqref="XEC33">
    <cfRule type="cellIs" dxfId="38" priority="60" operator="equal">
      <formula>#N/A</formula>
    </cfRule>
  </conditionalFormatting>
  <conditionalFormatting sqref="XEF33">
    <cfRule type="duplicateValues" dxfId="37" priority="61"/>
  </conditionalFormatting>
  <conditionalFormatting sqref="XEC33">
    <cfRule type="containsText" dxfId="36" priority="58" operator="containsText" text="Others">
      <formula>NOT(ISERROR(SEARCH("Others",XEC33)))</formula>
    </cfRule>
    <cfRule type="containsText" dxfId="35" priority="59" operator="containsText" text="#N/A">
      <formula>NOT(ISERROR(SEARCH("#N/A",XEC33)))</formula>
    </cfRule>
  </conditionalFormatting>
  <conditionalFormatting sqref="XEA32">
    <cfRule type="cellIs" dxfId="34" priority="57" operator="equal">
      <formula>#N/A</formula>
    </cfRule>
  </conditionalFormatting>
  <conditionalFormatting sqref="XEA32">
    <cfRule type="containsText" dxfId="33" priority="55" operator="containsText" text="Others">
      <formula>NOT(ISERROR(SEARCH("Others",XEA32)))</formula>
    </cfRule>
    <cfRule type="containsText" dxfId="32" priority="56" operator="containsText" text="#N/A">
      <formula>NOT(ISERROR(SEARCH("#N/A",XEA32)))</formula>
    </cfRule>
  </conditionalFormatting>
  <conditionalFormatting sqref="A124">
    <cfRule type="duplicateValues" dxfId="31" priority="44"/>
  </conditionalFormatting>
  <conditionalFormatting sqref="A98:A100 A2:A9 A103:A107 A11:A64">
    <cfRule type="duplicateValues" dxfId="30" priority="41"/>
  </conditionalFormatting>
  <conditionalFormatting sqref="A98:A100 A2:A9 A103:A108 A11:A96">
    <cfRule type="duplicateValues" dxfId="29" priority="42"/>
  </conditionalFormatting>
  <conditionalFormatting sqref="A2:A9 A11:A118">
    <cfRule type="duplicateValues" dxfId="28" priority="40"/>
  </conditionalFormatting>
  <conditionalFormatting sqref="G2:G37 G51:G118">
    <cfRule type="duplicateValues" dxfId="27" priority="39"/>
  </conditionalFormatting>
  <conditionalFormatting sqref="E2:E37 E51:E118">
    <cfRule type="duplicateValues" dxfId="26" priority="38"/>
  </conditionalFormatting>
  <conditionalFormatting sqref="F37">
    <cfRule type="duplicateValues" dxfId="25" priority="43"/>
  </conditionalFormatting>
  <conditionalFormatting sqref="A119:A120">
    <cfRule type="duplicateValues" dxfId="24" priority="37"/>
  </conditionalFormatting>
  <conditionalFormatting sqref="A1:A132 A134:A138 A529:A1048576">
    <cfRule type="duplicateValues" dxfId="23" priority="9"/>
  </conditionalFormatting>
  <conditionalFormatting sqref="F1:F1048576">
    <cfRule type="duplicateValues" dxfId="22" priority="8"/>
  </conditionalFormatting>
  <conditionalFormatting sqref="A1:A1048576">
    <cfRule type="duplicateValues" dxfId="21" priority="4"/>
  </conditionalFormatting>
  <conditionalFormatting sqref="AR1">
    <cfRule type="cellIs" dxfId="20" priority="3" operator="equal">
      <formula>#N/A</formula>
    </cfRule>
  </conditionalFormatting>
  <conditionalFormatting sqref="AR1">
    <cfRule type="containsText" dxfId="19" priority="1" operator="containsText" text="Others">
      <formula>NOT(ISERROR(SEARCH("Others",AR1)))</formula>
    </cfRule>
    <cfRule type="containsText" dxfId="18" priority="2" operator="containsText" text="#N/A">
      <formula>NOT(ISERROR(SEARCH("#N/A",AR1)))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89" r:id="rId4" name="MSH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8</xdr:row>
                    <xdr:rowOff>0</xdr:rowOff>
                  </from>
                  <to>
                    <xdr:col>9</xdr:col>
                    <xdr:colOff>419100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5" name="AMZ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9</xdr:row>
                    <xdr:rowOff>0</xdr:rowOff>
                  </from>
                  <to>
                    <xdr:col>9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6" name="AMZ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10</xdr:row>
                    <xdr:rowOff>0</xdr:rowOff>
                  </from>
                  <to>
                    <xdr:col>9</xdr:col>
                    <xdr:colOff>419100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7" name="FLC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11</xdr:row>
                    <xdr:rowOff>0</xdr:rowOff>
                  </from>
                  <to>
                    <xdr:col>9</xdr:col>
                    <xdr:colOff>419100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8" name="FLC (C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12</xdr:row>
                    <xdr:rowOff>0</xdr:rowOff>
                  </from>
                  <to>
                    <xdr:col>9</xdr:col>
                    <xdr:colOff>419100</xdr:colOff>
                    <xdr:row>12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" name="SND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13</xdr:row>
                    <xdr:rowOff>0</xdr:rowOff>
                  </from>
                  <to>
                    <xdr:col>9</xdr:col>
                    <xdr:colOff>419100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10" name="JIO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14</xdr:row>
                    <xdr:rowOff>0</xdr:rowOff>
                  </from>
                  <to>
                    <xdr:col>9</xdr:col>
                    <xdr:colOff>419100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11" name="JIO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15</xdr:row>
                    <xdr:rowOff>0</xdr:rowOff>
                  </from>
                  <to>
                    <xdr:col>9</xdr:col>
                    <xdr:colOff>419100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2" name="GL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16</xdr:row>
                    <xdr:rowOff>0</xdr:rowOff>
                  </from>
                  <to>
                    <xdr:col>9</xdr:col>
                    <xdr:colOff>419100</xdr:colOff>
                    <xdr:row>16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3" name="MY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17</xdr:row>
                    <xdr:rowOff>0</xdr:rowOff>
                  </from>
                  <to>
                    <xdr:col>9</xdr:col>
                    <xdr:colOff>419100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4" name="MYR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18</xdr:row>
                    <xdr:rowOff>0</xdr:rowOff>
                  </from>
                  <to>
                    <xdr:col>9</xdr:col>
                    <xdr:colOff>419100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5" name="NPTL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19</xdr:row>
                    <xdr:rowOff>0</xdr:rowOff>
                  </from>
                  <to>
                    <xdr:col>9</xdr:col>
                    <xdr:colOff>419100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6" name="MRW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20</xdr:row>
                    <xdr:rowOff>0</xdr:rowOff>
                  </from>
                  <to>
                    <xdr:col>9</xdr:col>
                    <xdr:colOff>419100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7" name="S101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21</xdr:row>
                    <xdr:rowOff>0</xdr:rowOff>
                  </from>
                  <to>
                    <xdr:col>9</xdr:col>
                    <xdr:colOff>419100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8" name="S101 (2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22</xdr:row>
                    <xdr:rowOff>0</xdr:rowOff>
                  </from>
                  <to>
                    <xdr:col>9</xdr:col>
                    <xdr:colOff>419100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9" name="S101 (3)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23</xdr:row>
                    <xdr:rowOff>0</xdr:rowOff>
                  </from>
                  <to>
                    <xdr:col>9</xdr:col>
                    <xdr:colOff>419100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20" name="VMT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24</xdr:row>
                    <xdr:rowOff>0</xdr:rowOff>
                  </from>
                  <to>
                    <xdr:col>9</xdr:col>
                    <xdr:colOff>419100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21" name="UNI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25</xdr:row>
                    <xdr:rowOff>0</xdr:rowOff>
                  </from>
                  <to>
                    <xdr:col>9</xdr:col>
                    <xdr:colOff>419100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22" name="AMZ TR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26</xdr:row>
                    <xdr:rowOff>0</xdr:rowOff>
                  </from>
                  <to>
                    <xdr:col>9</xdr:col>
                    <xdr:colOff>419100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23" name="GSTR2B_CheckBox">
              <controlPr defaultSize="0" autoFill="0" autoLine="0" autoPict="0" macro="[0]!ToggleSheetVisibility">
                <anchor moveWithCells="1">
                  <from>
                    <xdr:col>8</xdr:col>
                    <xdr:colOff>695325</xdr:colOff>
                    <xdr:row>27</xdr:row>
                    <xdr:rowOff>0</xdr:rowOff>
                  </from>
                  <to>
                    <xdr:col>9</xdr:col>
                    <xdr:colOff>419100</xdr:colOff>
                    <xdr:row>27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7" tint="-0.499984740745262"/>
  </sheetPr>
  <dimension ref="A1:AH4"/>
  <sheetViews>
    <sheetView showRuler="0" workbookViewId="0">
      <selection activeCell="E16" sqref="E16"/>
    </sheetView>
  </sheetViews>
  <sheetFormatPr defaultRowHeight="15" x14ac:dyDescent="0.25"/>
  <cols>
    <col min="1" max="1" width="18" style="16" customWidth="1"/>
    <col min="2" max="2" width="20.85546875" style="16" bestFit="1" customWidth="1"/>
    <col min="3" max="6" width="18" style="16" customWidth="1"/>
    <col min="7" max="7" width="18" style="204" customWidth="1"/>
    <col min="8" max="9" width="18" style="16" customWidth="1"/>
    <col min="10" max="10" width="14.140625" style="16" customWidth="1"/>
    <col min="11" max="12" width="18" style="16" customWidth="1"/>
    <col min="13" max="13" width="19.140625" style="16" customWidth="1"/>
    <col min="14" max="14" width="23.42578125" style="16" customWidth="1"/>
    <col min="15" max="16" width="20.42578125" style="16" customWidth="1"/>
    <col min="17" max="17" width="25" style="267" customWidth="1"/>
    <col min="18" max="18" width="22.28515625" style="16" customWidth="1"/>
    <col min="19" max="24" width="17.85546875" style="16" customWidth="1"/>
    <col min="25" max="25" width="17.85546875" style="204" customWidth="1"/>
    <col min="26" max="26" width="30.42578125" style="16" customWidth="1"/>
    <col min="27" max="31" width="17.85546875" style="16" customWidth="1"/>
    <col min="32" max="32" width="15.7109375" style="330" customWidth="1"/>
    <col min="33" max="33" width="12.42578125" style="16" customWidth="1"/>
    <col min="34" max="34" width="14.7109375" style="16" customWidth="1"/>
    <col min="35" max="16384" width="9.140625" style="16"/>
  </cols>
  <sheetData>
    <row r="1" spans="1:34" x14ac:dyDescent="0.25">
      <c r="A1" s="162"/>
      <c r="B1" s="163"/>
      <c r="C1" s="163"/>
      <c r="D1" s="163"/>
      <c r="E1" s="163"/>
      <c r="F1" s="163"/>
      <c r="G1" s="374"/>
      <c r="H1" s="163"/>
      <c r="I1" s="214"/>
      <c r="J1" s="335" t="s">
        <v>90</v>
      </c>
      <c r="K1" s="341" t="str">
        <f>+IF(K2=0,"Done","Pending")</f>
        <v>Done</v>
      </c>
      <c r="L1" s="336"/>
      <c r="M1" s="337"/>
      <c r="N1" s="333" t="s">
        <v>90</v>
      </c>
      <c r="O1" s="216" t="s">
        <v>87</v>
      </c>
      <c r="P1" s="217" t="s">
        <v>88</v>
      </c>
      <c r="Q1" s="269" t="s">
        <v>100</v>
      </c>
      <c r="R1" s="271" t="s">
        <v>103</v>
      </c>
      <c r="S1" s="218" t="s">
        <v>105</v>
      </c>
      <c r="T1" s="218" t="s">
        <v>761</v>
      </c>
      <c r="U1" s="219" t="s">
        <v>760</v>
      </c>
      <c r="V1" s="218" t="s">
        <v>107</v>
      </c>
      <c r="W1" s="218"/>
      <c r="X1" s="219" t="s">
        <v>735</v>
      </c>
      <c r="AA1" s="116"/>
      <c r="AB1" s="17"/>
      <c r="AD1" s="71"/>
      <c r="AE1" s="24"/>
    </row>
    <row r="2" spans="1:34" ht="16.5" thickBot="1" x14ac:dyDescent="0.3">
      <c r="A2" s="164"/>
      <c r="B2" s="358"/>
      <c r="C2" s="165"/>
      <c r="D2" s="165"/>
      <c r="E2" s="165"/>
      <c r="F2" s="165"/>
      <c r="G2" s="375"/>
      <c r="H2" s="165"/>
      <c r="I2" s="215"/>
      <c r="J2" s="338">
        <f>+MSH!H2+'AMZ (2)'!H2+FLC!H2+'FLC (C)'!H2+SND!H2+'JIO (2)'!H2+MYR!H2+'S101'!H2+JIO!H2+GLR!H2+MRW!H2+'S101 (2)'!H2+VMT!H2+'MYR (2)'!H2+'S101 (3)'!H2+UNI!H2+AMZ!H2</f>
        <v>0</v>
      </c>
      <c r="K2" s="342">
        <f>+J2-N2</f>
        <v>0</v>
      </c>
      <c r="L2" s="339"/>
      <c r="M2" s="340"/>
      <c r="N2" s="334">
        <f>+O2+P2</f>
        <v>0</v>
      </c>
      <c r="O2" s="220">
        <f>+COUNTIF($L:$L,"&gt;"&amp;0)</f>
        <v>0</v>
      </c>
      <c r="P2" s="221">
        <f>+COUNTIF($L:$L,"&lt;"&amp;0)</f>
        <v>0</v>
      </c>
      <c r="Q2" s="270">
        <f>+SUM(L:L)</f>
        <v>0</v>
      </c>
      <c r="R2" s="272">
        <f>+COUNTA($Q:$Q)-3</f>
        <v>0</v>
      </c>
      <c r="S2" s="222">
        <f>+SUM(M:M)</f>
        <v>0</v>
      </c>
      <c r="T2" s="223" t="str">
        <f>IF(Q2=0,"0",COUNTIF(R:R, "&gt;" &amp; U2))</f>
        <v>0</v>
      </c>
      <c r="U2" s="274">
        <v>85000</v>
      </c>
      <c r="V2" s="223">
        <f>+N2-R2</f>
        <v>0</v>
      </c>
      <c r="W2" s="273"/>
      <c r="X2" s="273" t="str">
        <f>+IFERROR((V2/N2),"")</f>
        <v/>
      </c>
      <c r="Y2" s="71">
        <f>+SUM(AD:AD)</f>
        <v>0</v>
      </c>
      <c r="Z2" s="71">
        <f>+Q2-Y2</f>
        <v>0</v>
      </c>
      <c r="AB2" s="24"/>
      <c r="AC2" s="24"/>
      <c r="AD2" s="24"/>
      <c r="AE2" s="24"/>
    </row>
    <row r="3" spans="1:34" ht="32.25" customHeight="1" x14ac:dyDescent="0.25">
      <c r="A3" s="68" t="s">
        <v>85</v>
      </c>
      <c r="B3" s="204"/>
      <c r="C3" s="378"/>
      <c r="D3" s="77">
        <f ca="1">+MSH!N2+FLC!N2+'AMZ (2)'!N2+SND!N2+GLR!N2+MRW!N2+'S101'!N2+JIO!N2+MYR!N2+VMT!N2+'JIO (2)'!N2</f>
        <v>0</v>
      </c>
      <c r="E3" s="78" t="str">
        <f>+IF(F3=0," ","Month State Check : ++++")</f>
        <v xml:space="preserve"> </v>
      </c>
      <c r="F3" s="77">
        <v>0</v>
      </c>
      <c r="G3" s="376" t="s">
        <v>319</v>
      </c>
      <c r="H3" s="379">
        <v>10</v>
      </c>
      <c r="I3" s="138" t="str">
        <f>+IF(J3=1,"All","State")</f>
        <v>State</v>
      </c>
      <c r="J3" s="380">
        <v>2</v>
      </c>
      <c r="K3" s="137"/>
      <c r="M3" s="69"/>
      <c r="N3" s="104" t="str">
        <f>IFERROR(IF($J$3=1,L3/K3,IF(F3="",CONCATENATE(IF(L3&gt;0,"","R-"),LEFT(B3,2),VLOOKUP(A3,Help!$F$2:$G$60,2,0),"-",VLOOKUP(E3,Help!$F$2:$G$60,2,0),TEXT(O3,"m"),LEFT(I3,6),LEFT(J3,2),),IF(L3&gt;0,H3,CONCATENATE("R-",H3)))),"Data MisMatch Check Data")</f>
        <v>R-10</v>
      </c>
      <c r="O3" s="70" t="e">
        <f ca="1">IF($J$3=2,VALUE(CONCATENATE(IF(DAY(G3)&gt;28,28,DAY(G3)),"/",IF($H$3="Last Month",MONTH(NOW())-1,IF($H$3="Default",TEXT(G3,"mm"),$H$3)),"/",TEXT(G3,"yyyy"))),"")</f>
        <v>#VALUE!</v>
      </c>
      <c r="P3" s="24" t="str">
        <f>+IF(E3=$W$2,"ECom GST","ECom IGST")</f>
        <v>ECom IGST</v>
      </c>
      <c r="Q3" s="266"/>
      <c r="R3" s="369" t="str">
        <f>IF(S3="",IF(Q3&lt;&gt;"", SUMIFS(#REF!,#REF!, Q3), ""),"")</f>
        <v/>
      </c>
      <c r="S3" s="370" t="str">
        <f>IF(Q3="", "", INDEX(#REF!, MATCH(Q3,#REF!, 0)))</f>
        <v/>
      </c>
      <c r="T3" s="371" t="str">
        <f>IF(Q3="", "", INDEX(#REF!, MATCH(Q3,#REF!, 0)))</f>
        <v/>
      </c>
      <c r="U3" s="369" t="str">
        <f>IF(Q3="", "", INDEX(#REF!, MATCH(Q3,#REF!, 0)))</f>
        <v/>
      </c>
      <c r="V3" s="369" t="str">
        <f>AB3 &amp; "%" &amp; " (" &amp; AA3 &amp; ")"</f>
        <v>% ()</v>
      </c>
      <c r="W3" s="371" t="e">
        <f>+IF(X3="",INDEX(#REF!,MATCH(Q3,#REF!,0)),INDEX(Help!$F$2:$F$49,MATCH(VALUE(LEFT(X3,2)),Help!$E$2:$E$49,0)))</f>
        <v>#REF!</v>
      </c>
      <c r="X3" s="372" t="str">
        <f>IF(Q3="", "", IFERROR(INDEX(#REF!, MATCH(Q3,#REF!, 0)), ""))</f>
        <v/>
      </c>
      <c r="Y3" s="371" t="str">
        <f>IF(Q3="", "", IFERROR(INDEX(#REF!, MATCH(Q3,#REF!, 0)), ""))</f>
        <v/>
      </c>
      <c r="Z3" s="370" t="str">
        <f>SUBSTITUTE(Q3,"R-","")</f>
        <v/>
      </c>
      <c r="AA3" s="370" t="str">
        <f>IF($Q3="", "", IFERROR(VALUE(INDEX(#REF!, MATCH($Q3,#REF!, 0))), ""))</f>
        <v/>
      </c>
      <c r="AB3" s="370" t="str">
        <f>IF($Q3="", "", IFERROR(INDEX(#REF!, MATCH($Q3,#REF!, 0)), ""))</f>
        <v/>
      </c>
      <c r="AC3" s="370" t="e">
        <f>IF(VALUE(SUMIF(#REF!,Q3,#REF!))=0, 1, VALUE(SUMIF(#REF!,Q3,#REF!)))</f>
        <v>#REF!</v>
      </c>
      <c r="AD3" s="102" t="str">
        <f>IF(Q3="", "", SUMIFS(#REF!,#REF!, Q3))</f>
        <v/>
      </c>
      <c r="AE3" s="102" t="str">
        <f>IF(Q3="", "", SUMIFS(#REF!,#REF!, Q3))</f>
        <v/>
      </c>
      <c r="AF3" s="329" t="e">
        <f>+AD3/AC3</f>
        <v>#VALUE!</v>
      </c>
      <c r="AG3" s="103" t="s">
        <v>85</v>
      </c>
      <c r="AH3" s="99" t="e">
        <f>+IF(W3=$W$2,"ECom GST","ECom IGST")</f>
        <v>#REF!</v>
      </c>
    </row>
    <row r="4" spans="1:34" s="133" customFormat="1" x14ac:dyDescent="0.25">
      <c r="A4" s="131" t="s">
        <v>71</v>
      </c>
      <c r="B4" s="131" t="s">
        <v>72</v>
      </c>
      <c r="C4" s="213" t="s">
        <v>73</v>
      </c>
      <c r="D4" s="131" t="s">
        <v>239</v>
      </c>
      <c r="E4" s="131" t="s">
        <v>1</v>
      </c>
      <c r="F4" s="213" t="s">
        <v>74</v>
      </c>
      <c r="G4" s="377" t="s">
        <v>75</v>
      </c>
      <c r="H4" s="131" t="s">
        <v>76</v>
      </c>
      <c r="I4" s="130" t="s">
        <v>238</v>
      </c>
      <c r="J4" s="131" t="s">
        <v>54</v>
      </c>
      <c r="K4" s="131" t="s">
        <v>78</v>
      </c>
      <c r="L4" s="131" t="s">
        <v>79</v>
      </c>
      <c r="M4" s="131" t="s">
        <v>80</v>
      </c>
      <c r="N4" s="132" t="s">
        <v>418</v>
      </c>
      <c r="O4" s="132" t="str">
        <f>+IF(J3=2,"Month Date","")</f>
        <v>Month Date</v>
      </c>
      <c r="P4" s="132" t="s">
        <v>304</v>
      </c>
      <c r="Q4" s="132" t="s">
        <v>418</v>
      </c>
      <c r="R4" s="268"/>
      <c r="S4" s="212" t="s">
        <v>71</v>
      </c>
      <c r="T4" s="212" t="s">
        <v>884</v>
      </c>
      <c r="U4" s="212" t="s">
        <v>885</v>
      </c>
      <c r="V4" s="212" t="s">
        <v>305</v>
      </c>
      <c r="W4" s="212" t="s">
        <v>1</v>
      </c>
      <c r="X4" s="212" t="s">
        <v>74</v>
      </c>
      <c r="Y4" s="332" t="s">
        <v>75</v>
      </c>
      <c r="Z4" s="212" t="s">
        <v>76</v>
      </c>
      <c r="AA4" s="212" t="s">
        <v>55</v>
      </c>
      <c r="AB4" s="212" t="s">
        <v>54</v>
      </c>
      <c r="AC4" s="212" t="s">
        <v>78</v>
      </c>
      <c r="AD4" s="212" t="s">
        <v>106</v>
      </c>
      <c r="AE4" s="212" t="s">
        <v>80</v>
      </c>
      <c r="AF4" s="331" t="s">
        <v>318</v>
      </c>
      <c r="AG4" s="212"/>
      <c r="AH4" s="212" t="s">
        <v>304</v>
      </c>
    </row>
  </sheetData>
  <sheetProtection algorithmName="SHA-512" hashValue="zXSMlnb/m1uvDsSti5MWwtqb4PmHJzdm7wjuj8NzKujQwYo62y4DDCeTN0V/75W0O29BCcDYzm+eEcPI+0QmhA==" saltValue="7TqyTTqUmH4yPaRLNlUl6Q==" spinCount="100000" sheet="1" objects="1" scenarios="1"/>
  <dataConsolidate/>
  <conditionalFormatting sqref="N1">
    <cfRule type="cellIs" dxfId="17" priority="3173" operator="equal">
      <formula>#N/A</formula>
    </cfRule>
  </conditionalFormatting>
  <conditionalFormatting sqref="J1">
    <cfRule type="cellIs" dxfId="16" priority="3172" operator="equal">
      <formula>#N/A</formula>
    </cfRule>
  </conditionalFormatting>
  <conditionalFormatting sqref="F1:F2">
    <cfRule type="containsText" dxfId="15" priority="3164" operator="containsText" text="Others">
      <formula>NOT(ISERROR(SEARCH("Others",F1)))</formula>
    </cfRule>
    <cfRule type="containsText" dxfId="14" priority="3165" operator="containsText" text="#N/A">
      <formula>NOT(ISERROR(SEARCH("#N/A",F1)))</formula>
    </cfRule>
  </conditionalFormatting>
  <conditionalFormatting sqref="Q1:Q2">
    <cfRule type="cellIs" dxfId="13" priority="3024" operator="equal">
      <formula>#N/A</formula>
    </cfRule>
  </conditionalFormatting>
  <conditionalFormatting sqref="S2:V2">
    <cfRule type="cellIs" dxfId="12" priority="3020" operator="equal">
      <formula>#N/A</formula>
    </cfRule>
  </conditionalFormatting>
  <conditionalFormatting sqref="R1:R2">
    <cfRule type="duplicateValues" dxfId="11" priority="2976"/>
  </conditionalFormatting>
  <conditionalFormatting sqref="D3">
    <cfRule type="cellIs" dxfId="10" priority="2830" operator="greaterThan">
      <formula>0</formula>
    </cfRule>
  </conditionalFormatting>
  <conditionalFormatting sqref="F3">
    <cfRule type="containsText" dxfId="9" priority="2828" operator="containsText" text="Others">
      <formula>NOT(ISERROR(SEARCH("Others",F3)))</formula>
    </cfRule>
    <cfRule type="containsText" dxfId="8" priority="2829" operator="containsText" text="#N/A">
      <formula>NOT(ISERROR(SEARCH("#N/A",F3)))</formula>
    </cfRule>
  </conditionalFormatting>
  <conditionalFormatting sqref="Q3">
    <cfRule type="duplicateValues" dxfId="7" priority="2719"/>
  </conditionalFormatting>
  <conditionalFormatting sqref="Q3">
    <cfRule type="duplicateValues" dxfId="6" priority="2718"/>
  </conditionalFormatting>
  <conditionalFormatting sqref="G3">
    <cfRule type="duplicateValues" dxfId="5" priority="2510"/>
  </conditionalFormatting>
  <conditionalFormatting sqref="I3">
    <cfRule type="duplicateValues" dxfId="4" priority="3176"/>
  </conditionalFormatting>
  <conditionalFormatting sqref="R1:R2">
    <cfRule type="duplicateValues" dxfId="3" priority="3178"/>
  </conditionalFormatting>
  <conditionalFormatting sqref="U3">
    <cfRule type="cellIs" dxfId="2" priority="3" operator="equal">
      <formula>#N/A</formula>
    </cfRule>
  </conditionalFormatting>
  <conditionalFormatting sqref="U3">
    <cfRule type="containsText" dxfId="1" priority="1" operator="containsText" text="Others">
      <formula>NOT(ISERROR(SEARCH("Others",U3)))</formula>
    </cfRule>
    <cfRule type="containsText" dxfId="0" priority="2" operator="containsText" text="#N/A">
      <formula>NOT(ISERROR(SEARCH("#N/A",U3)))</formula>
    </cfRule>
  </conditionalFormatting>
  <dataValidations count="1">
    <dataValidation type="list" allowBlank="1" showInputMessage="1" showErrorMessage="1" sqref="H3" xr:uid="{00000000-0002-0000-1100-000001000000}">
      <formula1>",01,02,03,04,05,06,07,08,09,10,11,12,Last Month,Default"</formula1>
    </dataValidation>
  </dataValidation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3:O13"/>
  <sheetViews>
    <sheetView showRuler="0" workbookViewId="0">
      <selection activeCell="K28" sqref="K28"/>
    </sheetView>
  </sheetViews>
  <sheetFormatPr defaultRowHeight="15" x14ac:dyDescent="0.25"/>
  <cols>
    <col min="1" max="1" width="18.28515625" customWidth="1"/>
    <col min="2" max="2" width="28.5703125" customWidth="1"/>
    <col min="3" max="3" width="23.42578125" customWidth="1"/>
    <col min="15" max="15" width="8" customWidth="1"/>
  </cols>
  <sheetData>
    <row r="3" spans="1:15" x14ac:dyDescent="0.25">
      <c r="O3" s="186" t="s">
        <v>913</v>
      </c>
    </row>
    <row r="4" spans="1:15" x14ac:dyDescent="0.25">
      <c r="O4" s="186"/>
    </row>
    <row r="6" spans="1:15" x14ac:dyDescent="0.25">
      <c r="A6" s="313" t="s">
        <v>806</v>
      </c>
      <c r="B6" s="314"/>
      <c r="E6" s="317"/>
    </row>
    <row r="7" spans="1:15" x14ac:dyDescent="0.25">
      <c r="A7" s="313" t="s">
        <v>72</v>
      </c>
      <c r="B7" s="314"/>
    </row>
    <row r="8" spans="1:15" x14ac:dyDescent="0.25">
      <c r="A8" s="313" t="s">
        <v>807</v>
      </c>
      <c r="B8" s="314"/>
    </row>
    <row r="9" spans="1:15" x14ac:dyDescent="0.25">
      <c r="A9" s="313" t="s">
        <v>808</v>
      </c>
      <c r="B9" s="314"/>
    </row>
    <row r="10" spans="1:15" x14ac:dyDescent="0.25">
      <c r="A10" s="313" t="s">
        <v>810</v>
      </c>
      <c r="B10" s="314"/>
    </row>
    <row r="11" spans="1:15" x14ac:dyDescent="0.25">
      <c r="A11" s="313" t="s">
        <v>811</v>
      </c>
      <c r="B11" s="315"/>
    </row>
    <row r="12" spans="1:15" x14ac:dyDescent="0.25">
      <c r="A12" s="313" t="s">
        <v>809</v>
      </c>
      <c r="B12" s="315"/>
    </row>
    <row r="13" spans="1:15" x14ac:dyDescent="0.25">
      <c r="A13" s="313" t="s">
        <v>832</v>
      </c>
      <c r="B13" s="315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4A2F86-D9F6-472B-B8AA-291DDDF90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MSH</vt:lpstr>
      <vt:lpstr>AMZ</vt:lpstr>
      <vt:lpstr>AMZ (2)</vt:lpstr>
      <vt:lpstr>FLC</vt:lpstr>
      <vt:lpstr>FLC (C)</vt:lpstr>
      <vt:lpstr>SND</vt:lpstr>
      <vt:lpstr>JIO</vt:lpstr>
      <vt:lpstr>JIO (2)</vt:lpstr>
      <vt:lpstr>GLR</vt:lpstr>
      <vt:lpstr>MYR</vt:lpstr>
      <vt:lpstr>MYR (2)</vt:lpstr>
      <vt:lpstr>NPTL</vt:lpstr>
      <vt:lpstr>MRW</vt:lpstr>
      <vt:lpstr>S101</vt:lpstr>
      <vt:lpstr>S101 (2)</vt:lpstr>
      <vt:lpstr>S101 (3)</vt:lpstr>
      <vt:lpstr>VMT</vt:lpstr>
      <vt:lpstr>UNI</vt:lpstr>
      <vt:lpstr>AMZ TR</vt:lpstr>
      <vt:lpstr>GSTR2B</vt:lpstr>
      <vt:lpstr>Help</vt:lpstr>
      <vt:lpstr>MasterMonth</vt:lpstr>
      <vt:lpstr>Registration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cp:lastPrinted>2024-05-16T13:51:18Z</cp:lastPrinted>
  <dcterms:created xsi:type="dcterms:W3CDTF">2015-06-05T18:17:20Z</dcterms:created>
  <dcterms:modified xsi:type="dcterms:W3CDTF">2024-12-17T11:21:19Z</dcterms:modified>
</cp:coreProperties>
</file>