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42A7EE21-C8D9-4AE5-B77A-2348A60AAF47}" xr6:coauthVersionLast="47" xr6:coauthVersionMax="47" xr10:uidLastSave="{00000000-0000-0000-0000-000000000000}"/>
  <bookViews>
    <workbookView xWindow="-28920" yWindow="-120" windowWidth="29040" windowHeight="15840" tabRatio="798" activeTab="19" xr2:uid="{00000000-000D-0000-FFFF-FFFF00000000}"/>
  </bookViews>
  <sheets>
    <sheet name="MSH" sheetId="3" r:id="rId1"/>
    <sheet name="AMZ" sheetId="35" r:id="rId2"/>
    <sheet name="AMZ (2)" sheetId="10" state="hidden" r:id="rId3"/>
    <sheet name="FLC" sheetId="9" r:id="rId4"/>
    <sheet name="FLC (C)" sheetId="22" r:id="rId5"/>
    <sheet name="SND" sheetId="11" state="hidden" r:id="rId6"/>
    <sheet name="JIO" sheetId="17" r:id="rId7"/>
    <sheet name="JIO (2)" sheetId="19" state="hidden" r:id="rId8"/>
    <sheet name="GLR" sheetId="12" state="hidden" r:id="rId9"/>
    <sheet name="MYR" sheetId="20" state="hidden" r:id="rId10"/>
    <sheet name="MYR (2)" sheetId="24" state="hidden" r:id="rId11"/>
    <sheet name="NPTL" sheetId="26" state="hidden" r:id="rId12"/>
    <sheet name="MRW" sheetId="14" state="hidden" r:id="rId13"/>
    <sheet name="S101" sheetId="15" state="hidden" r:id="rId14"/>
    <sheet name="S101 (2)" sheetId="23" state="hidden" r:id="rId15"/>
    <sheet name="S101 (3)" sheetId="32" state="hidden" r:id="rId16"/>
    <sheet name="VMT" sheetId="25" state="hidden" r:id="rId17"/>
    <sheet name="UNI" sheetId="34" state="hidden" r:id="rId18"/>
    <sheet name="AMZ TR" sheetId="33" state="hidden" r:id="rId19"/>
    <sheet name="GSTR2B" sheetId="28" r:id="rId20"/>
    <sheet name="Help" sheetId="1" r:id="rId21"/>
    <sheet name="MasterMonth" sheetId="16" r:id="rId22"/>
    <sheet name="Registration" sheetId="31" state="hidden" r:id="rId23"/>
  </sheets>
  <functionGroups builtInGroupCount="19"/>
  <definedNames>
    <definedName name="_xlnm._FilterDatabase" localSheetId="1" hidden="1">AMZ!$A$4:$DZ$4</definedName>
    <definedName name="_xlnm._FilterDatabase" localSheetId="2" hidden="1">'AMZ (2)'!$A$4:$DZ$4</definedName>
    <definedName name="_xlnm._FilterDatabase" localSheetId="18" hidden="1">'AMZ TR'!$A$4:$DX$4</definedName>
    <definedName name="_xlnm._FilterDatabase" localSheetId="3" hidden="1">FLC!#REF!</definedName>
    <definedName name="_xlnm._FilterDatabase" localSheetId="4" hidden="1">'FLC (C)'!#REF!</definedName>
    <definedName name="_xlnm._FilterDatabase" localSheetId="19" hidden="1">GSTR2B!$A$4:$DZ$4</definedName>
    <definedName name="_xlnm._FilterDatabase" localSheetId="20" hidden="1">Help!$C$1:$C$7</definedName>
    <definedName name="_xlnm._FilterDatabase" localSheetId="6" hidden="1">JIO!$A$4:$DT$4</definedName>
    <definedName name="_xlnm._FilterDatabase" localSheetId="7" hidden="1">'JIO (2)'!$A$4:$DT$4</definedName>
    <definedName name="_xlnm._FilterDatabase" localSheetId="21" hidden="1">MasterMonth!$A$4:$P$4</definedName>
    <definedName name="_xlnm._FilterDatabase" localSheetId="0" hidden="1">MSH!$A$4:$DQ$4</definedName>
    <definedName name="_xlnm._FilterDatabase" localSheetId="11" hidden="1">NPTL!$A$4:$DZ$4</definedName>
    <definedName name="_xlnm._FilterDatabase" localSheetId="13" hidden="1">'S101'!$A$4:$DZ$4</definedName>
    <definedName name="_xlnm._FilterDatabase" localSheetId="14" hidden="1">'S101 (2)'!$A$4:$DZ$4</definedName>
    <definedName name="_xlnm._FilterDatabase" localSheetId="15" hidden="1">'S101 (3)'!$A$4:$DZ$4</definedName>
    <definedName name="_xlnm._FilterDatabase" localSheetId="5" hidden="1">SND!$DA$4:$DM$4</definedName>
    <definedName name="_xlnm._FilterDatabase" localSheetId="17" hidden="1">UNI!$A$4:$DT$4</definedName>
    <definedName name="_xlnm._FilterDatabase" localSheetId="16" hidden="1">VMT!$A$4:$DZ$4</definedName>
    <definedName name="_xlnm.Extract" localSheetId="21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V3" i="16" s="1"/>
  <c r="Z3" i="16"/>
  <c r="Y3" i="16"/>
  <c r="X3" i="16"/>
  <c r="W3" i="16"/>
  <c r="AH3" i="16" s="1"/>
  <c r="U3" i="16"/>
  <c r="T3" i="16"/>
  <c r="S3" i="16"/>
  <c r="R3" i="16" s="1"/>
  <c r="E2" i="19"/>
  <c r="N3" i="16"/>
  <c r="DA3" i="32"/>
  <c r="DB3" i="32"/>
  <c r="DA3" i="17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AF3" i="16" l="1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J2" i="16" l="1"/>
  <c r="AH1" i="9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<sst xmlns="http://schemas.openxmlformats.org/spreadsheetml/2006/main" count="2270" uniqueCount="914">
  <si>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</si>
  <si>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</si>
  <si>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</si>
  <si>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</si>
  <si>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</si>
  <si>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</si>
  <si>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</si>
  <si>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</si>
  <si>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</si>
  <si>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</si>
  <si>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</si>
  <si>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</si>
  <si>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</si>
  <si>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</si>
  <si>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</si>
  <si>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</si>
  <si>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</si>
  <si>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</si>
  <si>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</si>
  <si>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</si>
  <si>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</si>
  <si>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</si>
  <si>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</si>
  <si>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</si>
  <si>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</si>
  <si>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</si>
  <si>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</si>
  <si>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</si>
  <si>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</si>
  <si>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</si>
  <si>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</si>
  <si>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</si>
  <si>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</si>
  <si>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</si>
  <si>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</si>
  <si>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</si>
  <si>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</si>
  <si>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</si>
  <si>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</si>
  <si>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</si>
  <si>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</si>
  <si>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</si>
  <si>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</si>
  <si>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</si>
  <si>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</si>
  <si>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</si>
  <si>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</si>
  <si>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</si>
  <si>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</si>
  <si>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</si>
  <si>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</si>
  <si>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</si>
  <si>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</si>
  <si>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</si>
  <si>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</si>
  <si>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</si>
  <si>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</si>
  <si>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</si>
  <si>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</si>
  <si>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</si>
  <si>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</si>
  <si>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</si>
  <si>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</si>
  <si>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</si>
  <si>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</si>
  <si>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</si>
  <si>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</si>
  <si>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</si>
  <si>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</si>
  <si>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</si>
  <si>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</si>
  <si>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</si>
  <si>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</si>
  <si>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</si>
  <si>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</si>
  <si>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</si>
  <si>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</si>
  <si>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</si>
  <si>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</si>
  <si>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</si>
  <si>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</si>
  <si>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</si>
  <si>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</si>
  <si>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</si>
  <si>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</si>
  <si>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</si>
  <si>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</si>
  <si>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</si>
  <si>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</si>
  <si>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</si>
  <si>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</si>
  <si>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</si>
  <si>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</si>
  <si>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</si>
  <si>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</si>
  <si>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</si>
  <si>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</si>
  <si>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</si>
  <si>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</si>
  <si>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</si>
  <si>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</si>
  <si>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</si>
  <si>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</si>
  <si>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</si>
  <si>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</si>
  <si>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</si>
  <si>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</si>
  <si>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</si>
  <si>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</si>
  <si>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</si>
  <si>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</si>
  <si>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</si>
  <si>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</si>
  <si>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</si>
  <si>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</si>
  <si>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</si>
  <si>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</si>
  <si>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</si>
  <si>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</si>
  <si>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</si>
  <si>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</si>
  <si>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</si>
  <si>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</si>
  <si>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</si>
  <si>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</si>
  <si>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</si>
  <si>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</si>
  <si>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</si>
  <si>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</si>
  <si>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</si>
  <si>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</si>
  <si>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</si>
  <si>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</si>
  <si>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</si>
  <si>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</si>
  <si>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</si>
  <si>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</si>
  <si>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</si>
  <si>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</si>
  <si>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</si>
  <si>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</si>
  <si>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</si>
  <si>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</si>
  <si>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</si>
  <si>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</si>
  <si>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</si>
  <si>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</si>
  <si>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</si>
  <si>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</si>
  <si>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</si>
  <si>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</si>
  <si>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</si>
  <si>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</si>
  <si>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</si>
  <si>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</si>
  <si>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</si>
  <si>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</si>
  <si>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</si>
  <si>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</si>
  <si>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</si>
  <si>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</si>
  <si>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</si>
  <si>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</si>
  <si>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</si>
  <si>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</si>
  <si>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</si>
  <si>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</si>
  <si>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</si>
  <si>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</si>
  <si>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</si>
  <si>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</si>
  <si>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</si>
  <si>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</si>
  <si>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</si>
  <si>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</si>
  <si>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</si>
  <si>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</si>
  <si>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</si>
  <si>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</si>
  <si>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</si>
  <si>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</si>
  <si>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</si>
  <si>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</si>
  <si>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</si>
  <si>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</si>
  <si>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</si>
  <si>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</si>
  <si>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</si>
  <si>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</si>
  <si>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</si>
  <si>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</si>
  <si>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</si>
  <si>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</si>
  <si>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</si>
  <si>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</si>
  <si>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</si>
  <si>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</si>
  <si>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</si>
  <si>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</si>
  <si>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</si>
  <si>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</si>
  <si>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</si>
  <si>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</si>
  <si>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</si>
  <si>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</si>
  <si>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</si>
  <si>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</si>
  <si>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</si>
  <si>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</si>
  <si>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</si>
  <si>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</si>
  <si>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</si>
  <si>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</si>
  <si>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</si>
  <si>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</si>
  <si>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</si>
  <si>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</si>
  <si>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</si>
  <si>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</si>
  <si>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</si>
  <si>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</si>
  <si>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</si>
  <si>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</si>
  <si>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</si>
  <si>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</si>
  <si>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</si>
  <si>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</si>
  <si>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</si>
  <si>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</si>
  <si>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</si>
  <si>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</si>
  <si>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</si>
  <si>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</si>
  <si>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</si>
  <si>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</si>
  <si>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</si>
  <si>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</si>
  <si>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</si>
  <si>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</si>
  <si>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</si>
  <si>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</si>
  <si>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</si>
  <si>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</si>
  <si>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</si>
  <si>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</si>
  <si>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</si>
  <si>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</si>
  <si>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</si>
  <si>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</si>
  <si>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</si>
  <si>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</si>
  <si>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</si>
  <si>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</si>
  <si>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</si>
  <si>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</si>
  <si>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</si>
  <si>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</si>
  <si>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</si>
  <si>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</si>
  <si>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</si>
  <si>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</si>
  <si>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</si>
  <si>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</si>
  <si>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</si>
  <si>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</si>
  <si>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</si>
  <si>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</si>
  <si>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</si>
  <si>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</si>
  <si>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</si>
  <si>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</si>
  <si>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</si>
  <si>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</si>
  <si>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</si>
  <si>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</si>
  <si>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</si>
  <si>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</si>
  <si>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</si>
  <si>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</si>
  <si>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</si>
  <si>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</si>
  <si>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</si>
  <si>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</si>
  <si>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</si>
  <si>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</si>
  <si>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</si>
  <si>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</si>
  <si>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</si>
  <si>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</si>
  <si>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</si>
  <si>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</si>
  <si>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</si>
  <si>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</si>
  <si>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</si>
  <si>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</si>
  <si>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</si>
  <si>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</si>
  <si>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</si>
  <si>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</si>
  <si>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</si>
  <si>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</si>
  <si>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</si>
  <si>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</si>
  <si>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</si>
  <si>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</si>
  <si>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</si>
  <si>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</si>
  <si>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</si>
  <si>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</si>
  <si>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</si>
  <si>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</si>
  <si>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</si>
  <si>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</si>
  <si>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</si>
  <si>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</si>
  <si>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</si>
  <si>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</si>
  <si>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</si>
  <si>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</si>
  <si>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</si>
  <si>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</si>
  <si>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</si>
  <si>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</si>
  <si>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</si>
  <si>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</si>
  <si>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</si>
  <si>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</si>
  <si>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</si>
  <si>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</si>
  <si>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</si>
  <si>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</si>
  <si>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</si>
  <si>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</si>
  <si>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</si>
  <si>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</si>
  <si>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</si>
  <si>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</si>
  <si>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</si>
  <si>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</si>
  <si>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</si>
  <si>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</si>
  <si>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</si>
  <si>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</si>
  <si>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</si>
  <si>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</si>
  <si>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</si>
  <si>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</si>
  <si>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</si>
  <si>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</si>
  <si>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</si>
  <si>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</si>
  <si>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</si>
  <si>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</si>
  <si>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</si>
  <si>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</si>
  <si>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</si>
  <si>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</si>
  <si>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</si>
  <si>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</si>
  <si>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</si>
  <si>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</si>
  <si>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</si>
  <si>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</si>
  <si>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</si>
  <si>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</si>
  <si>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</si>
  <si>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</si>
  <si>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</si>
  <si>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</si>
  <si>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</si>
  <si>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</si>
  <si>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</si>
  <si>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</si>
  <si>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</si>
  <si>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</si>
  <si>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</si>
  <si>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</si>
  <si>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</si>
  <si>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</si>
  <si>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</si>
  <si>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</si>
  <si>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</si>
  <si>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</si>
  <si>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</si>
  <si>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</si>
  <si>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</si>
  <si>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</si>
  <si>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</si>
  <si>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</si>
  <si>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</si>
  <si>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</si>
  <si>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</si>
  <si>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</si>
  <si>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</si>
  <si>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</si>
  <si>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</si>
  <si>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</si>
  <si>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</si>
  <si>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</si>
  <si>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</si>
  <si>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</si>
  <si>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</si>
  <si>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</si>
  <si>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</si>
  <si>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</si>
  <si>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</si>
  <si>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</si>
  <si>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</si>
  <si>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</si>
  <si>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</si>
  <si>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</si>
  <si>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</si>
  <si>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</si>
  <si>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</si>
  <si>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</si>
  <si>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</si>
  <si>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</si>
  <si>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</si>
  <si>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</si>
  <si>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</si>
  <si>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</si>
  <si>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</si>
  <si>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</si>
  <si>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</si>
  <si>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</si>
  <si>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</si>
  <si>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</si>
  <si>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</si>
  <si>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</si>
  <si>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</si>
  <si>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</si>
  <si>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</si>
  <si>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</si>
  <si>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</si>
  <si>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</si>
  <si>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</si>
  <si>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</si>
  <si>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</si>
  <si>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</si>
  <si>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</si>
  <si>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</si>
  <si>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</si>
  <si>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</si>
  <si>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</si>
  <si>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</si>
  <si>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</si>
  <si>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</si>
  <si>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</si>
  <si>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</si>
  <si>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</si>
  <si>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</si>
  <si>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</si>
  <si>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</si>
  <si>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</si>
  <si>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</si>
  <si>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</si>
  <si>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</si>
  <si>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</si>
  <si>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</si>
  <si>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</si>
  <si>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</si>
  <si>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</si>
  <si>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</si>
  <si>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</si>
  <si>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</si>
  <si>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</si>
  <si>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</si>
  <si>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</si>
  <si>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</si>
  <si>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</si>
  <si>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</si>
  <si>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</si>
  <si>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</si>
  <si>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</si>
  <si>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</si>
  <si>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</si>
  <si>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</si>
  <si>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</si>
  <si>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</si>
  <si>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</si>
  <si>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</si>
  <si>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</si>
  <si>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</si>
  <si>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</si>
  <si>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</si>
  <si>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</si>
  <si>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</si>
  <si>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</si>
  <si>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</si>
  <si>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</si>
  <si>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</si>
  <si>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</si>
  <si>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</si>
  <si>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</si>
  <si>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</si>
  <si>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</si>
  <si>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</si>
  <si>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</si>
  <si>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</si>
  <si>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</si>
  <si>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</si>
  <si>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</si>
  <si>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</si>
  <si>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</si>
  <si>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</si>
  <si>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</si>
  <si>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</si>
  <si>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</si>
  <si>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</si>
  <si>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</si>
  <si>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</si>
  <si>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</si>
  <si>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</si>
  <si>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</si>
  <si>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</si>
  <si>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</si>
  <si>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</si>
  <si>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</si>
  <si>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</si>
  <si>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</si>
  <si>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</si>
  <si>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</si>
  <si>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</si>
  <si>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</si>
  <si>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</si>
  <si>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</si>
  <si>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</si>
  <si>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</si>
  <si>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</si>
  <si>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</si>
  <si>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</si>
  <si>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</si>
  <si>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</si>
  <si>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</si>
  <si>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</si>
  <si>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</si>
  <si>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</si>
  <si>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</si>
  <si>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</si>
  <si>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</si>
  <si>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</si>
  <si>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</si>
  <si>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</si>
  <si>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</si>
  <si>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</si>
  <si>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</si>
  <si>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</si>
  <si>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</si>
  <si>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</si>
  <si>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</si>
  <si>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</si>
  <si>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</si>
  <si>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</si>
  <si>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</si>
  <si>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</si>
  <si>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</si>
  <si>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</si>
  <si>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</si>
  <si>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</si>
  <si>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</si>
  <si>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</si>
  <si>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</si>
  <si>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</si>
  <si>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</si>
  <si>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</si>
  <si>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</si>
  <si>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</si>
  <si>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</si>
  <si>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</si>
  <si>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</si>
  <si>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</si>
  <si>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</si>
  <si>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</si>
  <si>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</si>
  <si>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</si>
  <si>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</si>
  <si>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</si>
  <si>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</si>
  <si>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</si>
  <si>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</si>
  <si>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</si>
  <si>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</si>
  <si>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</si>
  <si>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</si>
  <si>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</si>
  <si>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</si>
  <si>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</si>
  <si>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</si>
  <si>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</si>
  <si>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</si>
  <si>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</si>
  <si>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</si>
  <si>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</si>
  <si>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</si>
  <si>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</si>
  <si>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</si>
  <si>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</si>
  <si>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</si>
  <si>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</si>
  <si>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</si>
  <si>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</si>
  <si>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</si>
  <si>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</si>
  <si>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</si>
  <si>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</si>
  <si>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</si>
  <si>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</si>
  <si>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</si>
  <si>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</si>
  <si>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</si>
  <si>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</si>
  <si>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</si>
  <si>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</si>
  <si>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</si>
  <si>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</si>
  <si>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</si>
  <si>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</si>
  <si>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</si>
  <si>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</si>
  <si>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</si>
  <si>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</si>
  <si>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</si>
  <si>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</si>
  <si>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</si>
  <si>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</si>
  <si>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</si>
  <si>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</si>
  <si>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</si>
  <si>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</si>
  <si>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</si>
  <si>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</si>
  <si>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</si>
  <si>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</si>
  <si>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</si>
  <si>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</si>
  <si>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</si>
  <si>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</si>
  <si>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</si>
  <si>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</si>
  <si>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</si>
  <si>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</si>
  <si>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</si>
  <si>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</si>
  <si>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</si>
  <si>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</si>
  <si>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</si>
  <si>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</si>
  <si>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</si>
  <si>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</si>
  <si>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</si>
  <si>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</si>
  <si>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</si>
  <si>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</si>
  <si>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</si>
  <si>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</si>
  <si>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</si>
  <si>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</si>
  <si>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</si>
  <si>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</si>
  <si>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</si>
  <si>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</si>
  <si>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</si>
  <si>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</si>
  <si>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</si>
  <si>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</si>
  <si>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</si>
  <si>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</si>
  <si>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</si>
  <si>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</si>
  <si>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</si>
  <si>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</si>
  <si>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</si>
  <si>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</si>
  <si>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</si>
  <si>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</si>
  <si>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</si>
  <si>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</si>
  <si>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</si>
  <si>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</si>
  <si>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</si>
  <si>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</si>
  <si>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</si>
  <si>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</si>
  <si>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</si>
  <si>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</si>
  <si>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</si>
  <si>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</si>
  <si>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</si>
  <si>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</si>
  <si>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</si>
  <si>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</si>
  <si>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</si>
  <si>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</si>
  <si>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</si>
  <si>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</si>
  <si>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</si>
  <si>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</si>
  <si>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</si>
  <si>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</si>
  <si>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</si>
  <si>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</si>
  <si>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</si>
  <si>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</si>
  <si>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</si>
  <si>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</si>
  <si>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</si>
  <si>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</si>
  <si>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</si>
  <si>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</si>
  <si>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</si>
  <si>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</si>
  <si>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</si>
  <si>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</si>
  <si>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</si>
  <si>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</si>
  <si>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</si>
  <si>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</si>
  <si>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</si>
  <si>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</si>
  <si>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</si>
  <si>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</si>
  <si>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</si>
  <si>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</si>
  <si>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</si>
  <si>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</si>
  <si>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</si>
  <si>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</si>
  <si>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</si>
  <si>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</si>
  <si>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</si>
  <si>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</si>
  <si>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</si>
  <si>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</si>
  <si>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</si>
  <si>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</si>
  <si>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</si>
  <si>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</si>
  <si>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</si>
  <si>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</si>
  <si>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</si>
  <si>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</si>
  <si>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</si>
  <si>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</si>
  <si>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</si>
  <si>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</si>
  <si>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</si>
  <si>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</si>
  <si>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</si>
  <si>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</si>
  <si>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</si>
  <si>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</si>
  <si>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</si>
  <si>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</si>
  <si>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</si>
  <si>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</si>
  <si>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</si>
  <si>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</si>
  <si>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</si>
  <si>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</si>
  <si>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</si>
  <si>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</si>
  <si>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</si>
  <si>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</si>
  <si>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</si>
  <si>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</si>
  <si>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</si>
  <si>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</si>
  <si>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</si>
  <si>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</si>
  <si>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</si>
  <si>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</si>
  <si>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</si>
  <si>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</si>
  <si>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</si>
  <si>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</si>
  <si>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</si>
  <si>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</si>
  <si>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</si>
  <si>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</si>
  <si>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</si>
  <si>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</si>
  <si>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</si>
  <si>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</si>
  <si>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</si>
  <si>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</si>
  <si>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</si>
  <si>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</si>
  <si>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</si>
  <si>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</si>
  <si>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</si>
  <si>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</si>
  <si>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</si>
  <si>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</si>
  <si>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</si>
  <si>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</si>
  <si>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</si>
  <si>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</si>
  <si>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</si>
  <si>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</si>
  <si>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</si>
  <si>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</si>
  <si>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</si>
  <si>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</si>
  <si>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</si>
  <si>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</si>
  <si>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</si>
  <si>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</si>
  <si>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</si>
  <si>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</si>
  <si>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</si>
  <si>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</si>
  <si>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</si>
  <si>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</si>
  <si>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</si>
  <si>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</si>
  <si>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</si>
  <si>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</si>
  <si>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</si>
  <si>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</si>
  <si>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</si>
  <si>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</si>
  <si>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</si>
  <si>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</si>
  <si>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</si>
  <si>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</si>
  <si>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</si>
  <si>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</si>
  <si>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</si>
  <si>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</si>
  <si>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</si>
  <si>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</si>
  <si>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</si>
  <si>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</si>
  <si>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</si>
  <si>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</si>
  <si>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</si>
  <si>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</si>
  <si>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</si>
  <si>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</si>
  <si>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</si>
  <si>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</si>
  <si>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</si>
  <si>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</si>
  <si>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</si>
  <si>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</si>
  <si>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</si>
  <si>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</si>
  <si>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</si>
  <si>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</si>
  <si>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</si>
  <si>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</si>
  <si>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</si>
  <si>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</si>
  <si>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</si>
  <si>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</si>
  <si>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</si>
  <si>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</si>
  <si>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</si>
  <si>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</si>
  <si>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</si>
  <si>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</si>
  <si>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</si>
  <si>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</si>
  <si>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</si>
  <si>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</si>
  <si>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</si>
  <si>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</si>
  <si>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</si>
  <si>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</si>
  <si>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</si>
  <si>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</si>
  <si>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</si>
  <si>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</si>
  <si>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</si>
  <si>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</si>
  <si>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</si>
  <si>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</si>
  <si>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</si>
  <si>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</si>
  <si>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</si>
  <si>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</si>
  <si>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</si>
  <si>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</si>
  <si>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</si>
  <si>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</si>
  <si>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</si>
  <si>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</si>
  <si>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</si>
  <si>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</si>
  <si>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</si>
  <si>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</si>
  <si>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</si>
  <si>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</si>
  <si>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</si>
  <si>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</si>
  <si>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</si>
  <si>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</si>
  <si>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</si>
  <si>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</si>
  <si>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</si>
  <si>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</si>
  <si>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</si>
  <si>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</si>
  <si>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</si>
  <si>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</si>
  <si>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</si>
  <si>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</si>
  <si>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\\ADITYA-TECH\All Sharing\Ecom Setup\Devlop\ecomm statment\jio\Invoice Report.xlsx</t>
  </si>
  <si>
    <t>AMZ (2)</t>
  </si>
  <si>
    <t>\\ADITYA-TECH\All Sharing\Ecom Setup\Devlop\ecomm statment\amazon stock tranf full.xlsx</t>
  </si>
  <si>
    <t>\\ADITYA-TECH\All Sharing\Ecom Setup\Devlop\ecomm statment\GST_MTR_B2B_CUSTOM-A2HH06SYJIY2PZ-2024_11_25-2024_11_30 new.xlsx</t>
  </si>
  <si>
    <t>\\ADITYA-TECH\All Sharing\Ecom Setup\Devlop\ecomm statment\GST_STR_CUSTOM-A2HH06SYJIY2PZ-2024_11_01-2024_12_01.xlsx</t>
  </si>
  <si>
    <t>SFS</t>
  </si>
  <si>
    <t>\\ADITYA-TECH\All Sharing\Ecom Setup\Devlop\ecomm statment\Reverse.xlsx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</si>
</sst>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40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checked="Checked" fmlaLink="M2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143025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400200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Company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28575</xdr:rowOff>
    </xdr:from>
    <xdr:to>
      <xdr:col>0</xdr:col>
      <xdr:colOff>1112775</xdr:colOff>
      <xdr:row>1</xdr:row>
      <xdr:rowOff>352575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04825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Account</a:t>
          </a:r>
          <a:r>
            <a:rPr lang="en-US" sz="1100" b="1" baseline="0">
              <a:solidFill>
                <a:schemeClr val="tx1"/>
              </a:solidFill>
            </a:rPr>
            <a:t> Add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89" name="MSH_CheckBox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14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90" name="AMZ_CheckBox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14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91" name="AMZ (2)_CheckBox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14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92" name="FLC_CheckBox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14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93" name="FLC (C)_CheckBox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14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94" name="SND_CheckBox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14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95" name="JIO_CheckBox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14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96" name="JIO (2)_CheckBox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14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97" name="GLR_CheckBox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14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98" name="MYR_CheckBox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14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99" name="MYR (2)_CheckBox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14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00" name="NPTL_CheckBox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14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01" name="MRW_CheckBox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14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02" name="S101_CheckBox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14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03" name="S101 (2)_CheckBox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14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04" name="S101 (3)_CheckBox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14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05" name="VMT_CheckBox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14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06" name="UNI_CheckBox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14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07" name="AMZ TR_CheckBox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14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08" name="GSTR2B_CheckBox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14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5" t="s">
        <v>237</v>
      </c>
      <c r="P1" s="396"/>
      <c r="AB1" s="16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797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3"/>
      <c r="B3" s="63" t="s">
        <v>83</v>
      </c>
      <c r="C3" s="62"/>
      <c r="D3" s="62" t="s">
        <v>913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7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vb+AvoF6PCERmaV8a6KPrnE6yHVSzPKNtU3bqtTJ4mD6iY/L/nvyC3HXSbYrvDud84Zq6VrrbRVpzt0Nt53S1g==" saltValue="HBy3PDO0pSgVCHsxrTFV9A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6" priority="17" operator="equal">
      <formula>#N/A</formula>
    </cfRule>
  </conditionalFormatting>
  <conditionalFormatting sqref="H1:H2">
    <cfRule type="cellIs" dxfId="285" priority="16" operator="equal">
      <formula>#N/A</formula>
    </cfRule>
  </conditionalFormatting>
  <conditionalFormatting sqref="E1">
    <cfRule type="cellIs" dxfId="284" priority="10" operator="equal">
      <formula>#N/A</formula>
    </cfRule>
  </conditionalFormatting>
  <conditionalFormatting sqref="I1:I2">
    <cfRule type="cellIs" dxfId="283" priority="9" operator="equal">
      <formula>#N/A</formula>
    </cfRule>
  </conditionalFormatting>
  <conditionalFormatting sqref="J1:J2">
    <cfRule type="cellIs" dxfId="282" priority="8" operator="equal">
      <formula>#N/A</formula>
    </cfRule>
  </conditionalFormatting>
  <conditionalFormatting sqref="J1">
    <cfRule type="containsText" dxfId="281" priority="6" operator="containsText" text="All Data Import Successfully">
      <formula>NOT(ISERROR(SEARCH("All Data Import Successfully",J1)))</formula>
    </cfRule>
    <cfRule type="containsText" dxfId="280" priority="7" operator="containsText" text="Difference Entry">
      <formula>NOT(ISERROR(SEARCH("Difference Entry",J1)))</formula>
    </cfRule>
  </conditionalFormatting>
  <conditionalFormatting sqref="J2">
    <cfRule type="cellIs" dxfId="279" priority="5" operator="equal">
      <formula>0</formula>
    </cfRule>
  </conditionalFormatting>
  <conditionalFormatting sqref="K2">
    <cfRule type="cellIs" dxfId="278" priority="4" operator="equal">
      <formula>#N/A</formula>
    </cfRule>
  </conditionalFormatting>
  <conditionalFormatting sqref="E4">
    <cfRule type="cellIs" dxfId="277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E29" sqref="E29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910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7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8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167</v>
      </c>
      <c r="P4" s="82" t="s">
        <v>168</v>
      </c>
      <c r="Q4" s="82" t="s">
        <v>169</v>
      </c>
      <c r="R4" s="82" t="s">
        <v>170</v>
      </c>
      <c r="S4" s="82" t="s">
        <v>171</v>
      </c>
      <c r="T4" s="82" t="s">
        <v>172</v>
      </c>
      <c r="U4" s="82" t="s">
        <v>173</v>
      </c>
      <c r="V4" s="82" t="s">
        <v>174</v>
      </c>
      <c r="W4" s="82" t="s">
        <v>175</v>
      </c>
      <c r="X4" s="82" t="s">
        <v>176</v>
      </c>
      <c r="Y4" s="82" t="s">
        <v>177</v>
      </c>
      <c r="Z4" s="82" t="s">
        <v>178</v>
      </c>
      <c r="AA4" s="82" t="s">
        <v>179</v>
      </c>
      <c r="AB4" s="82" t="s">
        <v>180</v>
      </c>
      <c r="AC4" s="82" t="s">
        <v>181</v>
      </c>
      <c r="AD4" s="82" t="s">
        <v>182</v>
      </c>
      <c r="AE4" s="82" t="s">
        <v>183</v>
      </c>
      <c r="AF4" s="82" t="s">
        <v>184</v>
      </c>
      <c r="AG4" s="82" t="s">
        <v>185</v>
      </c>
      <c r="AH4" s="82" t="s">
        <v>186</v>
      </c>
      <c r="AI4" s="82" t="s">
        <v>187</v>
      </c>
      <c r="AJ4" s="82" t="s">
        <v>188</v>
      </c>
      <c r="AK4" s="82" t="s">
        <v>189</v>
      </c>
      <c r="AL4" s="82" t="s">
        <v>190</v>
      </c>
      <c r="AM4" s="82" t="s">
        <v>191</v>
      </c>
      <c r="AN4" s="82" t="s">
        <v>192</v>
      </c>
      <c r="AO4" s="82" t="s">
        <v>193</v>
      </c>
      <c r="AP4" s="82" t="s">
        <v>194</v>
      </c>
      <c r="AQ4" s="82" t="s">
        <v>195</v>
      </c>
      <c r="AR4" s="82" t="s">
        <v>196</v>
      </c>
      <c r="AS4" s="82" t="s">
        <v>197</v>
      </c>
      <c r="AT4" s="82" t="s">
        <v>198</v>
      </c>
      <c r="AU4" s="82" t="s">
        <v>199</v>
      </c>
      <c r="AV4" s="82" t="s">
        <v>200</v>
      </c>
      <c r="AW4" s="82" t="s">
        <v>905</v>
      </c>
      <c r="AX4" s="82" t="s">
        <v>201</v>
      </c>
      <c r="AY4" s="82" t="s">
        <v>202</v>
      </c>
      <c r="AZ4" s="82" t="s">
        <v>203</v>
      </c>
      <c r="BA4" s="82" t="s">
        <v>204</v>
      </c>
      <c r="BB4" s="82" t="s">
        <v>205</v>
      </c>
      <c r="BC4" s="82" t="s">
        <v>206</v>
      </c>
      <c r="BD4" s="82" t="s">
        <v>207</v>
      </c>
      <c r="BE4" s="82" t="s">
        <v>208</v>
      </c>
      <c r="BF4" s="82" t="s">
        <v>209</v>
      </c>
      <c r="BG4" s="82" t="s">
        <v>902</v>
      </c>
      <c r="BH4" s="82" t="s">
        <v>210</v>
      </c>
      <c r="BI4" s="82" t="s">
        <v>211</v>
      </c>
      <c r="BJ4" s="82" t="s">
        <v>903</v>
      </c>
      <c r="BK4" s="82" t="s">
        <v>212</v>
      </c>
      <c r="BL4" s="82" t="s">
        <v>213</v>
      </c>
      <c r="BM4" s="82" t="s">
        <v>904</v>
      </c>
      <c r="BN4" s="82" t="s">
        <v>214</v>
      </c>
      <c r="BO4" s="82" t="s">
        <v>215</v>
      </c>
      <c r="BP4" s="82" t="s">
        <v>216</v>
      </c>
      <c r="BQ4" s="82" t="s">
        <v>217</v>
      </c>
      <c r="BR4" s="82" t="s">
        <v>218</v>
      </c>
      <c r="BS4" s="82" t="s">
        <v>219</v>
      </c>
      <c r="BT4" s="82" t="s">
        <v>220</v>
      </c>
      <c r="BU4" s="82" t="s">
        <v>221</v>
      </c>
      <c r="BV4" s="82" t="s">
        <v>222</v>
      </c>
      <c r="BW4" s="82" t="s">
        <v>223</v>
      </c>
      <c r="BX4" s="82" t="s">
        <v>224</v>
      </c>
      <c r="BY4" s="82" t="s">
        <v>225</v>
      </c>
      <c r="BZ4" s="387" t="s">
        <v>226</v>
      </c>
      <c r="CA4" s="82" t="s">
        <v>227</v>
      </c>
      <c r="CB4" s="82" t="s">
        <v>228</v>
      </c>
      <c r="CC4" s="82" t="s">
        <v>229</v>
      </c>
      <c r="CD4" s="82" t="s">
        <v>906</v>
      </c>
      <c r="CE4" s="82" t="s">
        <v>230</v>
      </c>
      <c r="CF4" s="82" t="s">
        <v>231</v>
      </c>
      <c r="CG4" s="82" t="s">
        <v>232</v>
      </c>
      <c r="CH4" s="82" t="s">
        <v>233</v>
      </c>
      <c r="CI4" s="82" t="s">
        <v>234</v>
      </c>
      <c r="CJ4" s="108" t="s">
        <v>235</v>
      </c>
      <c r="CK4" s="82" t="s">
        <v>236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jdmMIFQcCg5EM57pP9AjmGQI4cYKcfAPpt4/FfVFe5UDpnA0udzyxbY3N+oezwFQsV650NXpXeX5N36pU375PQ==" saltValue="vAcKByPbpkXDBZxVV4Qfbw==" spinCount="100000" sheet="1" objects="1" scenarios="1"/>
  <mergeCells count="1">
    <mergeCell ref="O1:P1"/>
  </mergeCells>
  <conditionalFormatting sqref="H1">
    <cfRule type="cellIs" dxfId="276" priority="12" operator="equal">
      <formula>#N/A</formula>
    </cfRule>
  </conditionalFormatting>
  <conditionalFormatting sqref="E1">
    <cfRule type="cellIs" dxfId="275" priority="11" operator="equal">
      <formula>#N/A</formula>
    </cfRule>
  </conditionalFormatting>
  <conditionalFormatting sqref="I1">
    <cfRule type="cellIs" dxfId="274" priority="10" operator="equal">
      <formula>#N/A</formula>
    </cfRule>
  </conditionalFormatting>
  <conditionalFormatting sqref="J1">
    <cfRule type="cellIs" dxfId="273" priority="9" operator="equal">
      <formula>#N/A</formula>
    </cfRule>
  </conditionalFormatting>
  <conditionalFormatting sqref="J1">
    <cfRule type="containsText" dxfId="272" priority="7" operator="containsText" text="All Data Import Successfully">
      <formula>NOT(ISERROR(SEARCH("All Data Import Successfully",J1)))</formula>
    </cfRule>
    <cfRule type="containsText" dxfId="271" priority="8" operator="containsText" text="Difference Entry">
      <formula>NOT(ISERROR(SEARCH("Difference Entry",J1)))</formula>
    </cfRule>
  </conditionalFormatting>
  <conditionalFormatting sqref="L2 E2:G2">
    <cfRule type="cellIs" dxfId="270" priority="6" operator="equal">
      <formula>#N/A</formula>
    </cfRule>
  </conditionalFormatting>
  <conditionalFormatting sqref="H2">
    <cfRule type="cellIs" dxfId="269" priority="5" operator="equal">
      <formula>#N/A</formula>
    </cfRule>
  </conditionalFormatting>
  <conditionalFormatting sqref="I2">
    <cfRule type="cellIs" dxfId="268" priority="4" operator="equal">
      <formula>#N/A</formula>
    </cfRule>
  </conditionalFormatting>
  <conditionalFormatting sqref="J2">
    <cfRule type="cellIs" dxfId="267" priority="3" operator="equal">
      <formula>#N/A</formula>
    </cfRule>
  </conditionalFormatting>
  <conditionalFormatting sqref="J2">
    <cfRule type="cellIs" dxfId="266" priority="2" operator="equal">
      <formula>0</formula>
    </cfRule>
  </conditionalFormatting>
  <conditionalFormatting sqref="K2">
    <cfRule type="cellIs" dxfId="265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911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7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8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887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888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889</v>
      </c>
      <c r="BI4" s="82" t="s">
        <v>210</v>
      </c>
      <c r="BJ4" s="82" t="s">
        <v>211</v>
      </c>
      <c r="BK4" s="82" t="s">
        <v>890</v>
      </c>
      <c r="BL4" s="82" t="s">
        <v>212</v>
      </c>
      <c r="BM4" s="82" t="s">
        <v>213</v>
      </c>
      <c r="BN4" s="82" t="s">
        <v>891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4" priority="14" operator="equal">
      <formula>#N/A</formula>
    </cfRule>
  </conditionalFormatting>
  <conditionalFormatting sqref="E1">
    <cfRule type="cellIs" dxfId="263" priority="13" operator="equal">
      <formula>#N/A</formula>
    </cfRule>
  </conditionalFormatting>
  <conditionalFormatting sqref="I1">
    <cfRule type="cellIs" dxfId="262" priority="12" operator="equal">
      <formula>#N/A</formula>
    </cfRule>
  </conditionalFormatting>
  <conditionalFormatting sqref="J1">
    <cfRule type="cellIs" dxfId="261" priority="11" operator="equal">
      <formula>#N/A</formula>
    </cfRule>
  </conditionalFormatting>
  <conditionalFormatting sqref="J1">
    <cfRule type="containsText" dxfId="260" priority="9" operator="containsText" text="All Data Import Successfully">
      <formula>NOT(ISERROR(SEARCH("All Data Import Successfully",J1)))</formula>
    </cfRule>
    <cfRule type="containsText" dxfId="259" priority="10" operator="containsText" text="Difference Entry">
      <formula>NOT(ISERROR(SEARCH("Difference Entry",J1)))</formula>
    </cfRule>
  </conditionalFormatting>
  <conditionalFormatting sqref="L2 E2:G2">
    <cfRule type="cellIs" dxfId="258" priority="6" operator="equal">
      <formula>#N/A</formula>
    </cfRule>
  </conditionalFormatting>
  <conditionalFormatting sqref="H2">
    <cfRule type="cellIs" dxfId="257" priority="5" operator="equal">
      <formula>#N/A</formula>
    </cfRule>
  </conditionalFormatting>
  <conditionalFormatting sqref="I2">
    <cfRule type="cellIs" dxfId="256" priority="4" operator="equal">
      <formula>#N/A</formula>
    </cfRule>
  </conditionalFormatting>
  <conditionalFormatting sqref="J2">
    <cfRule type="cellIs" dxfId="255" priority="3" operator="equal">
      <formula>#N/A</formula>
    </cfRule>
  </conditionalFormatting>
  <conditionalFormatting sqref="J2">
    <cfRule type="cellIs" dxfId="254" priority="2" operator="equal">
      <formula>0</formula>
    </cfRule>
  </conditionalFormatting>
  <conditionalFormatting sqref="K2">
    <cfRule type="cellIs" dxfId="253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895</v>
      </c>
      <c r="O1" s="395" t="s">
        <v>237</v>
      </c>
      <c r="P1" s="396"/>
      <c r="Q1" s="2"/>
      <c r="R1" s="2"/>
      <c r="S1" s="2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797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3"/>
      <c r="B3" s="63" t="s">
        <v>84</v>
      </c>
      <c r="C3" s="8"/>
      <c r="D3" s="8" t="s">
        <v>901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52" priority="14" operator="equal">
      <formula>#N/A</formula>
    </cfRule>
  </conditionalFormatting>
  <conditionalFormatting sqref="E1">
    <cfRule type="cellIs" dxfId="251" priority="13" operator="equal">
      <formula>#N/A</formula>
    </cfRule>
  </conditionalFormatting>
  <conditionalFormatting sqref="I1">
    <cfRule type="cellIs" dxfId="250" priority="12" operator="equal">
      <formula>#N/A</formula>
    </cfRule>
  </conditionalFormatting>
  <conditionalFormatting sqref="J1">
    <cfRule type="cellIs" dxfId="249" priority="11" operator="equal">
      <formula>#N/A</formula>
    </cfRule>
  </conditionalFormatting>
  <conditionalFormatting sqref="J1">
    <cfRule type="containsText" dxfId="248" priority="9" operator="containsText" text="All Data Import Successfully">
      <formula>NOT(ISERROR(SEARCH("All Data Import Successfully",J1)))</formula>
    </cfRule>
    <cfRule type="containsText" dxfId="247" priority="10" operator="containsText" text="Difference Entry">
      <formula>NOT(ISERROR(SEARCH("Difference Entry",J1)))</formula>
    </cfRule>
  </conditionalFormatting>
  <conditionalFormatting sqref="L2 E2:G2">
    <cfRule type="cellIs" dxfId="246" priority="6" operator="equal">
      <formula>#N/A</formula>
    </cfRule>
  </conditionalFormatting>
  <conditionalFormatting sqref="H2">
    <cfRule type="cellIs" dxfId="245" priority="5" operator="equal">
      <formula>#N/A</formula>
    </cfRule>
  </conditionalFormatting>
  <conditionalFormatting sqref="I2">
    <cfRule type="cellIs" dxfId="244" priority="4" operator="equal">
      <formula>#N/A</formula>
    </cfRule>
  </conditionalFormatting>
  <conditionalFormatting sqref="J2">
    <cfRule type="cellIs" dxfId="243" priority="3" operator="equal">
      <formula>#N/A</formula>
    </cfRule>
  </conditionalFormatting>
  <conditionalFormatting sqref="J2">
    <cfRule type="cellIs" dxfId="242" priority="2" operator="equal">
      <formula>0</formula>
    </cfRule>
  </conditionalFormatting>
  <conditionalFormatting sqref="K2">
    <cfRule type="cellIs" dxfId="241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H12" sqref="H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901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40" priority="25" operator="equal">
      <formula>#N/A</formula>
    </cfRule>
  </conditionalFormatting>
  <conditionalFormatting sqref="E1">
    <cfRule type="cellIs" dxfId="239" priority="24" operator="equal">
      <formula>#N/A</formula>
    </cfRule>
  </conditionalFormatting>
  <conditionalFormatting sqref="I1">
    <cfRule type="cellIs" dxfId="238" priority="23" operator="equal">
      <formula>#N/A</formula>
    </cfRule>
  </conditionalFormatting>
  <conditionalFormatting sqref="J1">
    <cfRule type="cellIs" dxfId="237" priority="22" operator="equal">
      <formula>#N/A</formula>
    </cfRule>
  </conditionalFormatting>
  <conditionalFormatting sqref="J1">
    <cfRule type="containsText" dxfId="236" priority="20" operator="containsText" text="All Data Import Successfully">
      <formula>NOT(ISERROR(SEARCH("All Data Import Successfully",J1)))</formula>
    </cfRule>
    <cfRule type="containsText" dxfId="235" priority="21" operator="containsText" text="Difference Entry">
      <formula>NOT(ISERROR(SEARCH("Difference Entry",J1)))</formula>
    </cfRule>
  </conditionalFormatting>
  <conditionalFormatting sqref="L2 E2:G2">
    <cfRule type="cellIs" dxfId="234" priority="6" operator="equal">
      <formula>#N/A</formula>
    </cfRule>
  </conditionalFormatting>
  <conditionalFormatting sqref="H2">
    <cfRule type="cellIs" dxfId="233" priority="5" operator="equal">
      <formula>#N/A</formula>
    </cfRule>
  </conditionalFormatting>
  <conditionalFormatting sqref="I2">
    <cfRule type="cellIs" dxfId="232" priority="4" operator="equal">
      <formula>#N/A</formula>
    </cfRule>
  </conditionalFormatting>
  <conditionalFormatting sqref="J2">
    <cfRule type="cellIs" dxfId="231" priority="3" operator="equal">
      <formula>#N/A</formula>
    </cfRule>
  </conditionalFormatting>
  <conditionalFormatting sqref="J2">
    <cfRule type="cellIs" dxfId="230" priority="2" operator="equal">
      <formula>0</formula>
    </cfRule>
  </conditionalFormatting>
  <conditionalFormatting sqref="K2">
    <cfRule type="cellIs" dxfId="229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880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8" priority="14" operator="equal">
      <formula>#N/A</formula>
    </cfRule>
  </conditionalFormatting>
  <conditionalFormatting sqref="E1">
    <cfRule type="cellIs" dxfId="227" priority="13" operator="equal">
      <formula>#N/A</formula>
    </cfRule>
  </conditionalFormatting>
  <conditionalFormatting sqref="I1">
    <cfRule type="cellIs" dxfId="226" priority="12" operator="equal">
      <formula>#N/A</formula>
    </cfRule>
  </conditionalFormatting>
  <conditionalFormatting sqref="J1">
    <cfRule type="cellIs" dxfId="225" priority="11" operator="equal">
      <formula>#N/A</formula>
    </cfRule>
  </conditionalFormatting>
  <conditionalFormatting sqref="J1">
    <cfRule type="containsText" dxfId="224" priority="9" operator="containsText" text="All Data Import Successfully">
      <formula>NOT(ISERROR(SEARCH("All Data Import Successfully",J1)))</formula>
    </cfRule>
    <cfRule type="containsText" dxfId="223" priority="10" operator="containsText" text="Difference Entry">
      <formula>NOT(ISERROR(SEARCH("Difference Entry",J1)))</formula>
    </cfRule>
  </conditionalFormatting>
  <conditionalFormatting sqref="L2 E2:G2">
    <cfRule type="cellIs" dxfId="222" priority="6" operator="equal">
      <formula>#N/A</formula>
    </cfRule>
  </conditionalFormatting>
  <conditionalFormatting sqref="H2">
    <cfRule type="cellIs" dxfId="221" priority="5" operator="equal">
      <formula>#N/A</formula>
    </cfRule>
  </conditionalFormatting>
  <conditionalFormatting sqref="I2">
    <cfRule type="cellIs" dxfId="220" priority="4" operator="equal">
      <formula>#N/A</formula>
    </cfRule>
  </conditionalFormatting>
  <conditionalFormatting sqref="J2">
    <cfRule type="cellIs" dxfId="219" priority="3" operator="equal">
      <formula>#N/A</formula>
    </cfRule>
  </conditionalFormatting>
  <conditionalFormatting sqref="J2">
    <cfRule type="cellIs" dxfId="218" priority="2" operator="equal">
      <formula>0</formula>
    </cfRule>
  </conditionalFormatting>
  <conditionalFormatting sqref="K2">
    <cfRule type="cellIs" dxfId="217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7" sqref="F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AB1">
        <v>1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900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/>
      <c r="B3" s="63" t="s">
        <v>241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86" t="s">
        <v>248</v>
      </c>
      <c r="B4" s="386" t="s">
        <v>249</v>
      </c>
      <c r="C4" s="386" t="s">
        <v>250</v>
      </c>
      <c r="D4" s="386" t="s">
        <v>256</v>
      </c>
      <c r="E4" s="386" t="s">
        <v>160</v>
      </c>
      <c r="F4" s="386" t="s">
        <v>661</v>
      </c>
      <c r="G4" s="386" t="s">
        <v>300</v>
      </c>
      <c r="H4" s="386" t="s">
        <v>301</v>
      </c>
      <c r="I4" s="386" t="s">
        <v>662</v>
      </c>
      <c r="J4" s="386" t="s">
        <v>365</v>
      </c>
      <c r="K4" s="386" t="s">
        <v>896</v>
      </c>
      <c r="L4" s="386" t="s">
        <v>251</v>
      </c>
      <c r="M4" s="386" t="s">
        <v>302</v>
      </c>
      <c r="N4" s="386" t="s">
        <v>253</v>
      </c>
      <c r="O4" s="386" t="s">
        <v>55</v>
      </c>
      <c r="P4" s="386" t="s">
        <v>303</v>
      </c>
      <c r="Q4" s="386" t="s">
        <v>254</v>
      </c>
      <c r="R4" s="386" t="s">
        <v>255</v>
      </c>
      <c r="S4" s="386" t="s">
        <v>259</v>
      </c>
      <c r="T4" s="386" t="s">
        <v>288</v>
      </c>
      <c r="U4" s="386" t="s">
        <v>489</v>
      </c>
      <c r="V4" s="386" t="s">
        <v>289</v>
      </c>
      <c r="W4" s="386" t="s">
        <v>663</v>
      </c>
      <c r="X4" s="386" t="s">
        <v>664</v>
      </c>
      <c r="Y4" s="386" t="s">
        <v>260</v>
      </c>
      <c r="Z4" s="386" t="s">
        <v>291</v>
      </c>
      <c r="AA4" s="386" t="s">
        <v>292</v>
      </c>
      <c r="AB4" s="386" t="s">
        <v>293</v>
      </c>
      <c r="AC4" s="386" t="s">
        <v>294</v>
      </c>
      <c r="AD4" s="386" t="s">
        <v>299</v>
      </c>
      <c r="AE4" s="386" t="s">
        <v>268</v>
      </c>
      <c r="AF4" s="386" t="s">
        <v>269</v>
      </c>
      <c r="AG4" s="386" t="s">
        <v>275</v>
      </c>
      <c r="AH4" s="386" t="s">
        <v>276</v>
      </c>
      <c r="AI4" s="386" t="s">
        <v>277</v>
      </c>
      <c r="AJ4" s="386" t="s">
        <v>278</v>
      </c>
      <c r="AK4" s="386" t="s">
        <v>279</v>
      </c>
      <c r="AL4" s="386" t="s">
        <v>280</v>
      </c>
      <c r="AM4" s="386" t="s">
        <v>281</v>
      </c>
      <c r="AN4" s="386" t="s">
        <v>282</v>
      </c>
      <c r="AO4" s="386" t="s">
        <v>283</v>
      </c>
      <c r="AP4" s="386" t="s">
        <v>284</v>
      </c>
      <c r="AQ4" s="386" t="s">
        <v>285</v>
      </c>
      <c r="AR4" s="386" t="s">
        <v>286</v>
      </c>
      <c r="AS4" s="386" t="s">
        <v>287</v>
      </c>
      <c r="AT4" s="386" t="s">
        <v>490</v>
      </c>
      <c r="AU4" s="386" t="s">
        <v>491</v>
      </c>
      <c r="AV4" s="386" t="s">
        <v>897</v>
      </c>
      <c r="AW4" s="386" t="s">
        <v>898</v>
      </c>
      <c r="AX4" s="386" t="s">
        <v>899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98qPnhQKibyu1AG7wtizTBuERL1loen73uuEU48mBl4SELIsmdNps4NCknPCgR1fg8BuWuje+yx/32HXlmE69g==" saltValue="vUv/kB1dWzFKqbO0YndUyQ==" spinCount="100000" sheet="1" objects="1" scenarios="1"/>
  <mergeCells count="1">
    <mergeCell ref="O1:P1"/>
  </mergeCells>
  <conditionalFormatting sqref="H1">
    <cfRule type="cellIs" dxfId="216" priority="12" operator="equal">
      <formula>#N/A</formula>
    </cfRule>
  </conditionalFormatting>
  <conditionalFormatting sqref="E1">
    <cfRule type="cellIs" dxfId="215" priority="11" operator="equal">
      <formula>#N/A</formula>
    </cfRule>
  </conditionalFormatting>
  <conditionalFormatting sqref="I1">
    <cfRule type="cellIs" dxfId="214" priority="10" operator="equal">
      <formula>#N/A</formula>
    </cfRule>
  </conditionalFormatting>
  <conditionalFormatting sqref="J1">
    <cfRule type="cellIs" dxfId="213" priority="9" operator="equal">
      <formula>#N/A</formula>
    </cfRule>
  </conditionalFormatting>
  <conditionalFormatting sqref="J1">
    <cfRule type="containsText" dxfId="212" priority="7" operator="containsText" text="All Data Import Successfully">
      <formula>NOT(ISERROR(SEARCH("All Data Import Successfully",J1)))</formula>
    </cfRule>
    <cfRule type="containsText" dxfId="211" priority="8" operator="containsText" text="Difference Entry">
      <formula>NOT(ISERROR(SEARCH("Difference Entry",J1)))</formula>
    </cfRule>
  </conditionalFormatting>
  <conditionalFormatting sqref="L2 E2:G2">
    <cfRule type="cellIs" dxfId="210" priority="6" operator="equal">
      <formula>#N/A</formula>
    </cfRule>
  </conditionalFormatting>
  <conditionalFormatting sqref="H2">
    <cfRule type="cellIs" dxfId="209" priority="5" operator="equal">
      <formula>#N/A</formula>
    </cfRule>
  </conditionalFormatting>
  <conditionalFormatting sqref="I2">
    <cfRule type="cellIs" dxfId="208" priority="4" operator="equal">
      <formula>#N/A</formula>
    </cfRule>
  </conditionalFormatting>
  <conditionalFormatting sqref="J2">
    <cfRule type="cellIs" dxfId="207" priority="3" operator="equal">
      <formula>#N/A</formula>
    </cfRule>
  </conditionalFormatting>
  <conditionalFormatting sqref="J2">
    <cfRule type="cellIs" dxfId="206" priority="2" operator="equal">
      <formula>0</formula>
    </cfRule>
  </conditionalFormatting>
  <conditionalFormatting sqref="K2">
    <cfRule type="cellIs" dxfId="205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F19" sqref="F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870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mergeCells count="1">
    <mergeCell ref="O1:P1"/>
  </mergeCells>
  <conditionalFormatting sqref="H1">
    <cfRule type="cellIs" dxfId="204" priority="12" operator="equal">
      <formula>#N/A</formula>
    </cfRule>
  </conditionalFormatting>
  <conditionalFormatting sqref="E1">
    <cfRule type="cellIs" dxfId="203" priority="11" operator="equal">
      <formula>#N/A</formula>
    </cfRule>
  </conditionalFormatting>
  <conditionalFormatting sqref="I1">
    <cfRule type="cellIs" dxfId="202" priority="10" operator="equal">
      <formula>#N/A</formula>
    </cfRule>
  </conditionalFormatting>
  <conditionalFormatting sqref="J1">
    <cfRule type="cellIs" dxfId="201" priority="9" operator="equal">
      <formula>#N/A</formula>
    </cfRule>
  </conditionalFormatting>
  <conditionalFormatting sqref="J1">
    <cfRule type="containsText" dxfId="200" priority="7" operator="containsText" text="All Data Import Successfully">
      <formula>NOT(ISERROR(SEARCH("All Data Import Successfully",J1)))</formula>
    </cfRule>
    <cfRule type="containsText" dxfId="199" priority="8" operator="containsText" text="Difference Entry">
      <formula>NOT(ISERROR(SEARCH("Difference Entry",J1)))</formula>
    </cfRule>
  </conditionalFormatting>
  <conditionalFormatting sqref="L2 E2:G2">
    <cfRule type="cellIs" dxfId="198" priority="6" operator="equal">
      <formula>#N/A</formula>
    </cfRule>
  </conditionalFormatting>
  <conditionalFormatting sqref="H2">
    <cfRule type="cellIs" dxfId="197" priority="5" operator="equal">
      <formula>#N/A</formula>
    </cfRule>
  </conditionalFormatting>
  <conditionalFormatting sqref="I2">
    <cfRule type="cellIs" dxfId="196" priority="4" operator="equal">
      <formula>#N/A</formula>
    </cfRule>
  </conditionalFormatting>
  <conditionalFormatting sqref="J2">
    <cfRule type="cellIs" dxfId="195" priority="3" operator="equal">
      <formula>#N/A</formula>
    </cfRule>
  </conditionalFormatting>
  <conditionalFormatting sqref="J2">
    <cfRule type="cellIs" dxfId="194" priority="2" operator="equal">
      <formula>0</formula>
    </cfRule>
  </conditionalFormatting>
  <conditionalFormatting sqref="K2">
    <cfRule type="cellIs" dxfId="193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805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92" priority="14" operator="equal">
      <formula>#N/A</formula>
    </cfRule>
  </conditionalFormatting>
  <conditionalFormatting sqref="E1">
    <cfRule type="cellIs" dxfId="191" priority="13" operator="equal">
      <formula>#N/A</formula>
    </cfRule>
  </conditionalFormatting>
  <conditionalFormatting sqref="I1">
    <cfRule type="cellIs" dxfId="190" priority="12" operator="equal">
      <formula>#N/A</formula>
    </cfRule>
  </conditionalFormatting>
  <conditionalFormatting sqref="J1">
    <cfRule type="cellIs" dxfId="189" priority="11" operator="equal">
      <formula>#N/A</formula>
    </cfRule>
  </conditionalFormatting>
  <conditionalFormatting sqref="J1">
    <cfRule type="containsText" dxfId="188" priority="9" operator="containsText" text="All Data Import Successfully">
      <formula>NOT(ISERROR(SEARCH("All Data Import Successfully",J1)))</formula>
    </cfRule>
    <cfRule type="containsText" dxfId="187" priority="10" operator="containsText" text="Difference Entry">
      <formula>NOT(ISERROR(SEARCH("Difference Entry",J1)))</formula>
    </cfRule>
  </conditionalFormatting>
  <conditionalFormatting sqref="L2 E2:G2">
    <cfRule type="cellIs" dxfId="186" priority="6" operator="equal">
      <formula>#N/A</formula>
    </cfRule>
  </conditionalFormatting>
  <conditionalFormatting sqref="H2">
    <cfRule type="cellIs" dxfId="185" priority="5" operator="equal">
      <formula>#N/A</formula>
    </cfRule>
  </conditionalFormatting>
  <conditionalFormatting sqref="I2">
    <cfRule type="cellIs" dxfId="184" priority="4" operator="equal">
      <formula>#N/A</formula>
    </cfRule>
  </conditionalFormatting>
  <conditionalFormatting sqref="J2">
    <cfRule type="cellIs" dxfId="183" priority="3" operator="equal">
      <formula>#N/A</formula>
    </cfRule>
  </conditionalFormatting>
  <conditionalFormatting sqref="J2">
    <cfRule type="cellIs" dxfId="182" priority="2" operator="equal">
      <formula>0</formula>
    </cfRule>
  </conditionalFormatting>
  <conditionalFormatting sqref="K2">
    <cfRule type="cellIs" dxfId="181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80" priority="12" operator="equal">
      <formula>#N/A</formula>
    </cfRule>
  </conditionalFormatting>
  <conditionalFormatting sqref="E1">
    <cfRule type="cellIs" dxfId="179" priority="11" operator="equal">
      <formula>#N/A</formula>
    </cfRule>
  </conditionalFormatting>
  <conditionalFormatting sqref="I1">
    <cfRule type="cellIs" dxfId="178" priority="10" operator="equal">
      <formula>#N/A</formula>
    </cfRule>
  </conditionalFormatting>
  <conditionalFormatting sqref="J1">
    <cfRule type="cellIs" dxfId="177" priority="9" operator="equal">
      <formula>#N/A</formula>
    </cfRule>
  </conditionalFormatting>
  <conditionalFormatting sqref="J1">
    <cfRule type="containsText" dxfId="176" priority="7" operator="containsText" text="All Data Import Successfully">
      <formula>NOT(ISERROR(SEARCH("All Data Import Successfully",J1)))</formula>
    </cfRule>
    <cfRule type="containsText" dxfId="175" priority="8" operator="containsText" text="Difference Entry">
      <formula>NOT(ISERROR(SEARCH("Difference Entry",J1)))</formula>
    </cfRule>
  </conditionalFormatting>
  <conditionalFormatting sqref="L2 E2:G2">
    <cfRule type="cellIs" dxfId="174" priority="6" operator="equal">
      <formula>#N/A</formula>
    </cfRule>
  </conditionalFormatting>
  <conditionalFormatting sqref="H2">
    <cfRule type="cellIs" dxfId="173" priority="5" operator="equal">
      <formula>#N/A</formula>
    </cfRule>
  </conditionalFormatting>
  <conditionalFormatting sqref="I2">
    <cfRule type="cellIs" dxfId="172" priority="4" operator="equal">
      <formula>#N/A</formula>
    </cfRule>
  </conditionalFormatting>
  <conditionalFormatting sqref="J2">
    <cfRule type="cellIs" dxfId="171" priority="3" operator="equal">
      <formula>#N/A</formula>
    </cfRule>
  </conditionalFormatting>
  <conditionalFormatting sqref="J2">
    <cfRule type="cellIs" dxfId="170" priority="2" operator="equal">
      <formula>0</formula>
    </cfRule>
  </conditionalFormatting>
  <conditionalFormatting sqref="K2">
    <cfRule type="cellIs" dxfId="169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8" priority="12" operator="equal">
      <formula>#N/A</formula>
    </cfRule>
  </conditionalFormatting>
  <conditionalFormatting sqref="E1">
    <cfRule type="cellIs" dxfId="167" priority="11" operator="equal">
      <formula>#N/A</formula>
    </cfRule>
  </conditionalFormatting>
  <conditionalFormatting sqref="I1">
    <cfRule type="cellIs" dxfId="166" priority="10" operator="equal">
      <formula>#N/A</formula>
    </cfRule>
  </conditionalFormatting>
  <conditionalFormatting sqref="J1">
    <cfRule type="cellIs" dxfId="165" priority="9" operator="equal">
      <formula>#N/A</formula>
    </cfRule>
  </conditionalFormatting>
  <conditionalFormatting sqref="J1">
    <cfRule type="containsText" dxfId="164" priority="7" operator="containsText" text="All Data Import Successfully">
      <formula>NOT(ISERROR(SEARCH("All Data Import Successfully",J1)))</formula>
    </cfRule>
    <cfRule type="containsText" dxfId="163" priority="8" operator="containsText" text="Difference Entry">
      <formula>NOT(ISERROR(SEARCH("Difference Entry",J1)))</formula>
    </cfRule>
  </conditionalFormatting>
  <conditionalFormatting sqref="L2 E2:G2">
    <cfRule type="cellIs" dxfId="162" priority="6" operator="equal">
      <formula>#N/A</formula>
    </cfRule>
  </conditionalFormatting>
  <conditionalFormatting sqref="H2">
    <cfRule type="cellIs" dxfId="161" priority="5" operator="equal">
      <formula>#N/A</formula>
    </cfRule>
  </conditionalFormatting>
  <conditionalFormatting sqref="I2">
    <cfRule type="cellIs" dxfId="160" priority="4" operator="equal">
      <formula>#N/A</formula>
    </cfRule>
  </conditionalFormatting>
  <conditionalFormatting sqref="J2">
    <cfRule type="cellIs" dxfId="159" priority="3" operator="equal">
      <formula>#N/A</formula>
    </cfRule>
  </conditionalFormatting>
  <conditionalFormatting sqref="J2">
    <cfRule type="cellIs" dxfId="158" priority="2" operator="equal">
      <formula>0</formula>
    </cfRule>
  </conditionalFormatting>
  <conditionalFormatting sqref="K2">
    <cfRule type="cellIs" dxfId="157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717</v>
      </c>
      <c r="P1" s="396"/>
      <c r="AA1" s="209">
        <v>2</v>
      </c>
      <c r="AB1" s="210">
        <v>0</v>
      </c>
      <c r="AC1" s="210"/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886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3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6" priority="12" operator="equal">
      <formula>#N/A</formula>
    </cfRule>
  </conditionalFormatting>
  <conditionalFormatting sqref="E1">
    <cfRule type="cellIs" dxfId="155" priority="11" operator="equal">
      <formula>#N/A</formula>
    </cfRule>
  </conditionalFormatting>
  <conditionalFormatting sqref="I1">
    <cfRule type="cellIs" dxfId="154" priority="10" operator="equal">
      <formula>#N/A</formula>
    </cfRule>
  </conditionalFormatting>
  <conditionalFormatting sqref="J1">
    <cfRule type="cellIs" dxfId="153" priority="9" operator="equal">
      <formula>#N/A</formula>
    </cfRule>
  </conditionalFormatting>
  <conditionalFormatting sqref="J1">
    <cfRule type="containsText" dxfId="152" priority="7" operator="containsText" text="All Data Import Successfully">
      <formula>NOT(ISERROR(SEARCH("All Data Import Successfully",J1)))</formula>
    </cfRule>
    <cfRule type="containsText" dxfId="151" priority="8" operator="containsText" text="Difference Entry">
      <formula>NOT(ISERROR(SEARCH("Difference Entry",J1)))</formula>
    </cfRule>
  </conditionalFormatting>
  <conditionalFormatting sqref="L2 E2:G2">
    <cfRule type="cellIs" dxfId="150" priority="6" operator="equal">
      <formula>#N/A</formula>
    </cfRule>
  </conditionalFormatting>
  <conditionalFormatting sqref="H2">
    <cfRule type="cellIs" dxfId="149" priority="5" operator="equal">
      <formula>#N/A</formula>
    </cfRule>
  </conditionalFormatting>
  <conditionalFormatting sqref="I2">
    <cfRule type="cellIs" dxfId="148" priority="4" operator="equal">
      <formula>#N/A</formula>
    </cfRule>
  </conditionalFormatting>
  <conditionalFormatting sqref="J2">
    <cfRule type="cellIs" dxfId="147" priority="3" operator="equal">
      <formula>#N/A</formula>
    </cfRule>
  </conditionalFormatting>
  <conditionalFormatting sqref="J2">
    <cfRule type="cellIs" dxfId="146" priority="2" operator="equal">
      <formula>0</formula>
    </cfRule>
  </conditionalFormatting>
  <conditionalFormatting sqref="K2">
    <cfRule type="cellIs" dxfId="145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883</v>
      </c>
      <c r="C3" s="8"/>
      <c r="D3" s="8" t="s">
        <v>882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4" priority="12" operator="equal">
      <formula>#N/A</formula>
    </cfRule>
  </conditionalFormatting>
  <conditionalFormatting sqref="E1">
    <cfRule type="cellIs" dxfId="143" priority="11" operator="equal">
      <formula>#N/A</formula>
    </cfRule>
  </conditionalFormatting>
  <conditionalFormatting sqref="I1">
    <cfRule type="cellIs" dxfId="142" priority="10" operator="equal">
      <formula>#N/A</formula>
    </cfRule>
  </conditionalFormatting>
  <conditionalFormatting sqref="J1">
    <cfRule type="cellIs" dxfId="141" priority="9" operator="equal">
      <formula>#N/A</formula>
    </cfRule>
  </conditionalFormatting>
  <conditionalFormatting sqref="J1">
    <cfRule type="containsText" dxfId="140" priority="7" operator="containsText" text="All Data Import Successfully">
      <formula>NOT(ISERROR(SEARCH("All Data Import Successfully",J1)))</formula>
    </cfRule>
    <cfRule type="containsText" dxfId="139" priority="8" operator="containsText" text="Difference Entry">
      <formula>NOT(ISERROR(SEARCH("Difference Entry",J1)))</formula>
    </cfRule>
  </conditionalFormatting>
  <conditionalFormatting sqref="L2 E2:G2">
    <cfRule type="cellIs" dxfId="138" priority="6" operator="equal">
      <formula>#N/A</formula>
    </cfRule>
  </conditionalFormatting>
  <conditionalFormatting sqref="H2">
    <cfRule type="cellIs" dxfId="137" priority="5" operator="equal">
      <formula>#N/A</formula>
    </cfRule>
  </conditionalFormatting>
  <conditionalFormatting sqref="I2">
    <cfRule type="cellIs" dxfId="136" priority="4" operator="equal">
      <formula>#N/A</formula>
    </cfRule>
  </conditionalFormatting>
  <conditionalFormatting sqref="J2">
    <cfRule type="cellIs" dxfId="135" priority="3" operator="equal">
      <formula>#N/A</formula>
    </cfRule>
  </conditionalFormatting>
  <conditionalFormatting sqref="J2">
    <cfRule type="cellIs" dxfId="134" priority="2" operator="equal">
      <formula>0</formula>
    </cfRule>
  </conditionalFormatting>
  <conditionalFormatting sqref="K2">
    <cfRule type="cellIs" dxfId="133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32" priority="15" operator="equal">
      <formula>#N/A</formula>
    </cfRule>
  </conditionalFormatting>
  <conditionalFormatting sqref="E1">
    <cfRule type="cellIs" dxfId="131" priority="14" operator="equal">
      <formula>#N/A</formula>
    </cfRule>
  </conditionalFormatting>
  <conditionalFormatting sqref="I1">
    <cfRule type="cellIs" dxfId="130" priority="13" operator="equal">
      <formula>#N/A</formula>
    </cfRule>
  </conditionalFormatting>
  <conditionalFormatting sqref="J1">
    <cfRule type="cellIs" dxfId="129" priority="12" operator="equal">
      <formula>#N/A</formula>
    </cfRule>
  </conditionalFormatting>
  <conditionalFormatting sqref="J1">
    <cfRule type="containsText" dxfId="128" priority="10" operator="containsText" text="All Data Import Successfully">
      <formula>NOT(ISERROR(SEARCH("All Data Import Successfully",J1)))</formula>
    </cfRule>
    <cfRule type="containsText" dxfId="127" priority="11" operator="containsText" text="Difference Entry">
      <formula>NOT(ISERROR(SEARCH("Difference Entry",J1)))</formula>
    </cfRule>
  </conditionalFormatting>
  <conditionalFormatting sqref="L2 E2:G2">
    <cfRule type="cellIs" dxfId="126" priority="9" operator="equal">
      <formula>#N/A</formula>
    </cfRule>
  </conditionalFormatting>
  <conditionalFormatting sqref="H2">
    <cfRule type="cellIs" dxfId="125" priority="8" operator="equal">
      <formula>#N/A</formula>
    </cfRule>
  </conditionalFormatting>
  <conditionalFormatting sqref="I2">
    <cfRule type="cellIs" dxfId="124" priority="7" operator="equal">
      <formula>#N/A</formula>
    </cfRule>
  </conditionalFormatting>
  <conditionalFormatting sqref="J2">
    <cfRule type="cellIs" dxfId="123" priority="6" operator="equal">
      <formula>#N/A</formula>
    </cfRule>
  </conditionalFormatting>
  <conditionalFormatting sqref="J2">
    <cfRule type="cellIs" dxfId="122" priority="5" operator="equal">
      <formula>0</formula>
    </cfRule>
  </conditionalFormatting>
  <conditionalFormatting sqref="K2">
    <cfRule type="cellIs" dxfId="121" priority="4" operator="equal">
      <formula>#N/A</formula>
    </cfRule>
  </conditionalFormatting>
  <conditionalFormatting sqref="GD1">
    <cfRule type="cellIs" dxfId="120" priority="3" operator="equal">
      <formula>#N/A</formula>
    </cfRule>
  </conditionalFormatting>
  <conditionalFormatting sqref="GD1">
    <cfRule type="containsText" dxfId="119" priority="1" operator="containsText" text="Others">
      <formula>NOT(ISERROR(SEARCH("Others",GD1)))</formula>
    </cfRule>
    <cfRule type="containsText" dxfId="118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7" priority="15" operator="equal">
      <formula>#N/A</formula>
    </cfRule>
  </conditionalFormatting>
  <conditionalFormatting sqref="E1">
    <cfRule type="cellIs" dxfId="116" priority="14" operator="equal">
      <formula>#N/A</formula>
    </cfRule>
  </conditionalFormatting>
  <conditionalFormatting sqref="I1">
    <cfRule type="cellIs" dxfId="115" priority="13" operator="equal">
      <formula>#N/A</formula>
    </cfRule>
  </conditionalFormatting>
  <conditionalFormatting sqref="J1">
    <cfRule type="cellIs" dxfId="114" priority="12" operator="equal">
      <formula>#N/A</formula>
    </cfRule>
  </conditionalFormatting>
  <conditionalFormatting sqref="J1">
    <cfRule type="containsText" dxfId="113" priority="10" operator="containsText" text="All Data Import Successfully">
      <formula>NOT(ISERROR(SEARCH("All Data Import Successfully",J1)))</formula>
    </cfRule>
    <cfRule type="containsText" dxfId="112" priority="11" operator="containsText" text="Difference Entry">
      <formula>NOT(ISERROR(SEARCH("Difference Entry",J1)))</formula>
    </cfRule>
  </conditionalFormatting>
  <conditionalFormatting sqref="L2 E2:G2">
    <cfRule type="cellIs" dxfId="111" priority="9" operator="equal">
      <formula>#N/A</formula>
    </cfRule>
  </conditionalFormatting>
  <conditionalFormatting sqref="H2">
    <cfRule type="cellIs" dxfId="110" priority="8" operator="equal">
      <formula>#N/A</formula>
    </cfRule>
  </conditionalFormatting>
  <conditionalFormatting sqref="I2">
    <cfRule type="cellIs" dxfId="109" priority="7" operator="equal">
      <formula>#N/A</formula>
    </cfRule>
  </conditionalFormatting>
  <conditionalFormatting sqref="J2">
    <cfRule type="cellIs" dxfId="108" priority="6" operator="equal">
      <formula>#N/A</formula>
    </cfRule>
  </conditionalFormatting>
  <conditionalFormatting sqref="J2">
    <cfRule type="cellIs" dxfId="107" priority="5" operator="equal">
      <formula>0</formula>
    </cfRule>
  </conditionalFormatting>
  <conditionalFormatting sqref="K2">
    <cfRule type="cellIs" dxfId="106" priority="4" operator="equal">
      <formula>#N/A</formula>
    </cfRule>
  </conditionalFormatting>
  <conditionalFormatting sqref="GD1">
    <cfRule type="cellIs" dxfId="105" priority="3" operator="equal">
      <formula>#N/A</formula>
    </cfRule>
  </conditionalFormatting>
  <conditionalFormatting sqref="GD1">
    <cfRule type="containsText" dxfId="104" priority="1" operator="containsText" text="Others">
      <formula>NOT(ISERROR(SEARCH("Others",GD1)))</formula>
    </cfRule>
    <cfRule type="containsText" dxfId="103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/>
      <c r="B3" s="63" t="s">
        <v>102</v>
      </c>
      <c r="C3" s="8"/>
      <c r="D3" s="8" t="s">
        <v>871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VLOOKUP(VALUE(LEFT(IF(ISBLANK(AF3),AA3,AF3),2)),Help!$E$2:$F$45,2,0)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833</v>
      </c>
      <c r="D4" s="82" t="s">
        <v>160</v>
      </c>
      <c r="E4" s="82" t="s">
        <v>834</v>
      </c>
      <c r="F4" s="82" t="s">
        <v>835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836</v>
      </c>
      <c r="M4" s="82" t="s">
        <v>837</v>
      </c>
      <c r="N4" s="82" t="s">
        <v>80</v>
      </c>
      <c r="O4" s="82" t="s">
        <v>838</v>
      </c>
      <c r="P4" s="82" t="s">
        <v>412</v>
      </c>
      <c r="Q4" s="82" t="s">
        <v>415</v>
      </c>
      <c r="R4" s="82" t="s">
        <v>413</v>
      </c>
      <c r="S4" s="82" t="s">
        <v>839</v>
      </c>
      <c r="T4" s="82" t="s">
        <v>840</v>
      </c>
      <c r="U4" s="82" t="s">
        <v>508</v>
      </c>
      <c r="V4" s="82" t="s">
        <v>504</v>
      </c>
      <c r="W4" s="82" t="s">
        <v>841</v>
      </c>
      <c r="X4" s="82" t="s">
        <v>842</v>
      </c>
      <c r="Y4" s="82" t="s">
        <v>843</v>
      </c>
      <c r="Z4" s="82" t="s">
        <v>844</v>
      </c>
      <c r="AA4" s="82" t="s">
        <v>845</v>
      </c>
      <c r="AB4" s="82" t="s">
        <v>846</v>
      </c>
      <c r="AC4" s="82" t="s">
        <v>847</v>
      </c>
      <c r="AD4" s="82" t="s">
        <v>848</v>
      </c>
      <c r="AE4" s="82" t="s">
        <v>849</v>
      </c>
      <c r="AF4" s="82" t="s">
        <v>850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W6V4n9HMSxT3rczS12uwxOtV+vvjROH+JgqKL7P5fSJ7LjdOsRf/M11KymJOsqUsUeRL4YiUeL7y0F+qY4TEA==" saltValue="Gmk2aY8H6Mkh1Prw6Hh9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02" priority="15" operator="equal">
      <formula>#N/A</formula>
    </cfRule>
  </conditionalFormatting>
  <conditionalFormatting sqref="E1">
    <cfRule type="cellIs" dxfId="101" priority="14" operator="equal">
      <formula>#N/A</formula>
    </cfRule>
  </conditionalFormatting>
  <conditionalFormatting sqref="I1">
    <cfRule type="cellIs" dxfId="100" priority="13" operator="equal">
      <formula>#N/A</formula>
    </cfRule>
  </conditionalFormatting>
  <conditionalFormatting sqref="J1:K1">
    <cfRule type="cellIs" dxfId="99" priority="12" operator="equal">
      <formula>#N/A</formula>
    </cfRule>
  </conditionalFormatting>
  <conditionalFormatting sqref="J1:K1">
    <cfRule type="containsText" dxfId="98" priority="10" operator="containsText" text="All Data Import Successfully">
      <formula>NOT(ISERROR(SEARCH("All Data Import Successfully",J1)))</formula>
    </cfRule>
    <cfRule type="containsText" dxfId="97" priority="11" operator="containsText" text="Difference Entry">
      <formula>NOT(ISERROR(SEARCH("Difference Entry",J1)))</formula>
    </cfRule>
  </conditionalFormatting>
  <conditionalFormatting sqref="L2 E2:G2">
    <cfRule type="cellIs" dxfId="96" priority="9" operator="equal">
      <formula>#N/A</formula>
    </cfRule>
  </conditionalFormatting>
  <conditionalFormatting sqref="H2">
    <cfRule type="cellIs" dxfId="95" priority="8" operator="equal">
      <formula>#N/A</formula>
    </cfRule>
  </conditionalFormatting>
  <conditionalFormatting sqref="I2">
    <cfRule type="cellIs" dxfId="94" priority="7" operator="equal">
      <formula>#N/A</formula>
    </cfRule>
  </conditionalFormatting>
  <conditionalFormatting sqref="J2:K2">
    <cfRule type="cellIs" dxfId="93" priority="6" operator="equal">
      <formula>#N/A</formula>
    </cfRule>
  </conditionalFormatting>
  <conditionalFormatting sqref="J2:K2">
    <cfRule type="cellIs" dxfId="92" priority="5" operator="equal">
      <formula>0</formula>
    </cfRule>
  </conditionalFormatting>
  <conditionalFormatting sqref="GD1">
    <cfRule type="cellIs" dxfId="91" priority="3" operator="equal">
      <formula>#N/A</formula>
    </cfRule>
  </conditionalFormatting>
  <conditionalFormatting sqref="GD1">
    <cfRule type="containsText" dxfId="90" priority="1" operator="containsText" text="Others">
      <formula>NOT(ISERROR(SEARCH("Others",GD1)))</formula>
    </cfRule>
    <cfRule type="containsText" dxfId="89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8" priority="12" operator="equal">
      <formula>#N/A</formula>
    </cfRule>
  </conditionalFormatting>
  <conditionalFormatting sqref="E1">
    <cfRule type="cellIs" dxfId="87" priority="11" operator="equal">
      <formula>#N/A</formula>
    </cfRule>
  </conditionalFormatting>
  <conditionalFormatting sqref="I1">
    <cfRule type="cellIs" dxfId="86" priority="10" operator="equal">
      <formula>#N/A</formula>
    </cfRule>
  </conditionalFormatting>
  <conditionalFormatting sqref="J1">
    <cfRule type="cellIs" dxfId="85" priority="9" operator="equal">
      <formula>#N/A</formula>
    </cfRule>
  </conditionalFormatting>
  <conditionalFormatting sqref="J1">
    <cfRule type="containsText" dxfId="84" priority="7" operator="containsText" text="All Data Import Successfully">
      <formula>NOT(ISERROR(SEARCH("All Data Import Successfully",J1)))</formula>
    </cfRule>
    <cfRule type="containsText" dxfId="83" priority="8" operator="containsText" text="Difference Entry">
      <formula>NOT(ISERROR(SEARCH("Difference Entry",J1)))</formula>
    </cfRule>
  </conditionalFormatting>
  <conditionalFormatting sqref="L2 E2:G2">
    <cfRule type="cellIs" dxfId="82" priority="6" operator="equal">
      <formula>#N/A</formula>
    </cfRule>
  </conditionalFormatting>
  <conditionalFormatting sqref="H2">
    <cfRule type="cellIs" dxfId="81" priority="5" operator="equal">
      <formula>#N/A</formula>
    </cfRule>
  </conditionalFormatting>
  <conditionalFormatting sqref="I2">
    <cfRule type="cellIs" dxfId="80" priority="4" operator="equal">
      <formula>#N/A</formula>
    </cfRule>
  </conditionalFormatting>
  <conditionalFormatting sqref="J2">
    <cfRule type="cellIs" dxfId="79" priority="3" operator="equal">
      <formula>#N/A</formula>
    </cfRule>
  </conditionalFormatting>
  <conditionalFormatting sqref="J2">
    <cfRule type="cellIs" dxfId="78" priority="2" operator="equal">
      <formula>0</formula>
    </cfRule>
  </conditionalFormatting>
  <conditionalFormatting sqref="K2">
    <cfRule type="cellIs" dxfId="77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874</v>
      </c>
      <c r="DB2" s="91" t="s">
        <v>875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873</v>
      </c>
      <c r="C3" s="8"/>
      <c r="D3" s="62" t="s">
        <v>894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59" t="s">
        <v>420</v>
      </c>
      <c r="B4" s="359" t="s">
        <v>421</v>
      </c>
      <c r="C4" s="359" t="s">
        <v>422</v>
      </c>
      <c r="D4" s="359" t="s">
        <v>423</v>
      </c>
      <c r="E4" s="359" t="s">
        <v>424</v>
      </c>
      <c r="F4" s="359" t="s">
        <v>305</v>
      </c>
      <c r="G4" s="359" t="s">
        <v>425</v>
      </c>
      <c r="H4" s="359" t="s">
        <v>426</v>
      </c>
      <c r="I4" s="359" t="s">
        <v>427</v>
      </c>
      <c r="J4" s="359" t="s">
        <v>428</v>
      </c>
      <c r="K4" s="359" t="s">
        <v>429</v>
      </c>
      <c r="L4" s="359" t="s">
        <v>430</v>
      </c>
      <c r="M4" s="359" t="s">
        <v>73</v>
      </c>
      <c r="N4" s="359" t="s">
        <v>431</v>
      </c>
      <c r="O4" s="359" t="s">
        <v>432</v>
      </c>
      <c r="P4" s="359" t="s">
        <v>433</v>
      </c>
      <c r="Q4" s="359" t="s">
        <v>434</v>
      </c>
      <c r="R4" s="359" t="s">
        <v>435</v>
      </c>
      <c r="S4" s="359" t="s">
        <v>436</v>
      </c>
      <c r="T4" s="359" t="s">
        <v>437</v>
      </c>
      <c r="U4" s="359" t="s">
        <v>438</v>
      </c>
      <c r="V4" s="359" t="s">
        <v>439</v>
      </c>
      <c r="W4" s="359" t="s">
        <v>440</v>
      </c>
      <c r="X4" s="359" t="s">
        <v>441</v>
      </c>
      <c r="Y4" s="359" t="s">
        <v>442</v>
      </c>
      <c r="Z4" s="359" t="s">
        <v>412</v>
      </c>
      <c r="AA4" s="359" t="s">
        <v>277</v>
      </c>
      <c r="AB4" s="359" t="s">
        <v>413</v>
      </c>
      <c r="AC4" s="359" t="s">
        <v>443</v>
      </c>
      <c r="AD4" s="359" t="s">
        <v>415</v>
      </c>
      <c r="AE4" s="359" t="s">
        <v>275</v>
      </c>
      <c r="AF4" s="359" t="s">
        <v>414</v>
      </c>
      <c r="AG4" s="359" t="s">
        <v>444</v>
      </c>
      <c r="AH4" s="359" t="s">
        <v>445</v>
      </c>
      <c r="AI4" s="359" t="s">
        <v>446</v>
      </c>
      <c r="AJ4" s="359" t="s">
        <v>447</v>
      </c>
      <c r="AK4" s="359" t="s">
        <v>448</v>
      </c>
      <c r="AL4" s="359" t="s">
        <v>449</v>
      </c>
      <c r="AM4" s="359" t="s">
        <v>450</v>
      </c>
      <c r="AN4" s="359" t="s">
        <v>451</v>
      </c>
      <c r="AO4" s="359" t="s">
        <v>452</v>
      </c>
      <c r="AP4" s="359" t="s">
        <v>453</v>
      </c>
      <c r="AQ4" s="359" t="s">
        <v>454</v>
      </c>
      <c r="AR4" s="359" t="s">
        <v>455</v>
      </c>
      <c r="AS4" s="359" t="s">
        <v>456</v>
      </c>
      <c r="AT4" s="359" t="s">
        <v>457</v>
      </c>
      <c r="AU4" s="359" t="s">
        <v>458</v>
      </c>
      <c r="AV4" s="359" t="s">
        <v>459</v>
      </c>
      <c r="AW4" s="359" t="s">
        <v>460</v>
      </c>
      <c r="AX4" s="359" t="s">
        <v>461</v>
      </c>
      <c r="AY4" s="359" t="s">
        <v>462</v>
      </c>
      <c r="AZ4" s="359" t="s">
        <v>463</v>
      </c>
      <c r="BA4" s="359" t="s">
        <v>464</v>
      </c>
      <c r="BB4" s="359" t="s">
        <v>465</v>
      </c>
      <c r="BC4" s="359" t="s">
        <v>466</v>
      </c>
      <c r="BD4" s="359" t="s">
        <v>467</v>
      </c>
      <c r="BE4" s="359" t="s">
        <v>468</v>
      </c>
      <c r="BF4" s="359" t="s">
        <v>469</v>
      </c>
      <c r="BG4" s="359" t="s">
        <v>470</v>
      </c>
      <c r="BH4" s="359" t="s">
        <v>471</v>
      </c>
      <c r="BI4" s="359" t="s">
        <v>472</v>
      </c>
      <c r="BJ4" s="359" t="s">
        <v>473</v>
      </c>
      <c r="BK4" s="359" t="s">
        <v>474</v>
      </c>
      <c r="BL4" s="359" t="s">
        <v>475</v>
      </c>
      <c r="BM4" s="359" t="s">
        <v>476</v>
      </c>
      <c r="BN4" s="359" t="s">
        <v>477</v>
      </c>
      <c r="BO4" s="359" t="s">
        <v>478</v>
      </c>
      <c r="BP4" s="359" t="s">
        <v>479</v>
      </c>
      <c r="BQ4" s="359" t="s">
        <v>480</v>
      </c>
      <c r="BR4" s="359" t="s">
        <v>481</v>
      </c>
      <c r="BS4" s="359" t="s">
        <v>482</v>
      </c>
      <c r="BT4" s="359" t="s">
        <v>55</v>
      </c>
      <c r="BU4" s="359" t="s">
        <v>483</v>
      </c>
      <c r="BV4" s="359" t="s">
        <v>484</v>
      </c>
      <c r="BW4" s="359" t="s">
        <v>485</v>
      </c>
      <c r="BX4" s="359" t="s">
        <v>486</v>
      </c>
      <c r="BY4" s="359" t="s">
        <v>487</v>
      </c>
      <c r="BZ4" s="359"/>
      <c r="CA4" s="359"/>
      <c r="CB4" s="359"/>
      <c r="CC4" s="359"/>
      <c r="CD4" s="359"/>
      <c r="CE4" s="359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6" priority="12" operator="equal">
      <formula>#N/A</formula>
    </cfRule>
  </conditionalFormatting>
  <conditionalFormatting sqref="E1">
    <cfRule type="cellIs" dxfId="75" priority="11" operator="equal">
      <formula>#N/A</formula>
    </cfRule>
  </conditionalFormatting>
  <conditionalFormatting sqref="I1">
    <cfRule type="cellIs" dxfId="74" priority="10" operator="equal">
      <formula>#N/A</formula>
    </cfRule>
  </conditionalFormatting>
  <conditionalFormatting sqref="J1">
    <cfRule type="cellIs" dxfId="73" priority="9" operator="equal">
      <formula>#N/A</formula>
    </cfRule>
  </conditionalFormatting>
  <conditionalFormatting sqref="J1">
    <cfRule type="containsText" dxfId="72" priority="7" operator="containsText" text="All Data Import Successfully">
      <formula>NOT(ISERROR(SEARCH("All Data Import Successfully",J1)))</formula>
    </cfRule>
    <cfRule type="containsText" dxfId="71" priority="8" operator="containsText" text="Difference Entry">
      <formula>NOT(ISERROR(SEARCH("Difference Entry",J1)))</formula>
    </cfRule>
  </conditionalFormatting>
  <conditionalFormatting sqref="L2 E2:G2">
    <cfRule type="cellIs" dxfId="70" priority="6" operator="equal">
      <formula>#N/A</formula>
    </cfRule>
  </conditionalFormatting>
  <conditionalFormatting sqref="H2">
    <cfRule type="cellIs" dxfId="69" priority="5" operator="equal">
      <formula>#N/A</formula>
    </cfRule>
  </conditionalFormatting>
  <conditionalFormatting sqref="I2">
    <cfRule type="cellIs" dxfId="68" priority="4" operator="equal">
      <formula>#N/A</formula>
    </cfRule>
  </conditionalFormatting>
  <conditionalFormatting sqref="J2">
    <cfRule type="cellIs" dxfId="67" priority="3" operator="equal">
      <formula>#N/A</formula>
    </cfRule>
  </conditionalFormatting>
  <conditionalFormatting sqref="J2">
    <cfRule type="cellIs" dxfId="66" priority="2" operator="equal">
      <formula>0</formula>
    </cfRule>
  </conditionalFormatting>
  <conditionalFormatting sqref="K2">
    <cfRule type="cellIs" dxfId="65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5"/>
      <c r="B1" s="286">
        <v>1</v>
      </c>
      <c r="C1" s="287"/>
      <c r="D1" s="288"/>
      <c r="E1" s="289" t="s">
        <v>96</v>
      </c>
      <c r="F1" s="290" t="s">
        <v>87</v>
      </c>
      <c r="G1" s="291" t="s">
        <v>879</v>
      </c>
      <c r="H1" s="292" t="s">
        <v>892</v>
      </c>
      <c r="I1" s="292" t="s">
        <v>893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+COUNTIF($DR:$DR,"Sales")</f>
        <v>0</v>
      </c>
      <c r="G2" s="301">
        <f>+COUNTIF($DR:$DR,"Purchase Return")-1</f>
        <v>0</v>
      </c>
      <c r="H2" s="302">
        <f>SUMIF(DS:DS, "&gt;0")</f>
        <v>0</v>
      </c>
      <c r="I2" s="302">
        <f>SUMIF(DS:DS, "&lt;0")</f>
        <v>0</v>
      </c>
      <c r="J2" s="304">
        <f>+F2+G2</f>
        <v>0</v>
      </c>
      <c r="K2" s="305">
        <f>+SUM(DS:DS)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1" t="s">
        <v>864</v>
      </c>
      <c r="DB2" s="361" t="s">
        <v>781</v>
      </c>
      <c r="DC2" s="361" t="s">
        <v>230</v>
      </c>
      <c r="DD2" s="361" t="s">
        <v>877</v>
      </c>
      <c r="DE2" s="361" t="s">
        <v>783</v>
      </c>
      <c r="DF2" s="361" t="s">
        <v>865</v>
      </c>
      <c r="DG2" s="362" t="s">
        <v>784</v>
      </c>
      <c r="DH2" s="361" t="s">
        <v>785</v>
      </c>
      <c r="DI2" s="361" t="s">
        <v>786</v>
      </c>
      <c r="DJ2" s="361" t="s">
        <v>420</v>
      </c>
      <c r="DK2" s="361" t="s">
        <v>76</v>
      </c>
      <c r="DL2" s="361" t="s">
        <v>403</v>
      </c>
      <c r="DM2" s="361" t="s">
        <v>787</v>
      </c>
      <c r="DN2" s="361" t="s">
        <v>788</v>
      </c>
      <c r="DO2" s="361" t="s">
        <v>789</v>
      </c>
      <c r="DP2" s="361" t="s">
        <v>426</v>
      </c>
      <c r="DQ2" s="361" t="s">
        <v>318</v>
      </c>
      <c r="DR2" s="363" t="s">
        <v>800</v>
      </c>
      <c r="DS2" s="361" t="s">
        <v>106</v>
      </c>
      <c r="DT2" s="361" t="s">
        <v>878</v>
      </c>
      <c r="DU2" s="361" t="s">
        <v>876</v>
      </c>
      <c r="DV2" s="17"/>
      <c r="DW2" s="17"/>
      <c r="DX2" s="17"/>
    </row>
    <row r="3" spans="1:128" customFormat="1" ht="15.75" thickBot="1" x14ac:dyDescent="0.3">
      <c r="A3" s="345"/>
      <c r="B3" s="346"/>
      <c r="C3" s="308"/>
      <c r="D3" s="309" t="s">
        <v>909</v>
      </c>
      <c r="E3" s="344"/>
      <c r="F3" s="347"/>
      <c r="G3" s="344"/>
      <c r="H3" s="308"/>
      <c r="I3" s="351"/>
      <c r="J3" s="349"/>
      <c r="K3" s="352"/>
      <c r="L3" s="350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868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4">
        <f>+IF(B3="FC_REMOVAL",VALUE(IF(X3=0,0,V3*-1)),VALUE(IF(X3=0,0,V3)))</f>
        <v>0</v>
      </c>
      <c r="DT3" s="364" t="e">
        <f>+VLOOKUP(DU3,Help!$AC$3:$AD$20,2,0)</f>
        <v>#N/A</v>
      </c>
      <c r="DU3" s="365" t="str">
        <f>+AG3</f>
        <v>Sales</v>
      </c>
      <c r="DV3" s="360"/>
      <c r="DW3" s="360"/>
      <c r="DX3" s="360"/>
    </row>
    <row r="4" spans="1:128" s="2" customFormat="1" x14ac:dyDescent="0.25">
      <c r="A4" s="356" t="s">
        <v>855</v>
      </c>
      <c r="B4" s="356" t="s">
        <v>156</v>
      </c>
      <c r="C4" s="356" t="s">
        <v>525</v>
      </c>
      <c r="D4" s="356" t="s">
        <v>157</v>
      </c>
      <c r="E4" s="356" t="s">
        <v>856</v>
      </c>
      <c r="F4" s="356" t="s">
        <v>172</v>
      </c>
      <c r="G4" s="356" t="s">
        <v>173</v>
      </c>
      <c r="H4" s="356" t="s">
        <v>174</v>
      </c>
      <c r="I4" s="356" t="s">
        <v>175</v>
      </c>
      <c r="J4" s="356" t="s">
        <v>857</v>
      </c>
      <c r="K4" s="356" t="s">
        <v>176</v>
      </c>
      <c r="L4" s="356" t="s">
        <v>177</v>
      </c>
      <c r="M4" s="356" t="s">
        <v>178</v>
      </c>
      <c r="N4" s="356" t="s">
        <v>179</v>
      </c>
      <c r="O4" s="356" t="s">
        <v>154</v>
      </c>
      <c r="P4" s="356" t="s">
        <v>155</v>
      </c>
      <c r="Q4" s="356" t="s">
        <v>379</v>
      </c>
      <c r="R4" s="356" t="s">
        <v>164</v>
      </c>
      <c r="S4" s="356" t="s">
        <v>166</v>
      </c>
      <c r="T4" s="356" t="s">
        <v>162</v>
      </c>
      <c r="U4" s="356" t="s">
        <v>746</v>
      </c>
      <c r="V4" s="356" t="s">
        <v>540</v>
      </c>
      <c r="W4" s="356" t="s">
        <v>186</v>
      </c>
      <c r="X4" s="356" t="s">
        <v>858</v>
      </c>
      <c r="Y4" s="356" t="s">
        <v>184</v>
      </c>
      <c r="Z4" s="356" t="s">
        <v>859</v>
      </c>
      <c r="AA4" s="356" t="s">
        <v>185</v>
      </c>
      <c r="AB4" s="356" t="s">
        <v>860</v>
      </c>
      <c r="AC4" s="356" t="s">
        <v>183</v>
      </c>
      <c r="AD4" s="356" t="s">
        <v>861</v>
      </c>
      <c r="AE4" s="356" t="s">
        <v>187</v>
      </c>
      <c r="AF4" s="356" t="s">
        <v>862</v>
      </c>
      <c r="AG4" s="356" t="s">
        <v>863</v>
      </c>
      <c r="AH4" s="356" t="s">
        <v>233</v>
      </c>
      <c r="AI4" s="356" t="s">
        <v>234</v>
      </c>
      <c r="AJ4" s="356" t="s">
        <v>235</v>
      </c>
      <c r="AK4" s="356" t="s">
        <v>236</v>
      </c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6"/>
      <c r="DH4" s="17"/>
      <c r="DI4" s="277" t="s">
        <v>85</v>
      </c>
      <c r="DJ4" s="17"/>
      <c r="DK4" s="276"/>
      <c r="DL4" s="125"/>
      <c r="DM4" s="283"/>
      <c r="DN4" s="276"/>
      <c r="DO4" s="276"/>
      <c r="DP4" s="277" t="s">
        <v>85</v>
      </c>
      <c r="DS4" s="383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4" priority="11" operator="equal">
      <formula>#N/A</formula>
    </cfRule>
  </conditionalFormatting>
  <conditionalFormatting sqref="E1">
    <cfRule type="cellIs" dxfId="63" priority="10" operator="equal">
      <formula>#N/A</formula>
    </cfRule>
  </conditionalFormatting>
  <conditionalFormatting sqref="K1">
    <cfRule type="cellIs" dxfId="62" priority="9" operator="equal">
      <formula>#N/A</formula>
    </cfRule>
  </conditionalFormatting>
  <conditionalFormatting sqref="L1">
    <cfRule type="cellIs" dxfId="61" priority="8" operator="equal">
      <formula>#N/A</formula>
    </cfRule>
  </conditionalFormatting>
  <conditionalFormatting sqref="L1">
    <cfRule type="containsText" dxfId="60" priority="6" operator="containsText" text="All Data Import Successfully">
      <formula>NOT(ISERROR(SEARCH("All Data Import Successfully",L1)))</formula>
    </cfRule>
    <cfRule type="containsText" dxfId="59" priority="7" operator="containsText" text="Difference Entry">
      <formula>NOT(ISERROR(SEARCH("Difference Entry",L1)))</formula>
    </cfRule>
  </conditionalFormatting>
  <conditionalFormatting sqref="E2:I2">
    <cfRule type="cellIs" dxfId="58" priority="5" operator="equal">
      <formula>#N/A</formula>
    </cfRule>
  </conditionalFormatting>
  <conditionalFormatting sqref="J2">
    <cfRule type="cellIs" dxfId="57" priority="4" operator="equal">
      <formula>#N/A</formula>
    </cfRule>
  </conditionalFormatting>
  <conditionalFormatting sqref="K2">
    <cfRule type="cellIs" dxfId="56" priority="3" operator="equal">
      <formula>#N/A</formula>
    </cfRule>
  </conditionalFormatting>
  <conditionalFormatting sqref="L2">
    <cfRule type="cellIs" dxfId="55" priority="2" operator="equal">
      <formula>#N/A</formula>
    </cfRule>
  </conditionalFormatting>
  <conditionalFormatting sqref="L2">
    <cfRule type="cellIs" dxfId="54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EG4"/>
  <sheetViews>
    <sheetView tabSelected="1" workbookViewId="0">
      <selection activeCell="D14" sqref="D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5"/>
      <c r="B1" s="286"/>
      <c r="C1" s="287"/>
      <c r="D1" s="288"/>
      <c r="E1" s="289" t="s">
        <v>96</v>
      </c>
      <c r="F1" s="290" t="s">
        <v>801</v>
      </c>
      <c r="G1" s="291" t="s">
        <v>802</v>
      </c>
      <c r="H1" s="292" t="s">
        <v>803</v>
      </c>
      <c r="I1" s="293" t="s">
        <v>804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+COUNTIF($DR:$DR,"Purchase")-1</f>
        <v>0</v>
      </c>
      <c r="G2" s="301">
        <f>+COUNTIF($DR:$DR,"GST Expense")</f>
        <v>0</v>
      </c>
      <c r="H2" s="302">
        <f>+COUNTIF($DR:$DR,"Pur CN")</f>
        <v>0</v>
      </c>
      <c r="I2" s="303">
        <f>+COUNTIF($DR:$DR,"Pur DN")</f>
        <v>0</v>
      </c>
      <c r="J2" s="304">
        <f>+F2+G2+H2+I2</f>
        <v>0</v>
      </c>
      <c r="K2" s="305">
        <f>+SUM(DQ:DQ)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8" t="s">
        <v>71</v>
      </c>
      <c r="DB2" s="278" t="s">
        <v>781</v>
      </c>
      <c r="DC2" s="278" t="s">
        <v>72</v>
      </c>
      <c r="DD2" s="278" t="s">
        <v>782</v>
      </c>
      <c r="DE2" s="278" t="s">
        <v>783</v>
      </c>
      <c r="DF2" s="278" t="s">
        <v>780</v>
      </c>
      <c r="DG2" s="278" t="s">
        <v>784</v>
      </c>
      <c r="DH2" s="278" t="s">
        <v>785</v>
      </c>
      <c r="DI2" s="278" t="s">
        <v>786</v>
      </c>
      <c r="DJ2" s="278" t="s">
        <v>420</v>
      </c>
      <c r="DK2" s="278" t="s">
        <v>76</v>
      </c>
      <c r="DL2" s="278" t="s">
        <v>403</v>
      </c>
      <c r="DM2" s="278" t="s">
        <v>787</v>
      </c>
      <c r="DN2" s="278" t="s">
        <v>788</v>
      </c>
      <c r="DO2" s="278" t="s">
        <v>789</v>
      </c>
      <c r="DP2" s="278" t="s">
        <v>426</v>
      </c>
      <c r="DQ2" s="278" t="s">
        <v>799</v>
      </c>
      <c r="DR2" s="279" t="s">
        <v>800</v>
      </c>
      <c r="DS2" s="278" t="s">
        <v>790</v>
      </c>
    </row>
    <row r="3" spans="1:137" customFormat="1" ht="15.75" thickBot="1" x14ac:dyDescent="0.3">
      <c r="A3" s="345"/>
      <c r="B3" s="346"/>
      <c r="C3" s="308"/>
      <c r="D3" s="309" t="s">
        <v>85</v>
      </c>
      <c r="E3" s="344"/>
      <c r="F3" s="347"/>
      <c r="G3" s="344"/>
      <c r="H3" s="308"/>
      <c r="I3" s="352" t="s">
        <v>852</v>
      </c>
      <c r="J3" s="402"/>
      <c r="K3" s="352" t="s">
        <v>851</v>
      </c>
      <c r="L3" s="403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1">
        <f>+C3</f>
        <v>0</v>
      </c>
      <c r="DL3" s="281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20" t="s">
        <v>85</v>
      </c>
    </row>
    <row r="4" spans="1:137" s="2" customFormat="1" ht="24" x14ac:dyDescent="0.25">
      <c r="A4" s="307" t="s">
        <v>762</v>
      </c>
      <c r="B4" s="307" t="s">
        <v>763</v>
      </c>
      <c r="C4" s="275" t="s">
        <v>422</v>
      </c>
      <c r="D4" s="275" t="s">
        <v>773</v>
      </c>
      <c r="E4" s="275" t="s">
        <v>155</v>
      </c>
      <c r="F4" s="275" t="s">
        <v>774</v>
      </c>
      <c r="G4" s="307" t="s">
        <v>764</v>
      </c>
      <c r="H4" s="307" t="s">
        <v>765</v>
      </c>
      <c r="I4" s="307" t="s">
        <v>766</v>
      </c>
      <c r="J4" s="275" t="s">
        <v>775</v>
      </c>
      <c r="K4" s="275" t="s">
        <v>776</v>
      </c>
      <c r="L4" s="275" t="s">
        <v>777</v>
      </c>
      <c r="M4" s="275" t="s">
        <v>778</v>
      </c>
      <c r="N4" s="275" t="s">
        <v>854</v>
      </c>
      <c r="O4" s="275" t="s">
        <v>767</v>
      </c>
      <c r="P4" s="275" t="s">
        <v>768</v>
      </c>
      <c r="Q4" s="275" t="s">
        <v>769</v>
      </c>
      <c r="R4" s="275" t="s">
        <v>770</v>
      </c>
      <c r="S4" s="275" t="s">
        <v>771</v>
      </c>
      <c r="T4" s="275" t="s">
        <v>481</v>
      </c>
      <c r="U4" s="275" t="s">
        <v>772</v>
      </c>
      <c r="V4" s="16"/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7"/>
      <c r="DH4" s="17"/>
      <c r="DI4" s="277" t="s">
        <v>85</v>
      </c>
      <c r="DJ4" s="17"/>
      <c r="DK4" s="276"/>
      <c r="DL4" s="343"/>
      <c r="DM4" s="283"/>
      <c r="DN4" s="276"/>
      <c r="DO4" s="276"/>
      <c r="DP4" s="277" t="s">
        <v>85</v>
      </c>
    </row>
  </sheetData>
  <mergeCells count="1">
    <mergeCell ref="O1:P1"/>
  </mergeCells>
  <phoneticPr fontId="43" type="noConversion"/>
  <conditionalFormatting sqref="H1:J1">
    <cfRule type="cellIs" dxfId="53" priority="12" operator="equal">
      <formula>#N/A</formula>
    </cfRule>
  </conditionalFormatting>
  <conditionalFormatting sqref="E1">
    <cfRule type="cellIs" dxfId="52" priority="11" operator="equal">
      <formula>#N/A</formula>
    </cfRule>
  </conditionalFormatting>
  <conditionalFormatting sqref="K1">
    <cfRule type="cellIs" dxfId="51" priority="10" operator="equal">
      <formula>#N/A</formula>
    </cfRule>
  </conditionalFormatting>
  <conditionalFormatting sqref="L1">
    <cfRule type="cellIs" dxfId="50" priority="9" operator="equal">
      <formula>#N/A</formula>
    </cfRule>
  </conditionalFormatting>
  <conditionalFormatting sqref="L1">
    <cfRule type="containsText" dxfId="49" priority="7" operator="containsText" text="All Data Import Successfully">
      <formula>NOT(ISERROR(SEARCH("All Data Import Successfully",L1)))</formula>
    </cfRule>
    <cfRule type="containsText" dxfId="48" priority="8" operator="containsText" text="Difference Entry">
      <formula>NOT(ISERROR(SEARCH("Difference Entry",L1)))</formula>
    </cfRule>
  </conditionalFormatting>
  <conditionalFormatting sqref="E2:G2">
    <cfRule type="cellIs" dxfId="47" priority="6" operator="equal">
      <formula>#N/A</formula>
    </cfRule>
  </conditionalFormatting>
  <conditionalFormatting sqref="H2:J2">
    <cfRule type="cellIs" dxfId="46" priority="5" operator="equal">
      <formula>#N/A</formula>
    </cfRule>
  </conditionalFormatting>
  <conditionalFormatting sqref="K2">
    <cfRule type="cellIs" dxfId="45" priority="4" operator="equal">
      <formula>#N/A</formula>
    </cfRule>
  </conditionalFormatting>
  <conditionalFormatting sqref="L2">
    <cfRule type="cellIs" dxfId="44" priority="3" operator="equal">
      <formula>#N/A</formula>
    </cfRule>
  </conditionalFormatting>
  <conditionalFormatting sqref="L2">
    <cfRule type="cellIs" dxfId="43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D19" sqref="D19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7"/>
      <c r="J1" s="398"/>
      <c r="K1" s="399"/>
      <c r="N1" s="400" t="s">
        <v>812</v>
      </c>
      <c r="O1" s="401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9" t="str">
        <f>IF(AP1="",IF(AN1&lt;&gt;"", SUMIFS($L$5:$L$150000, $N$5:$N$150000, AN1), ""),"")</f>
        <v/>
      </c>
      <c r="AP1" s="370" t="str">
        <f>IF(AN1="", "", INDEX($A$5:$A$150000, MATCH(AN1, $N$5:$N$150000, 0)))</f>
        <v/>
      </c>
      <c r="AQ1" s="371" t="str">
        <f>IF(AN1="", "", INDEX($B$5:$B$150000, MATCH(AN1, $N$5:$N$150000, 0)))</f>
        <v/>
      </c>
      <c r="AR1" s="369" t="str">
        <f>IF(AN1="", "", INDEX($C$5:$C$150000, MATCH(AN1, $N$5:$N$150000, 0)))</f>
        <v/>
      </c>
      <c r="AS1" s="369" t="str">
        <f>AY1 &amp; "%" &amp; " (" &amp; AX1 &amp; ")"</f>
        <v>% ()</v>
      </c>
      <c r="AT1" s="371" t="e">
        <f>+IF(AU1="",INDEX($E$5:$E$150000,MATCH(AN1,$N$5:$N$150000,0)),INDEX(Help!$F$2:$F$49,MATCH(VALUE(LEFT(AU1,2)),Help!$E$2:$E$49,0)))</f>
        <v>#N/A</v>
      </c>
      <c r="AU1" s="372" t="str">
        <f>IF(AN1="", "", IFERROR(INDEX($F$5:$F$150000, MATCH(AN1, $N$5:$N$150000, 0)), ""))</f>
        <v/>
      </c>
      <c r="AV1" s="371" t="str">
        <f>IF(AN1="", "", IFERROR(INDEX($O$5:$O$150000, MATCH(AN1, $N$5:$N$150000, 0)), ""))</f>
        <v/>
      </c>
      <c r="AW1" s="370" t="str">
        <f>SUBSTITUTE(AN1,"R-","")</f>
        <v/>
      </c>
      <c r="AX1" s="370" t="str">
        <f>IF($Q1="", "", IFERROR(VALUE(INDEX($I$5:$I$150000, MATCH($Q1, $N$5:$N$150000, 0))), ""))</f>
        <v/>
      </c>
      <c r="AY1" s="370" t="str">
        <f>IF($Q1="", "", IFERROR(INDEX($J$5:$J$150000, MATCH($Q1, $N$5:$N$150000, 0)), ""))</f>
        <v/>
      </c>
      <c r="AZ1" s="370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9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18"/>
      <c r="O2" s="320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88" t="s">
        <v>866</v>
      </c>
      <c r="AD2" s="389" t="s">
        <v>72</v>
      </c>
      <c r="AO2" t="s">
        <v>488</v>
      </c>
      <c r="BA2" s="65">
        <v>0</v>
      </c>
      <c r="BB2" s="65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18"/>
      <c r="O3" s="320"/>
      <c r="P3" s="16"/>
      <c r="T3" s="88"/>
      <c r="Z3" s="88"/>
      <c r="AA3" s="88"/>
      <c r="AC3" s="390"/>
      <c r="AD3" s="39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18"/>
      <c r="O4" s="319"/>
      <c r="P4" s="16"/>
      <c r="T4" s="88"/>
      <c r="Z4" s="88"/>
      <c r="AA4" s="88"/>
      <c r="AC4" s="390"/>
      <c r="AD4" s="39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18"/>
      <c r="O5" s="320"/>
      <c r="P5" s="16"/>
      <c r="Q5" s="16"/>
      <c r="R5" s="16"/>
      <c r="S5" s="16"/>
      <c r="T5" s="88"/>
      <c r="Z5" s="88"/>
      <c r="AA5" s="88"/>
      <c r="AB5" s="16"/>
      <c r="AC5" s="390"/>
      <c r="AD5" s="39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2" t="s">
        <v>806</v>
      </c>
      <c r="O6" s="323"/>
      <c r="P6" s="16"/>
      <c r="Q6" s="16"/>
      <c r="R6" s="16"/>
      <c r="S6" s="16"/>
      <c r="T6" s="88"/>
      <c r="U6" s="88"/>
      <c r="Z6" s="88"/>
      <c r="AA6" s="88"/>
      <c r="AB6" s="16"/>
      <c r="AC6" s="390"/>
      <c r="AD6" s="39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1" t="s">
        <v>830</v>
      </c>
      <c r="M7" s="321" t="b">
        <v>1</v>
      </c>
      <c r="N7" s="322" t="s">
        <v>72</v>
      </c>
      <c r="O7" s="323"/>
      <c r="P7" s="16"/>
      <c r="Q7" s="16"/>
      <c r="R7" s="16"/>
      <c r="S7" s="16"/>
      <c r="T7" s="88"/>
      <c r="Z7" s="88"/>
      <c r="AA7" s="88"/>
      <c r="AB7" s="16"/>
      <c r="AC7" s="390"/>
      <c r="AD7" s="39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1" t="s">
        <v>829</v>
      </c>
      <c r="M8" s="321" t="b">
        <v>1</v>
      </c>
      <c r="N8" s="322" t="s">
        <v>807</v>
      </c>
      <c r="O8" s="323"/>
      <c r="P8" s="16"/>
      <c r="Q8" s="16"/>
      <c r="R8" s="16"/>
      <c r="S8" s="16"/>
      <c r="T8" s="88"/>
      <c r="Z8" s="88"/>
      <c r="AA8" s="88"/>
      <c r="AB8" s="16"/>
      <c r="AC8" s="390"/>
      <c r="AD8" s="39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1" t="s">
        <v>813</v>
      </c>
      <c r="M9" s="321" t="b">
        <v>1</v>
      </c>
      <c r="N9" s="322" t="s">
        <v>808</v>
      </c>
      <c r="O9" s="324"/>
      <c r="P9" s="16"/>
      <c r="Q9" s="16"/>
      <c r="R9" s="16"/>
      <c r="S9" s="16"/>
      <c r="T9" s="88"/>
      <c r="W9" s="88"/>
      <c r="X9" s="88"/>
      <c r="Z9" s="88"/>
      <c r="AA9" s="88"/>
      <c r="AB9" s="16"/>
      <c r="AC9" s="390"/>
      <c r="AD9" s="39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1" t="s">
        <v>814</v>
      </c>
      <c r="M10" s="321" t="b">
        <v>1</v>
      </c>
      <c r="N10" s="322" t="s">
        <v>810</v>
      </c>
      <c r="O10" s="323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90"/>
      <c r="AD10" s="39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16" t="s">
        <v>908</v>
      </c>
      <c r="M11" s="321" t="b">
        <v>0</v>
      </c>
      <c r="N11" s="322" t="s">
        <v>811</v>
      </c>
      <c r="O11" s="324"/>
      <c r="P11" s="16"/>
      <c r="Q11" s="16"/>
      <c r="R11" s="16"/>
      <c r="S11" s="16"/>
      <c r="AA11" s="88"/>
      <c r="AB11" s="16"/>
      <c r="AC11" s="392"/>
      <c r="AD11" s="39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1" t="s">
        <v>815</v>
      </c>
      <c r="M12" s="321" t="b">
        <v>1</v>
      </c>
      <c r="N12" s="322" t="s">
        <v>809</v>
      </c>
      <c r="O12" s="324"/>
      <c r="P12" s="16"/>
      <c r="Q12" s="16"/>
      <c r="R12" s="16"/>
      <c r="S12" s="16"/>
      <c r="T12" s="88"/>
      <c r="U12" s="88"/>
      <c r="Z12" s="88"/>
      <c r="AA12" s="88"/>
      <c r="AB12" s="16"/>
      <c r="AC12" s="392"/>
      <c r="AD12" s="39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1" t="s">
        <v>816</v>
      </c>
      <c r="M13" s="321" t="b">
        <v>1</v>
      </c>
      <c r="N13" s="325" t="s">
        <v>832</v>
      </c>
      <c r="O13" s="328"/>
      <c r="P13" s="16"/>
      <c r="Q13" s="16"/>
      <c r="R13" s="16"/>
      <c r="S13" s="16"/>
      <c r="T13" s="83"/>
      <c r="Z13" s="83"/>
      <c r="AA13" s="88"/>
      <c r="AB13" s="16"/>
      <c r="AC13" s="392"/>
      <c r="AD13" s="39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1" t="s">
        <v>817</v>
      </c>
      <c r="M14" s="321" t="b">
        <v>0</v>
      </c>
      <c r="N14" s="327"/>
      <c r="O14" s="18"/>
      <c r="P14" s="16"/>
      <c r="Q14" s="16"/>
      <c r="R14" s="16"/>
      <c r="S14" s="16"/>
      <c r="T14" s="83"/>
      <c r="Z14" s="83"/>
      <c r="AA14" s="88"/>
      <c r="AB14" s="16"/>
      <c r="AC14" s="392"/>
      <c r="AD14" s="39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1" t="s">
        <v>818</v>
      </c>
      <c r="M15" s="321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2"/>
      <c r="AD15" s="39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1" t="s">
        <v>819</v>
      </c>
      <c r="M16" s="321" t="b">
        <v>0</v>
      </c>
      <c r="N16" s="16"/>
      <c r="O16" s="316"/>
      <c r="P16" s="16"/>
      <c r="Q16" s="16"/>
      <c r="R16" s="16"/>
      <c r="S16" s="16"/>
      <c r="AA16" s="88"/>
      <c r="AB16" s="16"/>
      <c r="AC16" s="392"/>
      <c r="AD16" s="39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1" t="s">
        <v>822</v>
      </c>
      <c r="M17" s="321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2"/>
      <c r="AD17" s="39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1" t="s">
        <v>820</v>
      </c>
      <c r="M18" s="321" t="b">
        <v>0</v>
      </c>
      <c r="N18" s="16"/>
      <c r="O18" s="16"/>
      <c r="P18" s="16"/>
      <c r="Q18" s="16"/>
      <c r="R18" s="16"/>
      <c r="S18" s="16"/>
      <c r="AA18" s="88"/>
      <c r="AB18" s="16"/>
      <c r="AC18" s="392"/>
      <c r="AD18" s="39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1" t="s">
        <v>821</v>
      </c>
      <c r="M19" s="321" t="b">
        <v>0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2"/>
      <c r="AD19" s="39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1" t="s">
        <v>823</v>
      </c>
      <c r="M20" s="321" t="b">
        <v>0</v>
      </c>
      <c r="N20" s="16"/>
      <c r="O20" s="16"/>
      <c r="P20" s="16"/>
      <c r="Q20" s="16"/>
      <c r="R20" s="16"/>
      <c r="S20" s="16"/>
      <c r="AA20" s="88"/>
      <c r="AB20" s="16"/>
      <c r="AC20" s="392"/>
      <c r="AD20" s="39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1" t="s">
        <v>824</v>
      </c>
      <c r="M21" s="321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2"/>
      <c r="AD21" s="39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1" t="s">
        <v>825</v>
      </c>
      <c r="M22" s="321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3"/>
      <c r="AD22" s="394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1" t="s">
        <v>826</v>
      </c>
      <c r="M23" s="321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1" t="s">
        <v>853</v>
      </c>
      <c r="M24" s="321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1" t="s">
        <v>827</v>
      </c>
      <c r="M25" s="16" t="b">
        <v>0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1" t="s">
        <v>872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1" t="s">
        <v>867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321" t="s">
        <v>828</v>
      </c>
      <c r="M28" s="16" t="b">
        <v>1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5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5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5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5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5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869</v>
      </c>
      <c r="B141" s="265" t="s">
        <v>322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/>
      <c r="B142" s="265"/>
      <c r="C142" s="142" t="str">
        <f t="shared" si="3"/>
        <v/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/>
      <c r="B143" s="265"/>
      <c r="C143" s="142" t="str">
        <f t="shared" si="3"/>
        <v/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5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/>
      <c r="B144" s="265"/>
      <c r="C144" s="142" t="str">
        <f t="shared" si="3"/>
        <v/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/>
      <c r="B145" s="265"/>
      <c r="C145" s="142" t="str">
        <f t="shared" si="3"/>
        <v/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/>
      <c r="B146" s="265"/>
      <c r="C146" s="142" t="str">
        <f t="shared" si="3"/>
        <v/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/>
      <c r="B147" s="265"/>
      <c r="C147" s="142" t="str">
        <f t="shared" si="3"/>
        <v/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/>
      <c r="B148" s="246"/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42" priority="82"/>
  </conditionalFormatting>
  <conditionalFormatting sqref="XEC33">
    <cfRule type="cellIs" dxfId="41" priority="60" operator="equal">
      <formula>#N/A</formula>
    </cfRule>
  </conditionalFormatting>
  <conditionalFormatting sqref="XEF33">
    <cfRule type="duplicateValues" dxfId="40" priority="61"/>
  </conditionalFormatting>
  <conditionalFormatting sqref="XEC33">
    <cfRule type="containsText" dxfId="39" priority="58" operator="containsText" text="Others">
      <formula>NOT(ISERROR(SEARCH("Others",XEC33)))</formula>
    </cfRule>
    <cfRule type="containsText" dxfId="38" priority="59" operator="containsText" text="#N/A">
      <formula>NOT(ISERROR(SEARCH("#N/A",XEC33)))</formula>
    </cfRule>
  </conditionalFormatting>
  <conditionalFormatting sqref="XEA32">
    <cfRule type="cellIs" dxfId="37" priority="57" operator="equal">
      <formula>#N/A</formula>
    </cfRule>
  </conditionalFormatting>
  <conditionalFormatting sqref="XEA32">
    <cfRule type="containsText" dxfId="36" priority="55" operator="containsText" text="Others">
      <formula>NOT(ISERROR(SEARCH("Others",XEA32)))</formula>
    </cfRule>
    <cfRule type="containsText" dxfId="35" priority="56" operator="containsText" text="#N/A">
      <formula>NOT(ISERROR(SEARCH("#N/A",XEA32)))</formula>
    </cfRule>
  </conditionalFormatting>
  <conditionalFormatting sqref="A124">
    <cfRule type="duplicateValues" dxfId="34" priority="44"/>
  </conditionalFormatting>
  <conditionalFormatting sqref="A98:A100 A2:A9 A103:A107 A11:A64">
    <cfRule type="duplicateValues" dxfId="33" priority="41"/>
  </conditionalFormatting>
  <conditionalFormatting sqref="A98:A100 A2:A9 A103:A108 A11:A96">
    <cfRule type="duplicateValues" dxfId="32" priority="42"/>
  </conditionalFormatting>
  <conditionalFormatting sqref="A2:A9 A11:A118">
    <cfRule type="duplicateValues" dxfId="31" priority="40"/>
  </conditionalFormatting>
  <conditionalFormatting sqref="G2:G37 G51:G118">
    <cfRule type="duplicateValues" dxfId="30" priority="39"/>
  </conditionalFormatting>
  <conditionalFormatting sqref="E2:E37 E51:E118">
    <cfRule type="duplicateValues" dxfId="29" priority="38"/>
  </conditionalFormatting>
  <conditionalFormatting sqref="F37">
    <cfRule type="duplicateValues" dxfId="28" priority="43"/>
  </conditionalFormatting>
  <conditionalFormatting sqref="A119:A120">
    <cfRule type="duplicateValues" dxfId="27" priority="37"/>
  </conditionalFormatting>
  <conditionalFormatting sqref="A1:A132 A134:A138 A529:A1048576">
    <cfRule type="duplicateValues" dxfId="26" priority="9"/>
  </conditionalFormatting>
  <conditionalFormatting sqref="F1:F1048576">
    <cfRule type="duplicateValues" dxfId="25" priority="8"/>
  </conditionalFormatting>
  <conditionalFormatting sqref="A1:A1048576">
    <cfRule type="duplicateValues" dxfId="24" priority="4"/>
  </conditionalFormatting>
  <conditionalFormatting sqref="AR1">
    <cfRule type="cellIs" dxfId="23" priority="3" operator="equal">
      <formula>#N/A</formula>
    </cfRule>
  </conditionalFormatting>
  <conditionalFormatting sqref="AR1">
    <cfRule type="containsText" dxfId="22" priority="1" operator="containsText" text="Others">
      <formula>NOT(ISERROR(SEARCH("Others",AR1)))</formula>
    </cfRule>
    <cfRule type="containsText" dxfId="21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9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6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7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8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10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11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2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3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4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5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6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7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8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9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20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21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22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23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E11" sqref="E11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0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4"/>
      <c r="H1" s="163"/>
      <c r="I1" s="214"/>
      <c r="J1" s="335" t="s">
        <v>90</v>
      </c>
      <c r="K1" s="341" t="str">
        <f>+IF(K2=0,"Done","Pending")</f>
        <v>Done</v>
      </c>
      <c r="L1" s="336"/>
      <c r="M1" s="337"/>
      <c r="N1" s="333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58"/>
      <c r="C2" s="165"/>
      <c r="D2" s="165"/>
      <c r="E2" s="165"/>
      <c r="F2" s="165"/>
      <c r="G2" s="375"/>
      <c r="H2" s="165"/>
      <c r="I2" s="215"/>
      <c r="J2" s="338">
        <f>+MSH!H2+'AMZ (2)'!H2+FLC!H2+'FLC (C)'!H2+SND!H2+'JIO (2)'!H2+MYR!H2+'S101'!H2+JIO!H2+GLR!H2+MRW!H2+'S101 (2)'!H2+VMT!H2+'MYR (2)'!H2+'S101 (3)'!H2+UNI!H2+AMZ!H2</f>
        <v>0</v>
      </c>
      <c r="K2" s="342">
        <f>+J2-N2</f>
        <v>0</v>
      </c>
      <c r="L2" s="339"/>
      <c r="M2" s="340"/>
      <c r="N2" s="334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78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6" t="s">
        <v>319</v>
      </c>
      <c r="H3" s="379">
        <v>10</v>
      </c>
      <c r="I3" s="138" t="str">
        <f>+IF(J3=1,"All","State")</f>
        <v>State</v>
      </c>
      <c r="J3" s="380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R-10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69" t="str">
        <f>IF(S3="",IF(Q3&lt;&gt;"", SUMIFS(#REF!,#REF!, Q3), ""),"")</f>
        <v/>
      </c>
      <c r="S3" s="370" t="str">
        <f>IF(Q3="", "", INDEX(#REF!, MATCH(Q3,#REF!, 0)))</f>
        <v/>
      </c>
      <c r="T3" s="371" t="str">
        <f>IF(Q3="", "", INDEX(#REF!, MATCH(Q3,#REF!, 0)))</f>
        <v/>
      </c>
      <c r="U3" s="369" t="str">
        <f>IF(Q3="", "", INDEX(#REF!, MATCH(Q3,#REF!, 0)))</f>
        <v/>
      </c>
      <c r="V3" s="369" t="str">
        <f>AB3 &amp; "%" &amp; " (" &amp; AA3 &amp; ")"</f>
        <v>% ()</v>
      </c>
      <c r="W3" s="371" t="e">
        <f>+IF(X3="",INDEX(#REF!,MATCH(Q3,#REF!,0)),INDEX(Help!$F$2:$F$49,MATCH(VALUE(LEFT(X3,2)),Help!$E$2:$E$49,0)))</f>
        <v>#REF!</v>
      </c>
      <c r="X3" s="372" t="str">
        <f>IF(Q3="", "", IFERROR(INDEX(#REF!, MATCH(Q3,#REF!, 0)), ""))</f>
        <v/>
      </c>
      <c r="Y3" s="371" t="str">
        <f>IF(Q3="", "", IFERROR(INDEX(#REF!, MATCH(Q3,#REF!, 0)), ""))</f>
        <v/>
      </c>
      <c r="Z3" s="370" t="str">
        <f>SUBSTITUTE(Q3,"R-","")</f>
        <v/>
      </c>
      <c r="AA3" s="370" t="str">
        <f>IF($Q3="", "", IFERROR(VALUE(INDEX(#REF!, MATCH($Q3,#REF!, 0))), ""))</f>
        <v/>
      </c>
      <c r="AB3" s="370" t="str">
        <f>IF($Q3="", "", IFERROR(INDEX(#REF!, MATCH($Q3,#REF!, 0)), ""))</f>
        <v/>
      </c>
      <c r="AC3" s="370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9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77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884</v>
      </c>
      <c r="U4" s="212" t="s">
        <v>885</v>
      </c>
      <c r="V4" s="212" t="s">
        <v>305</v>
      </c>
      <c r="W4" s="212" t="s">
        <v>1</v>
      </c>
      <c r="X4" s="212" t="s">
        <v>74</v>
      </c>
      <c r="Y4" s="332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1" t="s">
        <v>318</v>
      </c>
      <c r="AG4" s="212"/>
      <c r="AH4" s="212" t="s">
        <v>304</v>
      </c>
    </row>
  </sheetData>
  <sheetProtection algorithmName="SHA-512" hashValue="l6zRIzubEQyVRfLKmEG50Wpp3updH238yMmJp7G5nk5d+ZLXXTySireLL8dWpTqbtXtFIM35YyMkLMD3CH/8Rg==" saltValue="UlNV27LBsUBYPyZqbeVCSQ==" spinCount="100000" sheet="1" objects="1" scenarios="1"/>
  <dataConsolidate/>
  <conditionalFormatting sqref="N1">
    <cfRule type="cellIs" dxfId="20" priority="3176" operator="equal">
      <formula>#N/A</formula>
    </cfRule>
  </conditionalFormatting>
  <conditionalFormatting sqref="J1">
    <cfRule type="cellIs" dxfId="19" priority="3175" operator="equal">
      <formula>#N/A</formula>
    </cfRule>
  </conditionalFormatting>
  <conditionalFormatting sqref="F1:F2">
    <cfRule type="containsText" dxfId="18" priority="3167" operator="containsText" text="Others">
      <formula>NOT(ISERROR(SEARCH("Others",F1)))</formula>
    </cfRule>
    <cfRule type="containsText" dxfId="17" priority="3168" operator="containsText" text="#N/A">
      <formula>NOT(ISERROR(SEARCH("#N/A",F1)))</formula>
    </cfRule>
  </conditionalFormatting>
  <conditionalFormatting sqref="Q1:Q2">
    <cfRule type="cellIs" dxfId="16" priority="3027" operator="equal">
      <formula>#N/A</formula>
    </cfRule>
  </conditionalFormatting>
  <conditionalFormatting sqref="S2:V2">
    <cfRule type="cellIs" dxfId="15" priority="3023" operator="equal">
      <formula>#N/A</formula>
    </cfRule>
  </conditionalFormatting>
  <conditionalFormatting sqref="R1:R2">
    <cfRule type="duplicateValues" dxfId="14" priority="2979"/>
  </conditionalFormatting>
  <conditionalFormatting sqref="D3">
    <cfRule type="cellIs" dxfId="13" priority="2833" operator="greaterThan">
      <formula>0</formula>
    </cfRule>
  </conditionalFormatting>
  <conditionalFormatting sqref="F3">
    <cfRule type="containsText" dxfId="12" priority="2831" operator="containsText" text="Others">
      <formula>NOT(ISERROR(SEARCH("Others",F3)))</formula>
    </cfRule>
    <cfRule type="containsText" dxfId="11" priority="2832" operator="containsText" text="#N/A">
      <formula>NOT(ISERROR(SEARCH("#N/A",F3)))</formula>
    </cfRule>
  </conditionalFormatting>
  <conditionalFormatting sqref="Q3">
    <cfRule type="duplicateValues" dxfId="10" priority="2722"/>
  </conditionalFormatting>
  <conditionalFormatting sqref="Q3">
    <cfRule type="duplicateValues" dxfId="9" priority="2721"/>
  </conditionalFormatting>
  <conditionalFormatting sqref="G3">
    <cfRule type="duplicateValues" dxfId="8" priority="2513"/>
  </conditionalFormatting>
  <conditionalFormatting sqref="I3">
    <cfRule type="duplicateValues" dxfId="7" priority="3179"/>
  </conditionalFormatting>
  <conditionalFormatting sqref="R1:R2">
    <cfRule type="duplicateValues" dxfId="6" priority="3181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912</v>
      </c>
    </row>
    <row r="4" spans="1:15" x14ac:dyDescent="0.25">
      <c r="O4" s="186"/>
    </row>
    <row r="6" spans="1:15" x14ac:dyDescent="0.25">
      <c r="A6" s="313" t="s">
        <v>806</v>
      </c>
      <c r="B6" s="314"/>
      <c r="E6" s="317"/>
    </row>
    <row r="7" spans="1:15" x14ac:dyDescent="0.25">
      <c r="A7" s="313" t="s">
        <v>72</v>
      </c>
      <c r="B7" s="314"/>
    </row>
    <row r="8" spans="1:15" x14ac:dyDescent="0.25">
      <c r="A8" s="313" t="s">
        <v>807</v>
      </c>
      <c r="B8" s="314"/>
    </row>
    <row r="9" spans="1:15" x14ac:dyDescent="0.25">
      <c r="A9" s="313" t="s">
        <v>808</v>
      </c>
      <c r="B9" s="314"/>
    </row>
    <row r="10" spans="1:15" x14ac:dyDescent="0.25">
      <c r="A10" s="313" t="s">
        <v>810</v>
      </c>
      <c r="B10" s="314"/>
    </row>
    <row r="11" spans="1:15" x14ac:dyDescent="0.25">
      <c r="A11" s="313" t="s">
        <v>811</v>
      </c>
      <c r="B11" s="315"/>
    </row>
    <row r="12" spans="1:15" x14ac:dyDescent="0.25">
      <c r="A12" s="313" t="s">
        <v>809</v>
      </c>
      <c r="B12" s="315"/>
    </row>
    <row r="13" spans="1:15" x14ac:dyDescent="0.25">
      <c r="A13" s="313" t="s">
        <v>832</v>
      </c>
      <c r="B13" s="31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MSH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2024-12-24T10:51:57Z</dcterms:modified>
</cp:coreProperties>
</file>