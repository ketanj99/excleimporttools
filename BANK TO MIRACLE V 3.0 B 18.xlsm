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"/>
    </mc:Choice>
  </mc:AlternateContent>
  <xr:revisionPtr revIDLastSave="0" documentId="13_ncr:1_{2C84D7FF-1525-4113-8A4C-B6BA4068F549}" xr6:coauthVersionLast="47" xr6:coauthVersionMax="47" xr10:uidLastSave="{00000000-0000-0000-0000-000000000000}"/>
  <bookViews>
    <workbookView xWindow="-28920" yWindow="-120" windowWidth="29040" windowHeight="15840" firstSheet="22" activeTab="57" xr2:uid="{00000000-000D-0000-FFFF-FFFF00000000}"/>
  </bookViews>
  <sheets>
    <sheet name="ICICI(C) (P)" sheetId="40" state="hidden" r:id="rId1"/>
    <sheet name="ICICI(S) (P)" sheetId="56" state="hidden" r:id="rId2"/>
    <sheet name="ICICI(C)2 (P)" sheetId="60" state="hidden" r:id="rId3"/>
    <sheet name="HDFC (P)" sheetId="42" state="hidden" r:id="rId4"/>
    <sheet name="Axis(S) (P)" sheetId="41" state="hidden" r:id="rId5"/>
    <sheet name="Axis(C) (P)" sheetId="57" state="hidden" r:id="rId6"/>
    <sheet name="IDBI (P)" sheetId="43" state="hidden" r:id="rId7"/>
    <sheet name="IDBI(S) (P)" sheetId="50" state="hidden" r:id="rId8"/>
    <sheet name="IDFC (P)" sheetId="44" state="hidden" r:id="rId9"/>
    <sheet name="CityUni (P)" sheetId="63" state="hidden" r:id="rId10"/>
    <sheet name="indusind (P)" sheetId="45" state="hidden" r:id="rId11"/>
    <sheet name="Kalupur (P)" sheetId="48" state="hidden" r:id="rId12"/>
    <sheet name="AU (P)" sheetId="49" state="hidden" r:id="rId13"/>
    <sheet name="SBI (P)" sheetId="47" state="hidden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state="hidden" r:id="rId20"/>
    <sheet name="Varachha (P)" sheetId="53" state="hidden" r:id="rId21"/>
    <sheet name="SDCB (P)" sheetId="66" state="hidden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state="hidden" r:id="rId28"/>
    <sheet name="Axis(S) (2)" sheetId="62" state="hidden" r:id="rId29"/>
    <sheet name="Axis(C)" sheetId="19" r:id="rId30"/>
    <sheet name="Yes" sheetId="9" state="hidden" r:id="rId31"/>
    <sheet name="indusind" sheetId="14" state="hidden" r:id="rId32"/>
    <sheet name="IDBI" sheetId="5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SIB" sheetId="67" r:id="rId57"/>
    <sheet name="Help" sheetId="30" r:id="rId58"/>
    <sheet name="Master" sheetId="8" r:id="rId59"/>
    <sheet name="Registration" sheetId="65" state="veryHidden" r:id="rId60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67" l="1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F2" i="67" l="1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G2" i="38" s="1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F2" i="37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F2" i="29"/>
  <c r="E2" i="29"/>
  <c r="DK3" i="36"/>
  <c r="DJ3" i="36"/>
  <c r="DH3" i="36"/>
  <c r="DG3" i="36"/>
  <c r="DF3" i="36"/>
  <c r="DE3" i="36"/>
  <c r="DI3" i="36" s="1"/>
  <c r="DD3" i="36"/>
  <c r="DB3" i="36"/>
  <c r="DC3" i="36" s="1"/>
  <c r="DA2" i="36"/>
  <c r="DA3" i="36" s="1"/>
  <c r="DA4" i="36" s="1"/>
  <c r="G2" i="36"/>
  <c r="E2" i="36"/>
  <c r="DK3" i="26"/>
  <c r="DJ3" i="26"/>
  <c r="DH3" i="26"/>
  <c r="DG3" i="26"/>
  <c r="DF3" i="26"/>
  <c r="DE3" i="26"/>
  <c r="DI3" i="26" s="1"/>
  <c r="DD3" i="26"/>
  <c r="G2" i="26" s="1"/>
  <c r="DB3" i="26"/>
  <c r="DC3" i="26" s="1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DC3" i="33"/>
  <c r="DB3" i="33"/>
  <c r="DA3" i="33"/>
  <c r="DA4" i="33" s="1"/>
  <c r="G2" i="33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F2" i="15"/>
  <c r="E2" i="15"/>
  <c r="DK3" i="34"/>
  <c r="DC3" i="34" s="1"/>
  <c r="DJ3" i="34"/>
  <c r="DH3" i="34"/>
  <c r="DF3" i="34"/>
  <c r="DE3" i="34"/>
  <c r="DI3" i="34" s="1"/>
  <c r="DD3" i="34"/>
  <c r="G2" i="34" s="1"/>
  <c r="DB3" i="34"/>
  <c r="DA3" i="34"/>
  <c r="DA4" i="34" s="1"/>
  <c r="F2" i="34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F2" i="20"/>
  <c r="E2" i="20"/>
  <c r="DK3" i="61"/>
  <c r="DJ3" i="61"/>
  <c r="DF3" i="61"/>
  <c r="DE3" i="61"/>
  <c r="DI3" i="61" s="1"/>
  <c r="DD3" i="61"/>
  <c r="DB3" i="61"/>
  <c r="DH3" i="61" s="1"/>
  <c r="DA3" i="61"/>
  <c r="DA4" i="61" s="1"/>
  <c r="G2" i="61"/>
  <c r="E2" i="61"/>
  <c r="DK3" i="25"/>
  <c r="DJ3" i="25"/>
  <c r="DH3" i="25"/>
  <c r="DG3" i="25"/>
  <c r="DF3" i="25"/>
  <c r="DE3" i="25"/>
  <c r="DI3" i="25" s="1"/>
  <c r="DD3" i="25"/>
  <c r="G2" i="25" s="1"/>
  <c r="H2" i="25" s="1"/>
  <c r="DB3" i="25"/>
  <c r="DA3" i="25"/>
  <c r="DA4" i="25" s="1"/>
  <c r="F2" i="25"/>
  <c r="E2" i="25"/>
  <c r="DK3" i="13"/>
  <c r="DJ3" i="13"/>
  <c r="DH3" i="13"/>
  <c r="DG3" i="13"/>
  <c r="DF3" i="13"/>
  <c r="DE3" i="13"/>
  <c r="DI3" i="13" s="1"/>
  <c r="DD3" i="13"/>
  <c r="G2" i="13" s="1"/>
  <c r="DB3" i="13"/>
  <c r="DC3" i="13" s="1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F2" i="31"/>
  <c r="E2" i="31"/>
  <c r="DK3" i="32"/>
  <c r="DJ3" i="32"/>
  <c r="DH3" i="32"/>
  <c r="DF3" i="32"/>
  <c r="DE3" i="32"/>
  <c r="DI3" i="32" s="1"/>
  <c r="DD3" i="32"/>
  <c r="G2" i="32" s="1"/>
  <c r="DB3" i="32"/>
  <c r="DC3" i="32" s="1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H2" i="16" s="1"/>
  <c r="DB3" i="16"/>
  <c r="DA3" i="16"/>
  <c r="DA4" i="16" s="1"/>
  <c r="F2" i="16"/>
  <c r="E2" i="16"/>
  <c r="I2" i="16" s="1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F2" i="1"/>
  <c r="H2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F2" i="54"/>
  <c r="E2" i="54"/>
  <c r="DK3" i="22"/>
  <c r="DJ3" i="22"/>
  <c r="DH3" i="22"/>
  <c r="DG3" i="22"/>
  <c r="DF3" i="22"/>
  <c r="DE3" i="22"/>
  <c r="DI3" i="22" s="1"/>
  <c r="DD3" i="22"/>
  <c r="DB3" i="22"/>
  <c r="DC3" i="22" s="1"/>
  <c r="DA3" i="22"/>
  <c r="DA4" i="22" s="1"/>
  <c r="G2" i="22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F2" i="24"/>
  <c r="E2" i="24"/>
  <c r="DK3" i="10"/>
  <c r="DJ3" i="10"/>
  <c r="DH3" i="10"/>
  <c r="DG3" i="10"/>
  <c r="DF3" i="10"/>
  <c r="DE3" i="10"/>
  <c r="DI3" i="10" s="1"/>
  <c r="DD3" i="10"/>
  <c r="G2" i="10" s="1"/>
  <c r="DB3" i="10"/>
  <c r="DC3" i="10" s="1"/>
  <c r="DA3" i="10"/>
  <c r="DA4" i="10" s="1"/>
  <c r="E2" i="10"/>
  <c r="DK3" i="11"/>
  <c r="DJ3" i="11"/>
  <c r="DG3" i="11"/>
  <c r="DF3" i="11"/>
  <c r="DE3" i="11"/>
  <c r="DI3" i="11" s="1"/>
  <c r="DD3" i="11"/>
  <c r="G2" i="11" s="1"/>
  <c r="H2" i="11" s="1"/>
  <c r="DB3" i="11"/>
  <c r="DA2" i="11"/>
  <c r="DA3" i="11" s="1"/>
  <c r="DA4" i="11" s="1"/>
  <c r="F2" i="1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F2" i="5"/>
  <c r="E2" i="5"/>
  <c r="DK3" i="14"/>
  <c r="DJ3" i="14"/>
  <c r="DH3" i="14"/>
  <c r="DG3" i="14"/>
  <c r="DF3" i="14"/>
  <c r="DE3" i="14"/>
  <c r="F2" i="14" s="1"/>
  <c r="DD3" i="14"/>
  <c r="DC3" i="14"/>
  <c r="DB3" i="14"/>
  <c r="DA2" i="14"/>
  <c r="DA3" i="14" s="1"/>
  <c r="DA4" i="14" s="1"/>
  <c r="G2" i="14"/>
  <c r="E2" i="14"/>
  <c r="DK3" i="9"/>
  <c r="DJ3" i="9"/>
  <c r="DH3" i="9"/>
  <c r="DG3" i="9"/>
  <c r="DF3" i="9"/>
  <c r="DE3" i="9"/>
  <c r="DI3" i="9" s="1"/>
  <c r="DD3" i="9"/>
  <c r="G2" i="9" s="1"/>
  <c r="DB3" i="9"/>
  <c r="DC3" i="9" s="1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E3" i="62"/>
  <c r="DI3" i="62" s="1"/>
  <c r="DD3" i="62"/>
  <c r="G2" i="62" s="1"/>
  <c r="DB3" i="62"/>
  <c r="DA3" i="62"/>
  <c r="DA4" i="62" s="1"/>
  <c r="F2" i="62"/>
  <c r="E2" i="62"/>
  <c r="DK3" i="4"/>
  <c r="DJ3" i="4"/>
  <c r="DH3" i="4"/>
  <c r="DG3" i="4"/>
  <c r="DF3" i="4"/>
  <c r="DE3" i="4"/>
  <c r="F2" i="4" s="1"/>
  <c r="H2" i="4" s="1"/>
  <c r="DD3" i="4"/>
  <c r="G2" i="4" s="1"/>
  <c r="DB3" i="4"/>
  <c r="DA3" i="4"/>
  <c r="DA4" i="4" s="1"/>
  <c r="E2" i="4"/>
  <c r="DL4" i="23"/>
  <c r="DK3" i="23"/>
  <c r="DJ3" i="23"/>
  <c r="DI3" i="23"/>
  <c r="DF3" i="23"/>
  <c r="DE3" i="23"/>
  <c r="DD3" i="23"/>
  <c r="G2" i="23" s="1"/>
  <c r="DB3" i="23"/>
  <c r="DA2" i="23"/>
  <c r="DA3" i="23" s="1"/>
  <c r="DA4" i="23" s="1"/>
  <c r="F2" i="23"/>
  <c r="E2" i="23"/>
  <c r="DK3" i="6"/>
  <c r="DJ3" i="6"/>
  <c r="DH3" i="6"/>
  <c r="DF3" i="6"/>
  <c r="DE3" i="6"/>
  <c r="DI3" i="6" s="1"/>
  <c r="DD3" i="6"/>
  <c r="DB3" i="6"/>
  <c r="DC3" i="6" s="1"/>
  <c r="DA3" i="6"/>
  <c r="DA4" i="6" s="1"/>
  <c r="G2" i="6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F2" i="3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F2" i="27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F2" i="2"/>
  <c r="E2" i="2"/>
  <c r="DK3" i="58"/>
  <c r="DJ3" i="58"/>
  <c r="DH3" i="58"/>
  <c r="DF3" i="58"/>
  <c r="DE3" i="58"/>
  <c r="F2" i="58" s="1"/>
  <c r="DD3" i="58"/>
  <c r="DB3" i="58"/>
  <c r="DA3" i="58"/>
  <c r="DA4" i="58" s="1"/>
  <c r="G2" i="58"/>
  <c r="E2" i="58"/>
  <c r="DK3" i="59"/>
  <c r="DJ3" i="59"/>
  <c r="DH3" i="59"/>
  <c r="DF3" i="59"/>
  <c r="DE3" i="59"/>
  <c r="DI3" i="59" s="1"/>
  <c r="DD3" i="59"/>
  <c r="DB3" i="59"/>
  <c r="DA3" i="59"/>
  <c r="DA4" i="59" s="1"/>
  <c r="G2" i="59"/>
  <c r="E2" i="59"/>
  <c r="DK3" i="55"/>
  <c r="DJ3" i="55"/>
  <c r="DH3" i="55"/>
  <c r="DG3" i="55"/>
  <c r="DF3" i="55"/>
  <c r="DE3" i="55"/>
  <c r="DI3" i="55" s="1"/>
  <c r="DD3" i="55"/>
  <c r="G2" i="55" s="1"/>
  <c r="DB3" i="55"/>
  <c r="DA3" i="55"/>
  <c r="DA4" i="55" s="1"/>
  <c r="F2" i="55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F2" i="46"/>
  <c r="E2" i="46"/>
  <c r="DK3" i="53"/>
  <c r="DJ3" i="53"/>
  <c r="DH3" i="53"/>
  <c r="DG3" i="53"/>
  <c r="DF3" i="53"/>
  <c r="DE3" i="53"/>
  <c r="DI3" i="53" s="1"/>
  <c r="DD3" i="53"/>
  <c r="DB3" i="53"/>
  <c r="DC3" i="53" s="1"/>
  <c r="DA3" i="53"/>
  <c r="DA4" i="53" s="1"/>
  <c r="G2" i="53"/>
  <c r="F2" i="53"/>
  <c r="H2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DB3" i="28"/>
  <c r="DH3" i="28" s="1"/>
  <c r="DA3" i="28"/>
  <c r="DA4" i="28" s="1"/>
  <c r="G2" i="28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F2" i="47"/>
  <c r="E2" i="47"/>
  <c r="DK3" i="49"/>
  <c r="DJ3" i="49"/>
  <c r="DI3" i="49"/>
  <c r="DH3" i="49"/>
  <c r="DF3" i="49"/>
  <c r="DE3" i="49"/>
  <c r="DD3" i="49"/>
  <c r="G2" i="49" s="1"/>
  <c r="DB3" i="49"/>
  <c r="DC3" i="49" s="1"/>
  <c r="DA2" i="49"/>
  <c r="DA3" i="49" s="1"/>
  <c r="DA4" i="49" s="1"/>
  <c r="F2" i="49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F2" i="48"/>
  <c r="E2" i="48"/>
  <c r="DK3" i="45"/>
  <c r="DJ3" i="45"/>
  <c r="DH3" i="45"/>
  <c r="DF3" i="45"/>
  <c r="DE3" i="45"/>
  <c r="DD3" i="45"/>
  <c r="DB3" i="45"/>
  <c r="DA3" i="45"/>
  <c r="DA4" i="45" s="1"/>
  <c r="DA2" i="45"/>
  <c r="G2" i="45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F2" i="63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F2" i="44"/>
  <c r="H2" i="44" s="1"/>
  <c r="E2" i="44"/>
  <c r="DK3" i="50"/>
  <c r="DJ3" i="50"/>
  <c r="DH3" i="50"/>
  <c r="DF3" i="50"/>
  <c r="DE3" i="50"/>
  <c r="DI3" i="50" s="1"/>
  <c r="DD3" i="50"/>
  <c r="DB3" i="50"/>
  <c r="DC3" i="50" s="1"/>
  <c r="DA3" i="50"/>
  <c r="DA4" i="50" s="1"/>
  <c r="DA2" i="50"/>
  <c r="G2" i="50"/>
  <c r="F2" i="50"/>
  <c r="H2" i="50" s="1"/>
  <c r="I2" i="50" s="1"/>
  <c r="E2" i="50"/>
  <c r="DK3" i="43"/>
  <c r="DJ3" i="43"/>
  <c r="DG3" i="43" s="1"/>
  <c r="DI3" i="43"/>
  <c r="DF3" i="43"/>
  <c r="DE3" i="43"/>
  <c r="F2" i="43" s="1"/>
  <c r="DD3" i="43"/>
  <c r="G2" i="43" s="1"/>
  <c r="DB3" i="43"/>
  <c r="DH3" i="43" s="1"/>
  <c r="DA3" i="43"/>
  <c r="DA4" i="43" s="1"/>
  <c r="E2" i="43"/>
  <c r="DA4" i="57"/>
  <c r="DK3" i="57"/>
  <c r="DJ3" i="57"/>
  <c r="DF3" i="57"/>
  <c r="DE3" i="57"/>
  <c r="DI3" i="57" s="1"/>
  <c r="DD3" i="57"/>
  <c r="G2" i="57" s="1"/>
  <c r="DB3" i="57"/>
  <c r="DH3" i="57" s="1"/>
  <c r="DA3" i="57"/>
  <c r="F2" i="57"/>
  <c r="E2" i="57"/>
  <c r="DK3" i="41"/>
  <c r="DJ3" i="41"/>
  <c r="DH3" i="41"/>
  <c r="DG3" i="41"/>
  <c r="DF3" i="41"/>
  <c r="DE3" i="41"/>
  <c r="DI3" i="41" s="1"/>
  <c r="DD3" i="41"/>
  <c r="G2" i="41" s="1"/>
  <c r="DB3" i="41"/>
  <c r="DC3" i="41" s="1"/>
  <c r="DA3" i="41"/>
  <c r="DA4" i="41" s="1"/>
  <c r="E2" i="41"/>
  <c r="DK3" i="42"/>
  <c r="DJ3" i="42"/>
  <c r="DH3" i="42"/>
  <c r="DG3" i="42"/>
  <c r="DF3" i="42"/>
  <c r="DE3" i="42"/>
  <c r="DI3" i="42" s="1"/>
  <c r="DD3" i="42"/>
  <c r="DB3" i="42"/>
  <c r="DA2" i="42"/>
  <c r="DA3" i="42" s="1"/>
  <c r="DA4" i="42" s="1"/>
  <c r="G2" i="42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DB3" i="56"/>
  <c r="DA3" i="56"/>
  <c r="DA4" i="56" s="1"/>
  <c r="G2" i="56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63"/>
  <c r="DG3" i="57"/>
  <c r="DG3" i="28"/>
  <c r="DG3" i="58"/>
  <c r="DG3" i="23"/>
  <c r="DG3" i="31"/>
  <c r="DG3" i="45"/>
  <c r="DG3" i="56"/>
  <c r="DG3" i="32"/>
  <c r="DG3" i="59"/>
  <c r="DG3" i="44"/>
  <c r="DG3" i="51"/>
  <c r="DG3" i="61"/>
  <c r="DG3" i="34"/>
  <c r="DH3" i="40"/>
  <c r="DG3" i="38"/>
  <c r="DG3" i="6"/>
  <c r="DG3" i="29"/>
  <c r="DG3" i="49"/>
  <c r="DG3" i="50"/>
  <c r="H2" i="67" l="1"/>
  <c r="I2" i="67" s="1"/>
  <c r="H2" i="24"/>
  <c r="I2" i="24" s="1"/>
  <c r="DC3" i="5"/>
  <c r="DC3" i="16"/>
  <c r="DC3" i="25"/>
  <c r="H2" i="43"/>
  <c r="DC3" i="44"/>
  <c r="F2" i="28"/>
  <c r="H2" i="28" s="1"/>
  <c r="DC3" i="55"/>
  <c r="DC3" i="59"/>
  <c r="H2" i="23"/>
  <c r="DC3" i="4"/>
  <c r="F2" i="19"/>
  <c r="DC3" i="54"/>
  <c r="DC3" i="1"/>
  <c r="DC3" i="29"/>
  <c r="DC3" i="42"/>
  <c r="DC3" i="45"/>
  <c r="H2" i="49"/>
  <c r="H2" i="27"/>
  <c r="DC3" i="62"/>
  <c r="H2" i="47"/>
  <c r="F2" i="59"/>
  <c r="DC3" i="7"/>
  <c r="F2" i="61"/>
  <c r="H2" i="61" s="1"/>
  <c r="DC3" i="20"/>
  <c r="F2" i="8"/>
  <c r="I2" i="47"/>
  <c r="H2" i="55"/>
  <c r="I2" i="55" s="1"/>
  <c r="DC3" i="28"/>
  <c r="F2" i="40"/>
  <c r="H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H2" i="2"/>
  <c r="I2" i="2" s="1"/>
  <c r="DC3" i="27"/>
  <c r="F2" i="6"/>
  <c r="H2" i="6" s="1"/>
  <c r="H2" i="62"/>
  <c r="I2" i="62" s="1"/>
  <c r="F2" i="22"/>
  <c r="H2" i="22" s="1"/>
  <c r="H2" i="31"/>
  <c r="I2" i="31" s="1"/>
  <c r="DC3" i="15"/>
  <c r="G2" i="19"/>
  <c r="H2" i="19" s="1"/>
  <c r="I2" i="19" s="1"/>
  <c r="H2" i="15"/>
  <c r="I2" i="15" s="1"/>
  <c r="F2" i="33"/>
  <c r="H2" i="33" s="1"/>
  <c r="I2" i="33" s="1"/>
  <c r="DC3" i="38"/>
  <c r="H2" i="64"/>
  <c r="H2" i="5"/>
  <c r="I2" i="5" s="1"/>
  <c r="DC3" i="24"/>
  <c r="H2" i="34"/>
  <c r="I2" i="34" s="1"/>
  <c r="DC3" i="37"/>
  <c r="F2" i="38"/>
  <c r="H2" i="38" s="1"/>
  <c r="I2" i="38" s="1"/>
  <c r="H2" i="57"/>
  <c r="I2" i="23"/>
  <c r="H2" i="59"/>
  <c r="I2" i="59" s="1"/>
  <c r="I2" i="40"/>
  <c r="DC3" i="40"/>
  <c r="DC3" i="56"/>
  <c r="DC3" i="60"/>
  <c r="F2" i="42"/>
  <c r="H2" i="63"/>
  <c r="H2" i="48"/>
  <c r="F2" i="51"/>
  <c r="H2" i="51" s="1"/>
  <c r="I2" i="51" s="1"/>
  <c r="DC3" i="58"/>
  <c r="DC3" i="2"/>
  <c r="DC3" i="3"/>
  <c r="I2" i="6"/>
  <c r="H2" i="14"/>
  <c r="I2" i="14" s="1"/>
  <c r="I2" i="22"/>
  <c r="F2" i="32"/>
  <c r="H2" i="32" s="1"/>
  <c r="I2" i="32" s="1"/>
  <c r="DC3" i="31"/>
  <c r="DC3" i="61"/>
  <c r="H2" i="20"/>
  <c r="I2" i="20" s="1"/>
  <c r="H2" i="37"/>
  <c r="DC3" i="64"/>
  <c r="H2" i="66"/>
  <c r="I2" i="66" s="1"/>
  <c r="DI3" i="66"/>
  <c r="DH3" i="60"/>
  <c r="I2" i="44"/>
  <c r="I2" i="49"/>
  <c r="I2" i="27"/>
  <c r="DI3" i="4"/>
  <c r="I2" i="25"/>
  <c r="H2" i="42"/>
  <c r="I2" i="42" s="1"/>
  <c r="I2" i="57"/>
  <c r="DC3" i="43"/>
  <c r="I2" i="63"/>
  <c r="DC3" i="63"/>
  <c r="DI3" i="45"/>
  <c r="F2" i="45"/>
  <c r="H2" i="45" s="1"/>
  <c r="I2" i="45" s="1"/>
  <c r="DC3" i="47"/>
  <c r="I2" i="28"/>
  <c r="I2" i="53"/>
  <c r="H2" i="46"/>
  <c r="I2" i="46" s="1"/>
  <c r="DC3" i="46"/>
  <c r="DH3" i="46"/>
  <c r="H2" i="3"/>
  <c r="I2" i="3" s="1"/>
  <c r="DC3" i="19"/>
  <c r="DI3" i="14"/>
  <c r="I2" i="11"/>
  <c r="DH3" i="11"/>
  <c r="DC3" i="11"/>
  <c r="F2" i="10"/>
  <c r="H2" i="10" s="1"/>
  <c r="I2" i="10" s="1"/>
  <c r="H2" i="54"/>
  <c r="I2" i="54" s="1"/>
  <c r="I2" i="1"/>
  <c r="I2" i="61"/>
  <c r="I2" i="37"/>
  <c r="DH3" i="23"/>
  <c r="DC3" i="23"/>
  <c r="I2" i="4"/>
  <c r="I2" i="64"/>
  <c r="DC3" i="57"/>
  <c r="I2" i="43"/>
  <c r="I2" i="48"/>
  <c r="DC3" i="48"/>
  <c r="H2" i="29"/>
  <c r="I2" i="29" s="1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</calcChain>
</file>

<file path=xl/sharedStrings.xml><?xml version="1.0" encoding="utf-8"?>
<sst xmlns="http://schemas.openxmlformats.org/spreadsheetml/2006/main" count="2364" uniqueCount="427">
  <si>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</si>
  <si>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</si>
  <si>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</si>
  <si>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</si>
  <si>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</si>
  <si>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</si>
  <si>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</si>
  <si>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</si>
  <si>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</si>
  <si>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</si>
  <si>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</si>
  <si>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</si>
  <si>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</si>
  <si>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</si>
  <si>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</si>
  <si>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</si>
  <si>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</si>
  <si>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</si>
  <si>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</si>
  <si>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</si>
  <si>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</si>
  <si>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</si>
  <si>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</si>
  <si>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</si>
  <si>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</si>
  <si>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</si>
  <si>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</si>
  <si>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</si>
  <si>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</si>
  <si>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</si>
  <si>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</si>
  <si>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</si>
  <si>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</si>
  <si>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</si>
  <si>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</si>
  <si>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</si>
  <si>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</si>
  <si>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</si>
  <si>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</si>
  <si>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</si>
  <si>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</si>
  <si>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</si>
  <si>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</si>
  <si>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</si>
  <si>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</si>
  <si>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</si>
  <si>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</si>
  <si>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</si>
  <si>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</si>
  <si>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</si>
  <si>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</si>
  <si>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</si>
  <si>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</si>
  <si>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</si>
  <si>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</si>
  <si>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</si>
  <si>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</si>
  <si>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</si>
  <si>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</si>
  <si>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</si>
  <si>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</si>
  <si>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</si>
  <si>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</si>
  <si>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</si>
  <si>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</si>
  <si>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</si>
  <si>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</si>
  <si>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</si>
  <si>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</si>
  <si>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</si>
  <si>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</si>
  <si>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</si>
  <si>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</si>
  <si>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</si>
  <si>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</si>
  <si>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</si>
  <si>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</si>
  <si>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</si>
  <si>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</si>
  <si>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</si>
  <si>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</si>
  <si>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</si>
  <si>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</si>
  <si>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</si>
  <si>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</si>
  <si>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</si>
  <si>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</si>
  <si>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</si>
  <si>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</si>
  <si>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</si>
  <si>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</si>
  <si>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</si>
  <si>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</si>
  <si>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</si>
  <si>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</si>
  <si>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</si>
  <si>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</si>
  <si>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</si>
  <si>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</si>
  <si>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</si>
  <si>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</si>
  <si>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</si>
  <si>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</si>
  <si>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</si>
  <si>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</si>
  <si>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</si>
  <si>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</si>
  <si>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</si>
  <si>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</si>
  <si>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</si>
  <si>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</si>
  <si>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</si>
  <si>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</si>
  <si>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</si>
  <si>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</si>
  <si>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</si>
  <si>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</si>
  <si>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</si>
  <si>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</si>
  <si>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</si>
  <si>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</si>
  <si>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</si>
  <si>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</si>
  <si>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</si>
  <si>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</si>
  <si>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</si>
  <si>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</si>
  <si>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</si>
  <si>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</si>
  <si>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</si>
  <si>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</si>
  <si>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</si>
  <si>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</si>
  <si>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</si>
  <si>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</si>
  <si>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</si>
  <si>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</si>
  <si>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</si>
  <si>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</si>
  <si>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</si>
  <si>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</si>
  <si>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</si>
  <si>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</si>
  <si>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</si>
  <si>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</si>
  <si>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</si>
  <si>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</si>
  <si>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</si>
  <si>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</si>
  <si>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</si>
  <si>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</si>
  <si>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</si>
  <si>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</si>
  <si>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</si>
  <si>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</si>
  <si>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</si>
  <si>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</si>
  <si>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</si>
  <si>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</si>
  <si>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</si>
  <si>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</si>
  <si>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</si>
  <si>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</si>
  <si>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</si>
  <si>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</si>
  <si>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</si>
  <si>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</si>
  <si>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</si>
  <si>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</si>
  <si>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</si>
  <si>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</si>
  <si>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</si>
  <si>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</si>
  <si>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</si>
  <si>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</si>
  <si>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</si>
  <si>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</si>
  <si>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</si>
  <si>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</si>
  <si>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</si>
  <si>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</si>
  <si>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</si>
  <si>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</si>
  <si>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</si>
  <si>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</si>
  <si>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</si>
  <si>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</si>
  <si>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</si>
  <si>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</si>
  <si>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</si>
  <si>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</si>
  <si>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</si>
  <si>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</si>
  <si>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</si>
  <si>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</si>
  <si>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</si>
  <si>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</si>
  <si>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</si>
  <si>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</si>
  <si>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</si>
  <si>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</si>
  <si>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</si>
  <si>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</si>
  <si>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</si>
  <si>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</si>
  <si>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</si>
  <si>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</si>
  <si>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</si>
  <si>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</si>
  <si>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</si>
  <si>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Statement\ICICI Cur.xlsx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</si>
  <si>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</si>
  <si>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</si>
  <si>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</si>
  <si>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</si>
  <si>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</si>
  <si>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</si>
  <si>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</si>
  <si>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</si>
  <si>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</si>
  <si>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</si>
  <si>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</si>
  <si>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</si>
  <si>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</si>
  <si>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</si>
  <si>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</si>
  <si>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</si>
  <si>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</si>
  <si>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</si>
  <si>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</si>
  <si>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</si>
  <si>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</si>
  <si>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</si>
  <si>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</si>
  <si>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</si>
  <si>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</si>
  <si>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</si>
  <si>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</si>
  <si>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</si>
  <si>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</si>
  <si>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</si>
  <si>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</si>
  <si>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</si>
  <si>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</si>
  <si>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</si>
  <si>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</si>
  <si>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</si>
  <si>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</si>
  <si>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</si>
  <si>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</si>
  <si>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</si>
  <si>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</si>
  <si>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</si>
  <si>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</si>
  <si>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</si>
  <si>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</si>
  <si>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</si>
  <si>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</si>
  <si>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</si>
  <si>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</si>
  <si>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</si>
  <si>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</si>
  <si>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</si>
  <si>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</si>
  <si>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</si>
  <si>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</si>
  <si>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</si>
  <si>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</si>
  <si>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</si>
  <si>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</si>
  <si>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</si>
  <si>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</si>
  <si>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</si>
  <si>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</si>
  <si>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</si>
  <si>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</si>
  <si>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</si>
  <si>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</si>
  <si>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</si>
  <si>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</si>
  <si>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</si>
  <si>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</si>
  <si>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</si>
  <si>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</si>
  <si>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</si>
  <si>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</si>
  <si>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</si>
  <si>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</si>
  <si>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</si>
  <si>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</si>
  <si>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</si>
  <si>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</si>
  <si>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</si>
  <si>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</si>
  <si>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</si>
  <si>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</si>
  <si>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</si>
  <si>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</si>
  <si>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</si>
  <si>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</si>
  <si>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</si>
  <si>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</si>
  <si>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</si>
  <si>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</si>
  <si>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</si>
  <si>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</si>
  <si>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</si>
  <si>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</si>
  <si>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</si>
  <si>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</si>
  <si>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</si>
  <si>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</si>
  <si>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</si>
  <si>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</si>
  <si>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</si>
  <si>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</si>
  <si>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</si>
  <si>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</si>
  <si>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</si>
  <si>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</si>
  <si>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</si>
  <si>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</si>
  <si>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</si>
  <si>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</si>
  <si>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</si>
  <si>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</si>
  <si>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</si>
  <si>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</si>
  <si>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</si>
  <si>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</si>
  <si>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</si>
  <si>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</si>
  <si>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</si>
  <si>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</si>
  <si>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</si>
  <si>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</si>
  <si>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</si>
  <si>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</si>
  <si>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</si>
  <si>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</si>
  <si>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</si>
  <si>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</si>
  <si>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</si>
  <si>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</si>
  <si>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</si>
  <si>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</si>
  <si>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</si>
  <si>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</si>
  <si>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</si>
  <si>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</si>
  <si>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</si>
  <si>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</si>
  <si>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</si>
  <si>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</si>
  <si>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</si>
  <si>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</si>
  <si>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</si>
  <si>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</si>
  <si>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</si>
  <si>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</si>
  <si>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</si>
  <si>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</si>
  <si>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</si>
  <si>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</si>
  <si>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</si>
  <si>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</si>
  <si>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</si>
  <si>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</si>
  <si>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</si>
  <si>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</si>
  <si>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</si>
  <si>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</si>
  <si>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</si>
  <si>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</si>
  <si>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</si>
  <si>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</si>
  <si>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</si>
  <si>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</si>
  <si>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</si>
  <si>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</si>
  <si>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</si>
  <si>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</si>
  <si>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</si>
  <si>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</si>
  <si>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</si>
  <si>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</si>
  <si>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</si>
  <si>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</si>
  <si>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</si>
  <si>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</si>
  <si>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</si>
  <si>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</si>
  <si>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</si>
  <si>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</si>
  <si>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</si>
  <si>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</si>
  <si>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</si>
  <si>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</si>
  <si>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</si>
  <si>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</si>
  <si>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</si>
  <si>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</si>
  <si>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</si>
  <si>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</si>
  <si>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</si>
  <si>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</si>
  <si>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</si>
  <si>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</si>
  <si>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</si>
  <si>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</si>
  <si>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</si>
  <si>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</si>
  <si>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</si>
  <si>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</si>
  <si>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</si>
  <si>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</si>
  <si>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B4:B5:2F:DF:4C:08</t>
  </si>
  <si>
    <t>ADITYA-TECH</t>
  </si>
  <si>
    <t>Com Name :</t>
  </si>
  <si>
    <t>C:\Users\ADITYA\Desktop\Ecomm\Bank Statement\IDBI BANK - ACURA.xls</t>
  </si>
  <si>
    <t>Group Name</t>
  </si>
  <si>
    <t>24AIFPJ6378M2ZR</t>
  </si>
  <si>
    <t>South Indian Bank</t>
  </si>
  <si>
    <t>A2</t>
  </si>
  <si>
    <t>SIB : 560</t>
  </si>
  <si>
    <t>SIB</t>
  </si>
  <si>
    <t>\\ADITYA-TECH\All Sharing\Ecom Setup\Devlop\ecomm statment\AccountStatement_XXXXXXXXXXXX1634_17332906901539985683.xlsx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</si>
</sst>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8"/>
      <color rgb="FF000000"/>
      <name val="Segoe UI"/>
      <family val="2"/>
    </font>
  </fonts>
  <fills count="5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FBFBF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E9E9E9"/>
      </left>
      <right style="thin">
        <color rgb="FFE9E9E9"/>
      </right>
      <top style="thin">
        <color rgb="FFE9E9E9"/>
      </top>
      <bottom style="thin">
        <color rgb="FFE9E9E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8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</cellStyleXfs>
  <cellXfs count="29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32" fillId="47" borderId="15" xfId="0" applyFont="1" applyFill="1" applyBorder="1" applyAlignment="1">
      <alignment horizontal="left" vertical="center" wrapText="1"/>
    </xf>
    <xf numFmtId="0" fontId="0" fillId="47" borderId="15" xfId="0" applyFill="1" applyBorder="1" applyAlignment="1">
      <alignment horizontal="right" vertical="center" wrapText="1"/>
    </xf>
    <xf numFmtId="0" fontId="32" fillId="47" borderId="15" xfId="0" applyFont="1" applyFill="1" applyBorder="1" applyAlignment="1">
      <alignment horizontal="right" vertical="center" wrapText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8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6" xfId="0" applyFill="1" applyBorder="1" applyProtection="1">
      <protection locked="0"/>
    </xf>
    <xf numFmtId="0" fontId="0" fillId="11" borderId="16" xfId="0" applyFill="1" applyBorder="1" applyAlignment="1" applyProtection="1">
      <alignment horizontal="center" vertical="center"/>
      <protection locked="0"/>
    </xf>
    <xf numFmtId="0" fontId="0" fillId="11" borderId="16" xfId="0" applyFill="1" applyBorder="1" applyAlignment="1" applyProtection="1">
      <alignment horizontal="center"/>
      <protection locked="0"/>
    </xf>
    <xf numFmtId="165" fontId="0" fillId="11" borderId="16" xfId="0" applyNumberFormat="1" applyFill="1" applyBorder="1" applyAlignment="1" applyProtection="1">
      <alignment horizontal="right"/>
      <protection locked="0"/>
    </xf>
    <xf numFmtId="0" fontId="0" fillId="11" borderId="16" xfId="0" applyFill="1" applyBorder="1" applyAlignment="1" applyProtection="1">
      <alignment horizontal="right"/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20" xfId="0" applyFont="1" applyFill="1" applyBorder="1" applyAlignment="1">
      <alignment horizontal="center" vertical="center"/>
    </xf>
    <xf numFmtId="0" fontId="1" fillId="49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9" borderId="21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9" borderId="25" xfId="0" applyFont="1" applyFill="1" applyBorder="1" applyAlignment="1">
      <alignment horizontal="center" vertical="center"/>
    </xf>
    <xf numFmtId="0" fontId="12" fillId="49" borderId="26" xfId="0" applyFont="1" applyFill="1" applyBorder="1" applyAlignment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  <protection hidden="1"/>
    </xf>
    <xf numFmtId="0" fontId="10" fillId="4" borderId="27" xfId="0" applyFont="1" applyFill="1" applyBorder="1" applyAlignment="1" applyProtection="1">
      <alignment horizontal="center" vertical="center"/>
      <protection hidden="1"/>
    </xf>
    <xf numFmtId="0" fontId="0" fillId="49" borderId="28" xfId="0" applyFill="1" applyBorder="1" applyProtection="1">
      <protection locked="0"/>
    </xf>
    <xf numFmtId="0" fontId="41" fillId="49" borderId="29" xfId="0" applyFont="1" applyFill="1" applyBorder="1" applyAlignment="1">
      <alignment vertical="center" wrapText="1"/>
    </xf>
    <xf numFmtId="0" fontId="41" fillId="49" borderId="0" xfId="0" applyFont="1" applyFill="1" applyAlignment="1">
      <alignment horizontal="left" vertical="center"/>
    </xf>
    <xf numFmtId="0" fontId="41" fillId="49" borderId="0" xfId="0" applyFont="1" applyFill="1" applyAlignment="1">
      <alignment vertical="center" wrapText="1"/>
    </xf>
    <xf numFmtId="0" fontId="0" fillId="49" borderId="30" xfId="0" applyFill="1" applyBorder="1" applyProtection="1">
      <protection locked="0"/>
    </xf>
    <xf numFmtId="0" fontId="12" fillId="49" borderId="29" xfId="0" applyFont="1" applyFill="1" applyBorder="1" applyAlignment="1">
      <alignment horizontal="center" vertical="center"/>
    </xf>
    <xf numFmtId="0" fontId="12" fillId="49" borderId="0" xfId="0" applyFont="1" applyFill="1" applyAlignment="1">
      <alignment horizontal="center" vertical="center"/>
    </xf>
    <xf numFmtId="0" fontId="42" fillId="13" borderId="23" xfId="0" applyFont="1" applyFill="1" applyBorder="1" applyAlignment="1">
      <alignment vertical="center" wrapText="1"/>
    </xf>
    <xf numFmtId="0" fontId="42" fillId="13" borderId="24" xfId="0" applyFont="1" applyFill="1" applyBorder="1" applyAlignment="1">
      <alignment vertical="center" wrapText="1"/>
    </xf>
    <xf numFmtId="0" fontId="42" fillId="13" borderId="22" xfId="0" applyFont="1" applyFill="1" applyBorder="1" applyAlignment="1">
      <alignment vertical="center" wrapText="1"/>
    </xf>
    <xf numFmtId="0" fontId="43" fillId="7" borderId="24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50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50" borderId="1" xfId="0" quotePrefix="1" applyFill="1" applyBorder="1" applyAlignment="1" applyProtection="1">
      <alignment horizontal="center" vertical="center"/>
      <protection hidden="1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7" fillId="7" borderId="24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2" xfId="0" applyFont="1" applyFill="1" applyBorder="1" applyAlignment="1">
      <alignment horizontal="left" vertical="top" wrapText="1"/>
    </xf>
    <xf numFmtId="0" fontId="46" fillId="7" borderId="23" xfId="0" applyFont="1" applyFill="1" applyBorder="1" applyAlignment="1">
      <alignment vertical="top" wrapText="1"/>
    </xf>
    <xf numFmtId="0" fontId="0" fillId="7" borderId="23" xfId="0" applyFill="1" applyBorder="1"/>
    <xf numFmtId="0" fontId="46" fillId="7" borderId="23" xfId="0" applyFont="1" applyFill="1" applyBorder="1" applyAlignment="1">
      <alignment horizontal="left" vertical="top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40" fillId="7" borderId="24" xfId="0" applyFont="1" applyFill="1" applyBorder="1" applyAlignment="1">
      <alignment horizontal="center" vertical="center" wrapText="1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34" fillId="7" borderId="24" xfId="0" applyFont="1" applyFill="1" applyBorder="1" applyProtection="1">
      <protection locked="0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28" fillId="7" borderId="24" xfId="0" applyFont="1" applyFill="1" applyBorder="1" applyAlignment="1">
      <alignment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8" fillId="7" borderId="23" xfId="0" applyFont="1" applyFill="1" applyBorder="1" applyAlignment="1">
      <alignment horizontal="left" vertical="center" wrapText="1"/>
    </xf>
    <xf numFmtId="0" fontId="8" fillId="7" borderId="24" xfId="0" applyFont="1" applyFill="1" applyBorder="1" applyAlignment="1">
      <alignment horizontal="left" vertical="center" wrapText="1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35" fillId="7" borderId="24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7" xfId="0" applyFont="1" applyFill="1" applyBorder="1" applyAlignment="1" applyProtection="1">
      <alignment horizontal="center" vertical="center"/>
      <protection hidden="1"/>
    </xf>
    <xf numFmtId="0" fontId="11" fillId="49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1" borderId="22" xfId="0" applyFill="1" applyBorder="1" applyAlignment="1" applyProtection="1">
      <alignment horizontal="center"/>
      <protection locked="0"/>
    </xf>
    <xf numFmtId="0" fontId="0" fillId="51" borderId="23" xfId="0" applyFill="1" applyBorder="1" applyAlignment="1" applyProtection="1">
      <alignment horizontal="center"/>
      <protection locked="0"/>
    </xf>
    <xf numFmtId="0" fontId="0" fillId="51" borderId="24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3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2" xfId="0" applyFont="1" applyFill="1" applyBorder="1" applyAlignment="1">
      <alignment horizontal="center" vertical="top" wrapText="1"/>
    </xf>
    <xf numFmtId="0" fontId="54" fillId="7" borderId="32" xfId="0" applyFont="1" applyFill="1" applyBorder="1" applyAlignment="1">
      <alignment horizontal="left" vertical="top" wrapText="1" indent="6"/>
    </xf>
    <xf numFmtId="0" fontId="54" fillId="7" borderId="32" xfId="0" applyFont="1" applyFill="1" applyBorder="1" applyAlignment="1">
      <alignment horizontal="left" vertical="top" wrapText="1" indent="2"/>
    </xf>
    <xf numFmtId="0" fontId="54" fillId="7" borderId="32" xfId="0" applyFont="1" applyFill="1" applyBorder="1" applyAlignment="1">
      <alignment horizontal="left" vertical="top" wrapText="1" indent="3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55" fillId="7" borderId="19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1" xfId="0" applyFont="1" applyFill="1" applyBorder="1" applyAlignment="1">
      <alignment horizontal="left" vertical="top" wrapText="1"/>
    </xf>
    <xf numFmtId="0" fontId="54" fillId="7" borderId="31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left" vertical="top" wrapText="1" indent="2"/>
    </xf>
    <xf numFmtId="0" fontId="0" fillId="13" borderId="34" xfId="0" applyFill="1" applyBorder="1" applyAlignment="1">
      <alignment horizontal="left" vertical="center" wrapText="1"/>
    </xf>
    <xf numFmtId="0" fontId="58" fillId="13" borderId="34" xfId="0" applyFont="1" applyFill="1" applyBorder="1" applyAlignment="1">
      <alignment horizontal="left" vertical="top" wrapText="1" indent="3"/>
    </xf>
    <xf numFmtId="0" fontId="58" fillId="13" borderId="34" xfId="0" applyFont="1" applyFill="1" applyBorder="1" applyAlignment="1">
      <alignment horizontal="left" vertical="top" wrapText="1" indent="5"/>
    </xf>
    <xf numFmtId="0" fontId="58" fillId="13" borderId="34" xfId="0" applyFont="1" applyFill="1" applyBorder="1" applyAlignment="1">
      <alignment horizontal="center" vertical="top" wrapText="1"/>
    </xf>
    <xf numFmtId="0" fontId="58" fillId="13" borderId="35" xfId="0" applyFont="1" applyFill="1" applyBorder="1" applyAlignment="1">
      <alignment horizontal="right" vertical="top" wrapText="1" indent="3"/>
    </xf>
    <xf numFmtId="0" fontId="60" fillId="7" borderId="36" xfId="0" applyFont="1" applyFill="1" applyBorder="1" applyAlignment="1">
      <alignment horizontal="center" vertical="top" wrapText="1"/>
    </xf>
    <xf numFmtId="0" fontId="60" fillId="7" borderId="36" xfId="0" applyFont="1" applyFill="1" applyBorder="1" applyAlignment="1">
      <alignment horizontal="left" vertical="top" wrapText="1" indent="1"/>
    </xf>
    <xf numFmtId="0" fontId="60" fillId="7" borderId="36" xfId="0" applyFont="1" applyFill="1" applyBorder="1" applyAlignment="1">
      <alignment horizontal="left" vertical="top" wrapText="1" indent="2"/>
    </xf>
    <xf numFmtId="0" fontId="61" fillId="52" borderId="1" xfId="0" applyFont="1" applyFill="1" applyBorder="1" applyAlignment="1">
      <alignment horizontal="center" vertical="top" wrapText="1"/>
    </xf>
    <xf numFmtId="0" fontId="61" fillId="52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6" xfId="0" applyNumberFormat="1" applyFill="1" applyBorder="1" applyAlignment="1" applyProtection="1">
      <alignment horizontal="center" vertical="center"/>
      <protection locked="0"/>
    </xf>
    <xf numFmtId="14" fontId="61" fillId="52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9" xfId="0" applyFont="1" applyFill="1" applyBorder="1" applyAlignment="1">
      <alignment horizontal="center" vertical="center" wrapText="1"/>
    </xf>
    <xf numFmtId="0" fontId="0" fillId="7" borderId="22" xfId="0" applyFill="1" applyBorder="1" applyAlignment="1" applyProtection="1">
      <alignment horizontal="center"/>
      <protection locked="0"/>
    </xf>
    <xf numFmtId="0" fontId="0" fillId="7" borderId="23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66" fillId="7" borderId="23" xfId="0" applyFont="1" applyFill="1" applyBorder="1" applyAlignment="1">
      <alignment horizontal="right" vertical="center" wrapText="1"/>
    </xf>
    <xf numFmtId="0" fontId="66" fillId="7" borderId="24" xfId="0" applyFont="1" applyFill="1" applyBorder="1" applyAlignment="1">
      <alignment horizontal="right" vertical="center" wrapText="1" indent="1"/>
    </xf>
    <xf numFmtId="0" fontId="0" fillId="11" borderId="16" xfId="0" applyFill="1" applyBorder="1" applyAlignment="1" applyProtection="1">
      <alignment horizontal="left"/>
      <protection locked="0"/>
    </xf>
    <xf numFmtId="0" fontId="0" fillId="11" borderId="16" xfId="0" applyFill="1" applyBorder="1" applyAlignment="1" applyProtection="1">
      <alignment horizontal="left" vertical="center"/>
      <protection locked="0"/>
    </xf>
    <xf numFmtId="0" fontId="67" fillId="53" borderId="22" xfId="0" applyFont="1" applyFill="1" applyBorder="1" applyAlignment="1">
      <alignment horizontal="center" vertical="center" wrapText="1"/>
    </xf>
    <xf numFmtId="0" fontId="67" fillId="53" borderId="23" xfId="0" applyFont="1" applyFill="1" applyBorder="1" applyAlignment="1">
      <alignment horizontal="center" vertical="center" wrapText="1"/>
    </xf>
    <xf numFmtId="0" fontId="67" fillId="53" borderId="24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0" fillId="13" borderId="24" xfId="0" applyFont="1" applyFill="1" applyBorder="1" applyAlignment="1">
      <alignment horizontal="center" vertical="center" wrapText="1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68" fillId="13" borderId="23" xfId="0" applyFont="1" applyFill="1" applyBorder="1" applyAlignment="1">
      <alignment horizontal="center" vertical="top"/>
    </xf>
    <xf numFmtId="0" fontId="68" fillId="13" borderId="24" xfId="0" applyFont="1" applyFill="1" applyBorder="1" applyAlignment="1">
      <alignment horizontal="left" vertical="top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4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3" xfId="0" applyFont="1" applyFill="1" applyBorder="1" applyAlignment="1">
      <alignment horizontal="center" vertical="center" wrapText="1"/>
    </xf>
    <xf numFmtId="0" fontId="70" fillId="7" borderId="23" xfId="0" applyFont="1" applyFill="1" applyBorder="1" applyAlignment="1">
      <alignment horizontal="left" vertical="center" wrapText="1"/>
    </xf>
    <xf numFmtId="0" fontId="70" fillId="7" borderId="24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6" xfId="0" applyNumberFormat="1" applyFill="1" applyBorder="1" applyProtection="1">
      <protection locked="0"/>
    </xf>
    <xf numFmtId="166" fontId="70" fillId="7" borderId="22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13" borderId="24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9" xfId="0" applyFill="1" applyBorder="1" applyProtection="1">
      <protection locked="0"/>
    </xf>
    <xf numFmtId="0" fontId="0" fillId="4" borderId="30" xfId="0" applyFill="1" applyBorder="1" applyProtection="1">
      <protection locked="0"/>
    </xf>
    <xf numFmtId="0" fontId="0" fillId="4" borderId="30" xfId="0" applyFill="1" applyBorder="1"/>
    <xf numFmtId="0" fontId="0" fillId="8" borderId="41" xfId="0" applyFill="1" applyBorder="1" applyAlignment="1" applyProtection="1">
      <alignment vertical="center"/>
      <protection locked="0" hidden="1"/>
    </xf>
    <xf numFmtId="0" fontId="0" fillId="54" borderId="42" xfId="0" applyFill="1" applyBorder="1" applyAlignment="1" applyProtection="1">
      <alignment horizontal="center" vertical="center"/>
      <protection locked="0"/>
    </xf>
    <xf numFmtId="14" fontId="0" fillId="54" borderId="42" xfId="0" applyNumberFormat="1" applyFill="1" applyBorder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15" borderId="26" xfId="0" applyFill="1" applyBorder="1"/>
    <xf numFmtId="0" fontId="0" fillId="15" borderId="28" xfId="0" applyFill="1" applyBorder="1"/>
    <xf numFmtId="0" fontId="0" fillId="15" borderId="29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30" xfId="0" applyFill="1" applyBorder="1" applyProtection="1">
      <protection locked="0"/>
    </xf>
    <xf numFmtId="0" fontId="54" fillId="7" borderId="31" xfId="44" applyFont="1" applyFill="1" applyBorder="1" applyAlignment="1">
      <alignment horizontal="center" vertical="center" wrapText="1"/>
    </xf>
    <xf numFmtId="0" fontId="54" fillId="7" borderId="33" xfId="44" applyFont="1" applyFill="1" applyBorder="1" applyAlignment="1">
      <alignment horizontal="center" vertical="center" wrapText="1"/>
    </xf>
    <xf numFmtId="0" fontId="54" fillId="7" borderId="35" xfId="44" applyFont="1" applyFill="1" applyBorder="1" applyAlignment="1">
      <alignment horizontal="center" vertical="center" wrapText="1"/>
    </xf>
    <xf numFmtId="0" fontId="10" fillId="49" borderId="47" xfId="0" applyFont="1" applyFill="1" applyBorder="1" applyAlignment="1">
      <alignment wrapText="1"/>
    </xf>
    <xf numFmtId="0" fontId="10" fillId="49" borderId="44" xfId="0" applyFont="1" applyFill="1" applyBorder="1" applyAlignment="1">
      <alignment vertical="top"/>
    </xf>
    <xf numFmtId="0" fontId="10" fillId="49" borderId="44" xfId="0" applyFont="1" applyFill="1" applyBorder="1" applyAlignment="1">
      <alignment horizontal="left" vertical="center"/>
    </xf>
    <xf numFmtId="0" fontId="41" fillId="7" borderId="46" xfId="0" applyFont="1" applyFill="1" applyBorder="1" applyAlignment="1">
      <alignment wrapText="1"/>
    </xf>
    <xf numFmtId="0" fontId="41" fillId="7" borderId="47" xfId="0" applyFont="1" applyFill="1" applyBorder="1" applyAlignment="1">
      <alignment horizontal="left"/>
    </xf>
    <xf numFmtId="0" fontId="41" fillId="7" borderId="50" xfId="0" applyFont="1" applyFill="1" applyBorder="1" applyAlignment="1">
      <alignment wrapText="1"/>
    </xf>
    <xf numFmtId="0" fontId="41" fillId="7" borderId="48" xfId="0" applyFont="1" applyFill="1" applyBorder="1" applyAlignment="1">
      <alignment vertical="top" wrapText="1"/>
    </xf>
    <xf numFmtId="0" fontId="41" fillId="7" borderId="49" xfId="0" applyFont="1" applyFill="1" applyBorder="1" applyAlignment="1">
      <alignment horizontal="left" vertical="top"/>
    </xf>
    <xf numFmtId="0" fontId="41" fillId="7" borderId="51" xfId="0" applyFont="1" applyFill="1" applyBorder="1" applyAlignment="1">
      <alignment vertical="top" wrapText="1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0" fillId="15" borderId="45" xfId="0" applyFill="1" applyBorder="1" applyProtection="1">
      <protection locked="0"/>
    </xf>
    <xf numFmtId="0" fontId="29" fillId="53" borderId="22" xfId="0" applyFont="1" applyFill="1" applyBorder="1" applyAlignment="1" applyProtection="1">
      <alignment horizontal="center" vertical="center"/>
      <protection locked="0"/>
    </xf>
    <xf numFmtId="0" fontId="29" fillId="53" borderId="23" xfId="0" applyFont="1" applyFill="1" applyBorder="1" applyAlignment="1" applyProtection="1">
      <alignment horizontal="center" vertical="center"/>
      <protection locked="0"/>
    </xf>
    <xf numFmtId="0" fontId="29" fillId="53" borderId="52" xfId="0" applyFont="1" applyFill="1" applyBorder="1" applyAlignment="1" applyProtection="1">
      <alignment horizontal="center" vertical="center"/>
      <protection locked="0"/>
    </xf>
    <xf numFmtId="164" fontId="29" fillId="53" borderId="52" xfId="0" applyNumberFormat="1" applyFont="1" applyFill="1" applyBorder="1" applyAlignment="1" applyProtection="1">
      <alignment horizontal="center" vertical="center"/>
      <protection locked="0"/>
    </xf>
    <xf numFmtId="164" fontId="29" fillId="53" borderId="23" xfId="0" applyNumberFormat="1" applyFont="1" applyFill="1" applyBorder="1" applyAlignment="1" applyProtection="1">
      <alignment horizontal="center" vertical="center"/>
      <protection locked="0"/>
    </xf>
    <xf numFmtId="0" fontId="29" fillId="53" borderId="24" xfId="0" quotePrefix="1" applyFont="1" applyFill="1" applyBorder="1" applyAlignment="1" applyProtection="1">
      <alignment horizontal="center" vertical="center"/>
      <protection locked="0"/>
    </xf>
    <xf numFmtId="14" fontId="0" fillId="11" borderId="16" xfId="0" applyNumberFormat="1" applyFill="1" applyBorder="1" applyProtection="1">
      <protection locked="0"/>
    </xf>
    <xf numFmtId="14" fontId="34" fillId="7" borderId="22" xfId="0" applyNumberFormat="1" applyFont="1" applyFill="1" applyBorder="1" applyProtection="1">
      <protection locked="0"/>
    </xf>
    <xf numFmtId="0" fontId="60" fillId="13" borderId="23" xfId="0" applyFont="1" applyFill="1" applyBorder="1" applyAlignment="1">
      <alignment horizontal="center" vertical="center" wrapText="1"/>
    </xf>
    <xf numFmtId="0" fontId="60" fillId="7" borderId="37" xfId="0" applyFont="1" applyFill="1" applyBorder="1" applyAlignment="1">
      <alignment horizontal="left" vertical="top" wrapText="1" indent="5"/>
    </xf>
    <xf numFmtId="0" fontId="60" fillId="7" borderId="38" xfId="0" applyFont="1" applyFill="1" applyBorder="1" applyAlignment="1">
      <alignment horizontal="left" vertical="top" wrapText="1" indent="5"/>
    </xf>
    <xf numFmtId="0" fontId="66" fillId="7" borderId="23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64" fillId="7" borderId="39" xfId="0" applyFont="1" applyFill="1" applyBorder="1" applyAlignment="1">
      <alignment horizontal="center" vertical="top" wrapText="1"/>
    </xf>
    <xf numFmtId="0" fontId="64" fillId="7" borderId="40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3" xfId="0" applyFont="1" applyFill="1" applyBorder="1" applyAlignment="1">
      <alignment horizontal="center" vertical="center" wrapText="1"/>
    </xf>
    <xf numFmtId="0" fontId="72" fillId="4" borderId="25" xfId="0" applyFont="1" applyFill="1" applyBorder="1" applyAlignment="1" applyProtection="1">
      <alignment horizontal="center" vertical="center"/>
      <protection locked="0"/>
    </xf>
    <xf numFmtId="0" fontId="72" fillId="4" borderId="28" xfId="0" applyFont="1" applyFill="1" applyBorder="1" applyAlignment="1" applyProtection="1">
      <alignment horizontal="center" vertical="center"/>
      <protection locked="0"/>
    </xf>
  </cellXfs>
  <cellStyles count="48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checked="Checked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checked="Checked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checked="Checked" fmlaLink="M6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B4AEEF-5AF9-49DD-8542-8AD1132FA32D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EA6399-B71B-4F30-9BEB-BD9075252731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60A560B-7150-4483-A29F-44B5BB56E8B8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2E0B53-3AEB-4EB5-8548-418B6F0F9BD5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6982" name="ICICI(C) (P)_CheckBox" hidden="1">
              <a:extLst>
                <a:ext uri="{63B3BB69-23CF-44E3-9099-C40C66FF867C}">
                  <a14:compatExt spid="_x0000_s66982"/>
                </a:ext>
                <a:ext uri="{FF2B5EF4-FFF2-40B4-BE49-F238E27FC236}">
                  <a16:creationId xmlns:a16="http://schemas.microsoft.com/office/drawing/2014/main" id="{00000000-0008-0000-3900-0000A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6983" name="ICICI(S) (P)_CheckBox" hidden="1">
              <a:extLst>
                <a:ext uri="{63B3BB69-23CF-44E3-9099-C40C66FF867C}">
                  <a14:compatExt spid="_x0000_s66983"/>
                </a:ext>
                <a:ext uri="{FF2B5EF4-FFF2-40B4-BE49-F238E27FC236}">
                  <a16:creationId xmlns:a16="http://schemas.microsoft.com/office/drawing/2014/main" id="{00000000-0008-0000-3900-0000A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6984" name="ICICI(C)2 (P)_CheckBox" hidden="1">
              <a:extLst>
                <a:ext uri="{63B3BB69-23CF-44E3-9099-C40C66FF867C}">
                  <a14:compatExt spid="_x0000_s66984"/>
                </a:ext>
                <a:ext uri="{FF2B5EF4-FFF2-40B4-BE49-F238E27FC236}">
                  <a16:creationId xmlns:a16="http://schemas.microsoft.com/office/drawing/2014/main" id="{00000000-0008-0000-3900-0000A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6985" name="HDFC (P)_CheckBox" hidden="1">
              <a:extLst>
                <a:ext uri="{63B3BB69-23CF-44E3-9099-C40C66FF867C}">
                  <a14:compatExt spid="_x0000_s66985"/>
                </a:ext>
                <a:ext uri="{FF2B5EF4-FFF2-40B4-BE49-F238E27FC236}">
                  <a16:creationId xmlns:a16="http://schemas.microsoft.com/office/drawing/2014/main" id="{00000000-0008-0000-3900-0000A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6986" name="Axis(S) (P)_CheckBox" hidden="1">
              <a:extLst>
                <a:ext uri="{63B3BB69-23CF-44E3-9099-C40C66FF867C}">
                  <a14:compatExt spid="_x0000_s66986"/>
                </a:ext>
                <a:ext uri="{FF2B5EF4-FFF2-40B4-BE49-F238E27FC236}">
                  <a16:creationId xmlns:a16="http://schemas.microsoft.com/office/drawing/2014/main" id="{00000000-0008-0000-3900-0000A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6987" name="Axis(C) (P)_CheckBox" hidden="1">
              <a:extLst>
                <a:ext uri="{63B3BB69-23CF-44E3-9099-C40C66FF867C}">
                  <a14:compatExt spid="_x0000_s66987"/>
                </a:ext>
                <a:ext uri="{FF2B5EF4-FFF2-40B4-BE49-F238E27FC236}">
                  <a16:creationId xmlns:a16="http://schemas.microsoft.com/office/drawing/2014/main" id="{00000000-0008-0000-3900-0000A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6988" name="IDBI (P)_CheckBox" hidden="1">
              <a:extLst>
                <a:ext uri="{63B3BB69-23CF-44E3-9099-C40C66FF867C}">
                  <a14:compatExt spid="_x0000_s66988"/>
                </a:ext>
                <a:ext uri="{FF2B5EF4-FFF2-40B4-BE49-F238E27FC236}">
                  <a16:creationId xmlns:a16="http://schemas.microsoft.com/office/drawing/2014/main" id="{00000000-0008-0000-3900-0000A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6989" name="IDBI(S) (P)_CheckBox" hidden="1">
              <a:extLst>
                <a:ext uri="{63B3BB69-23CF-44E3-9099-C40C66FF867C}">
                  <a14:compatExt spid="_x0000_s66989"/>
                </a:ext>
                <a:ext uri="{FF2B5EF4-FFF2-40B4-BE49-F238E27FC236}">
                  <a16:creationId xmlns:a16="http://schemas.microsoft.com/office/drawing/2014/main" id="{00000000-0008-0000-3900-0000A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6990" name="IDFC (P)_CheckBox" hidden="1">
              <a:extLst>
                <a:ext uri="{63B3BB69-23CF-44E3-9099-C40C66FF867C}">
                  <a14:compatExt spid="_x0000_s66990"/>
                </a:ext>
                <a:ext uri="{FF2B5EF4-FFF2-40B4-BE49-F238E27FC236}">
                  <a16:creationId xmlns:a16="http://schemas.microsoft.com/office/drawing/2014/main" id="{00000000-0008-0000-3900-0000A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6991" name="CityUni (P)_CheckBox" hidden="1">
              <a:extLst>
                <a:ext uri="{63B3BB69-23CF-44E3-9099-C40C66FF867C}">
                  <a14:compatExt spid="_x0000_s66991"/>
                </a:ext>
                <a:ext uri="{FF2B5EF4-FFF2-40B4-BE49-F238E27FC236}">
                  <a16:creationId xmlns:a16="http://schemas.microsoft.com/office/drawing/2014/main" id="{00000000-0008-0000-3900-0000A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6992" name="indusind (P)_CheckBox" hidden="1">
              <a:extLst>
                <a:ext uri="{63B3BB69-23CF-44E3-9099-C40C66FF867C}">
                  <a14:compatExt spid="_x0000_s66992"/>
                </a:ext>
                <a:ext uri="{FF2B5EF4-FFF2-40B4-BE49-F238E27FC236}">
                  <a16:creationId xmlns:a16="http://schemas.microsoft.com/office/drawing/2014/main" id="{00000000-0008-0000-3900-0000B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6993" name="Kalupur (P)_CheckBox" hidden="1">
              <a:extLst>
                <a:ext uri="{63B3BB69-23CF-44E3-9099-C40C66FF867C}">
                  <a14:compatExt spid="_x0000_s66993"/>
                </a:ext>
                <a:ext uri="{FF2B5EF4-FFF2-40B4-BE49-F238E27FC236}">
                  <a16:creationId xmlns:a16="http://schemas.microsoft.com/office/drawing/2014/main" id="{00000000-0008-0000-3900-0000B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6994" name="AU (P)_CheckBox" hidden="1">
              <a:extLst>
                <a:ext uri="{63B3BB69-23CF-44E3-9099-C40C66FF867C}">
                  <a14:compatExt spid="_x0000_s66994"/>
                </a:ext>
                <a:ext uri="{FF2B5EF4-FFF2-40B4-BE49-F238E27FC236}">
                  <a16:creationId xmlns:a16="http://schemas.microsoft.com/office/drawing/2014/main" id="{00000000-0008-0000-3900-0000B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6995" name="SBI (P)_CheckBox" hidden="1">
              <a:extLst>
                <a:ext uri="{63B3BB69-23CF-44E3-9099-C40C66FF867C}">
                  <a14:compatExt spid="_x0000_s66995"/>
                </a:ext>
                <a:ext uri="{FF2B5EF4-FFF2-40B4-BE49-F238E27FC236}">
                  <a16:creationId xmlns:a16="http://schemas.microsoft.com/office/drawing/2014/main" id="{00000000-0008-0000-3900-0000B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6996" name="Union (P)_CheckBox" hidden="1">
              <a:extLst>
                <a:ext uri="{63B3BB69-23CF-44E3-9099-C40C66FF867C}">
                  <a14:compatExt spid="_x0000_s66996"/>
                </a:ext>
                <a:ext uri="{FF2B5EF4-FFF2-40B4-BE49-F238E27FC236}">
                  <a16:creationId xmlns:a16="http://schemas.microsoft.com/office/drawing/2014/main" id="{00000000-0008-0000-3900-0000B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6997" name="Union2 (P)_CheckBox" hidden="1">
              <a:extLst>
                <a:ext uri="{63B3BB69-23CF-44E3-9099-C40C66FF867C}">
                  <a14:compatExt spid="_x0000_s66997"/>
                </a:ext>
                <a:ext uri="{FF2B5EF4-FFF2-40B4-BE49-F238E27FC236}">
                  <a16:creationId xmlns:a16="http://schemas.microsoft.com/office/drawing/2014/main" id="{00000000-0008-0000-3900-0000B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6998" name="Kotak (P)_CheckBox" hidden="1">
              <a:extLst>
                <a:ext uri="{63B3BB69-23CF-44E3-9099-C40C66FF867C}">
                  <a14:compatExt spid="_x0000_s66998"/>
                </a:ext>
                <a:ext uri="{FF2B5EF4-FFF2-40B4-BE49-F238E27FC236}">
                  <a16:creationId xmlns:a16="http://schemas.microsoft.com/office/drawing/2014/main" id="{00000000-0008-0000-3900-0000B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6999" name="Kotak2 (P)_CheckBox" hidden="1">
              <a:extLst>
                <a:ext uri="{63B3BB69-23CF-44E3-9099-C40C66FF867C}">
                  <a14:compatExt spid="_x0000_s66999"/>
                </a:ext>
                <a:ext uri="{FF2B5EF4-FFF2-40B4-BE49-F238E27FC236}">
                  <a16:creationId xmlns:a16="http://schemas.microsoft.com/office/drawing/2014/main" id="{00000000-0008-0000-3900-0000B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000" name="Kotak3 (P)_CheckBox" hidden="1">
              <a:extLst>
                <a:ext uri="{63B3BB69-23CF-44E3-9099-C40C66FF867C}">
                  <a14:compatExt spid="_x0000_s67000"/>
                </a:ext>
                <a:ext uri="{FF2B5EF4-FFF2-40B4-BE49-F238E27FC236}">
                  <a16:creationId xmlns:a16="http://schemas.microsoft.com/office/drawing/2014/main" id="{00000000-0008-0000-3900-0000B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001" name="CBI (P)_CheckBox" hidden="1">
              <a:extLst>
                <a:ext uri="{63B3BB69-23CF-44E3-9099-C40C66FF867C}">
                  <a14:compatExt spid="_x0000_s67001"/>
                </a:ext>
                <a:ext uri="{FF2B5EF4-FFF2-40B4-BE49-F238E27FC236}">
                  <a16:creationId xmlns:a16="http://schemas.microsoft.com/office/drawing/2014/main" id="{00000000-0008-0000-3900-0000B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002" name="Varachha (P)_CheckBox" hidden="1">
              <a:extLst>
                <a:ext uri="{63B3BB69-23CF-44E3-9099-C40C66FF867C}">
                  <a14:compatExt spid="_x0000_s67002"/>
                </a:ext>
                <a:ext uri="{FF2B5EF4-FFF2-40B4-BE49-F238E27FC236}">
                  <a16:creationId xmlns:a16="http://schemas.microsoft.com/office/drawing/2014/main" id="{00000000-0008-0000-3900-0000B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003" name="SDCB (P)_CheckBox" hidden="1">
              <a:extLst>
                <a:ext uri="{63B3BB69-23CF-44E3-9099-C40C66FF867C}">
                  <a14:compatExt spid="_x0000_s67003"/>
                </a:ext>
                <a:ext uri="{FF2B5EF4-FFF2-40B4-BE49-F238E27FC236}">
                  <a16:creationId xmlns:a16="http://schemas.microsoft.com/office/drawing/2014/main" id="{00000000-0008-0000-3900-0000B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004" name="ICICI(C)_CheckBox" hidden="1">
              <a:extLst>
                <a:ext uri="{63B3BB69-23CF-44E3-9099-C40C66FF867C}">
                  <a14:compatExt spid="_x0000_s67004"/>
                </a:ext>
                <a:ext uri="{FF2B5EF4-FFF2-40B4-BE49-F238E27FC236}">
                  <a16:creationId xmlns:a16="http://schemas.microsoft.com/office/drawing/2014/main" id="{00000000-0008-0000-3900-0000B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005" name="ICICI(S)_CheckBox" hidden="1">
              <a:extLst>
                <a:ext uri="{63B3BB69-23CF-44E3-9099-C40C66FF867C}">
                  <a14:compatExt spid="_x0000_s67005"/>
                </a:ext>
                <a:ext uri="{FF2B5EF4-FFF2-40B4-BE49-F238E27FC236}">
                  <a16:creationId xmlns:a16="http://schemas.microsoft.com/office/drawing/2014/main" id="{00000000-0008-0000-3900-0000B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006" name="HDFC_CheckBox" hidden="1">
              <a:extLst>
                <a:ext uri="{63B3BB69-23CF-44E3-9099-C40C66FF867C}">
                  <a14:compatExt spid="_x0000_s67006"/>
                </a:ext>
                <a:ext uri="{FF2B5EF4-FFF2-40B4-BE49-F238E27FC236}">
                  <a16:creationId xmlns:a16="http://schemas.microsoft.com/office/drawing/2014/main" id="{00000000-0008-0000-3900-0000B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007" name="Kotak(C)_CheckBox" hidden="1">
              <a:extLst>
                <a:ext uri="{63B3BB69-23CF-44E3-9099-C40C66FF867C}">
                  <a14:compatExt spid="_x0000_s67007"/>
                </a:ext>
                <a:ext uri="{FF2B5EF4-FFF2-40B4-BE49-F238E27FC236}">
                  <a16:creationId xmlns:a16="http://schemas.microsoft.com/office/drawing/2014/main" id="{00000000-0008-0000-3900-0000B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008" name="Kotak(S)_CheckBox" hidden="1">
              <a:extLst>
                <a:ext uri="{63B3BB69-23CF-44E3-9099-C40C66FF867C}">
                  <a14:compatExt spid="_x0000_s67008"/>
                </a:ext>
                <a:ext uri="{FF2B5EF4-FFF2-40B4-BE49-F238E27FC236}">
                  <a16:creationId xmlns:a16="http://schemas.microsoft.com/office/drawing/2014/main" id="{00000000-0008-0000-3900-0000C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009" name="Axis(S)_CheckBox" hidden="1">
              <a:extLst>
                <a:ext uri="{63B3BB69-23CF-44E3-9099-C40C66FF867C}">
                  <a14:compatExt spid="_x0000_s67009"/>
                </a:ext>
                <a:ext uri="{FF2B5EF4-FFF2-40B4-BE49-F238E27FC236}">
                  <a16:creationId xmlns:a16="http://schemas.microsoft.com/office/drawing/2014/main" id="{00000000-0008-0000-3900-0000C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010" name="Axis(S) (2)_CheckBox" hidden="1">
              <a:extLst>
                <a:ext uri="{63B3BB69-23CF-44E3-9099-C40C66FF867C}">
                  <a14:compatExt spid="_x0000_s67010"/>
                </a:ext>
                <a:ext uri="{FF2B5EF4-FFF2-40B4-BE49-F238E27FC236}">
                  <a16:creationId xmlns:a16="http://schemas.microsoft.com/office/drawing/2014/main" id="{00000000-0008-0000-3900-0000C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011" name="Axis(C)_CheckBox" hidden="1">
              <a:extLst>
                <a:ext uri="{63B3BB69-23CF-44E3-9099-C40C66FF867C}">
                  <a14:compatExt spid="_x0000_s67011"/>
                </a:ext>
                <a:ext uri="{FF2B5EF4-FFF2-40B4-BE49-F238E27FC236}">
                  <a16:creationId xmlns:a16="http://schemas.microsoft.com/office/drawing/2014/main" id="{00000000-0008-0000-3900-0000C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012" name="Yes_CheckBox" hidden="1">
              <a:extLst>
                <a:ext uri="{63B3BB69-23CF-44E3-9099-C40C66FF867C}">
                  <a14:compatExt spid="_x0000_s67012"/>
                </a:ext>
                <a:ext uri="{FF2B5EF4-FFF2-40B4-BE49-F238E27FC236}">
                  <a16:creationId xmlns:a16="http://schemas.microsoft.com/office/drawing/2014/main" id="{00000000-0008-0000-3900-0000C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013" name="indusind_CheckBox" hidden="1">
              <a:extLst>
                <a:ext uri="{63B3BB69-23CF-44E3-9099-C40C66FF867C}">
                  <a14:compatExt spid="_x0000_s67013"/>
                </a:ext>
                <a:ext uri="{FF2B5EF4-FFF2-40B4-BE49-F238E27FC236}">
                  <a16:creationId xmlns:a16="http://schemas.microsoft.com/office/drawing/2014/main" id="{00000000-0008-0000-3900-0000C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014" name="IDBI_CheckBox" hidden="1">
              <a:extLst>
                <a:ext uri="{63B3BB69-23CF-44E3-9099-C40C66FF867C}">
                  <a14:compatExt spid="_x0000_s67014"/>
                </a:ext>
                <a:ext uri="{FF2B5EF4-FFF2-40B4-BE49-F238E27FC236}">
                  <a16:creationId xmlns:a16="http://schemas.microsoft.com/office/drawing/2014/main" id="{00000000-0008-0000-3900-0000C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015" name="Bandhan_CheckBox" hidden="1">
              <a:extLst>
                <a:ext uri="{63B3BB69-23CF-44E3-9099-C40C66FF867C}">
                  <a14:compatExt spid="_x0000_s67015"/>
                </a:ext>
                <a:ext uri="{FF2B5EF4-FFF2-40B4-BE49-F238E27FC236}">
                  <a16:creationId xmlns:a16="http://schemas.microsoft.com/office/drawing/2014/main" id="{00000000-0008-0000-3900-0000C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016" name="Indian_CheckBox" hidden="1">
              <a:extLst>
                <a:ext uri="{63B3BB69-23CF-44E3-9099-C40C66FF867C}">
                  <a14:compatExt spid="_x0000_s67016"/>
                </a:ext>
                <a:ext uri="{FF2B5EF4-FFF2-40B4-BE49-F238E27FC236}">
                  <a16:creationId xmlns:a16="http://schemas.microsoft.com/office/drawing/2014/main" id="{00000000-0008-0000-3900-0000C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017" name="IDFC_CheckBox" hidden="1">
              <a:extLst>
                <a:ext uri="{63B3BB69-23CF-44E3-9099-C40C66FF867C}">
                  <a14:compatExt spid="_x0000_s67017"/>
                </a:ext>
                <a:ext uri="{FF2B5EF4-FFF2-40B4-BE49-F238E27FC236}">
                  <a16:creationId xmlns:a16="http://schemas.microsoft.com/office/drawing/2014/main" id="{00000000-0008-0000-3900-0000C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018" name="RBL_CheckBox" hidden="1">
              <a:extLst>
                <a:ext uri="{63B3BB69-23CF-44E3-9099-C40C66FF867C}">
                  <a14:compatExt spid="_x0000_s67018"/>
                </a:ext>
                <a:ext uri="{FF2B5EF4-FFF2-40B4-BE49-F238E27FC236}">
                  <a16:creationId xmlns:a16="http://schemas.microsoft.com/office/drawing/2014/main" id="{00000000-0008-0000-3900-0000C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019" name="Union_CheckBox" hidden="1">
              <a:extLst>
                <a:ext uri="{63B3BB69-23CF-44E3-9099-C40C66FF867C}">
                  <a14:compatExt spid="_x0000_s67019"/>
                </a:ext>
                <a:ext uri="{FF2B5EF4-FFF2-40B4-BE49-F238E27FC236}">
                  <a16:creationId xmlns:a16="http://schemas.microsoft.com/office/drawing/2014/main" id="{00000000-0008-0000-3900-0000C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020" name="SBI_CheckBox" hidden="1">
              <a:extLst>
                <a:ext uri="{63B3BB69-23CF-44E3-9099-C40C66FF867C}">
                  <a14:compatExt spid="_x0000_s67020"/>
                </a:ext>
                <a:ext uri="{FF2B5EF4-FFF2-40B4-BE49-F238E27FC236}">
                  <a16:creationId xmlns:a16="http://schemas.microsoft.com/office/drawing/2014/main" id="{00000000-0008-0000-3900-0000C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021" name="BOI_CheckBox" hidden="1">
              <a:extLst>
                <a:ext uri="{63B3BB69-23CF-44E3-9099-C40C66FF867C}">
                  <a14:compatExt spid="_x0000_s67021"/>
                </a:ext>
                <a:ext uri="{FF2B5EF4-FFF2-40B4-BE49-F238E27FC236}">
                  <a16:creationId xmlns:a16="http://schemas.microsoft.com/office/drawing/2014/main" id="{00000000-0008-0000-3900-0000C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022" name="UCO_CheckBox" hidden="1">
              <a:extLst>
                <a:ext uri="{63B3BB69-23CF-44E3-9099-C40C66FF867C}">
                  <a14:compatExt spid="_x0000_s67022"/>
                </a:ext>
                <a:ext uri="{FF2B5EF4-FFF2-40B4-BE49-F238E27FC236}">
                  <a16:creationId xmlns:a16="http://schemas.microsoft.com/office/drawing/2014/main" id="{00000000-0008-0000-3900-0000C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023" name="CBI_CheckBox" hidden="1">
              <a:extLst>
                <a:ext uri="{63B3BB69-23CF-44E3-9099-C40C66FF867C}">
                  <a14:compatExt spid="_x0000_s67023"/>
                </a:ext>
                <a:ext uri="{FF2B5EF4-FFF2-40B4-BE49-F238E27FC236}">
                  <a16:creationId xmlns:a16="http://schemas.microsoft.com/office/drawing/2014/main" id="{00000000-0008-0000-3900-0000C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024" name="BOB(C)_CheckBox" hidden="1">
              <a:extLst>
                <a:ext uri="{63B3BB69-23CF-44E3-9099-C40C66FF867C}">
                  <a14:compatExt spid="_x0000_s67024"/>
                </a:ext>
                <a:ext uri="{FF2B5EF4-FFF2-40B4-BE49-F238E27FC236}">
                  <a16:creationId xmlns:a16="http://schemas.microsoft.com/office/drawing/2014/main" id="{00000000-0008-0000-3900-0000D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025" name="BOB(S)_CheckBox" hidden="1">
              <a:extLst>
                <a:ext uri="{63B3BB69-23CF-44E3-9099-C40C66FF867C}">
                  <a14:compatExt spid="_x0000_s67025"/>
                </a:ext>
                <a:ext uri="{FF2B5EF4-FFF2-40B4-BE49-F238E27FC236}">
                  <a16:creationId xmlns:a16="http://schemas.microsoft.com/office/drawing/2014/main" id="{00000000-0008-0000-3900-0000D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026" name="PNB_CheckBox" hidden="1">
              <a:extLst>
                <a:ext uri="{63B3BB69-23CF-44E3-9099-C40C66FF867C}">
                  <a14:compatExt spid="_x0000_s67026"/>
                </a:ext>
                <a:ext uri="{FF2B5EF4-FFF2-40B4-BE49-F238E27FC236}">
                  <a16:creationId xmlns:a16="http://schemas.microsoft.com/office/drawing/2014/main" id="{00000000-0008-0000-3900-0000D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027" name="PNB (2)_CheckBox" hidden="1">
              <a:extLst>
                <a:ext uri="{63B3BB69-23CF-44E3-9099-C40C66FF867C}">
                  <a14:compatExt spid="_x0000_s67027"/>
                </a:ext>
                <a:ext uri="{FF2B5EF4-FFF2-40B4-BE49-F238E27FC236}">
                  <a16:creationId xmlns:a16="http://schemas.microsoft.com/office/drawing/2014/main" id="{00000000-0008-0000-3900-0000D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028" name="RNSBE_CheckBox" hidden="1">
              <a:extLst>
                <a:ext uri="{63B3BB69-23CF-44E3-9099-C40C66FF867C}">
                  <a14:compatExt spid="_x0000_s67028"/>
                </a:ext>
                <a:ext uri="{FF2B5EF4-FFF2-40B4-BE49-F238E27FC236}">
                  <a16:creationId xmlns:a16="http://schemas.microsoft.com/office/drawing/2014/main" id="{00000000-0008-0000-3900-0000D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029" name="Federal_CheckBox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3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030" name="Varachha_CheckBox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3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031" name="SNCB_CheckBox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3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032" name="SDCB_CheckBox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3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033" name="AU_CheckBox" hidden="1">
              <a:extLst>
                <a:ext uri="{63B3BB69-23CF-44E3-9099-C40C66FF867C}">
                  <a14:compatExt spid="_x0000_s67033"/>
                </a:ext>
                <a:ext uri="{FF2B5EF4-FFF2-40B4-BE49-F238E27FC236}">
                  <a16:creationId xmlns:a16="http://schemas.microsoft.com/office/drawing/2014/main" id="{00000000-0008-0000-3900-0000D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034" name="Prime_CheckBox" hidden="1">
              <a:extLst>
                <a:ext uri="{63B3BB69-23CF-44E3-9099-C40C66FF867C}">
                  <a14:compatExt spid="_x0000_s67034"/>
                </a:ext>
                <a:ext uri="{FF2B5EF4-FFF2-40B4-BE49-F238E27FC236}">
                  <a16:creationId xmlns:a16="http://schemas.microsoft.com/office/drawing/2014/main" id="{00000000-0008-0000-3900-0000D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035" name="DCB_CheckBox" hidden="1">
              <a:extLst>
                <a:ext uri="{63B3BB69-23CF-44E3-9099-C40C66FF867C}">
                  <a14:compatExt spid="_x0000_s67035"/>
                </a:ext>
                <a:ext uri="{FF2B5EF4-FFF2-40B4-BE49-F238E27FC236}">
                  <a16:creationId xmlns:a16="http://schemas.microsoft.com/office/drawing/2014/main" id="{00000000-0008-0000-3900-0000D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036" name="Saraswat_CheckBox" hidden="1">
              <a:extLst>
                <a:ext uri="{63B3BB69-23CF-44E3-9099-C40C66FF867C}">
                  <a14:compatExt spid="_x0000_s67036"/>
                </a:ext>
                <a:ext uri="{FF2B5EF4-FFF2-40B4-BE49-F238E27FC236}">
                  <a16:creationId xmlns:a16="http://schemas.microsoft.com/office/drawing/2014/main" id="{00000000-0008-0000-3900-0000D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037" name="Equitas_CheckBox" hidden="1">
              <a:extLst>
                <a:ext uri="{63B3BB69-23CF-44E3-9099-C40C66FF867C}">
                  <a14:compatExt spid="_x0000_s67037"/>
                </a:ext>
                <a:ext uri="{FF2B5EF4-FFF2-40B4-BE49-F238E27FC236}">
                  <a16:creationId xmlns:a16="http://schemas.microsoft.com/office/drawing/2014/main" id="{00000000-0008-0000-3900-0000D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038" name="SIB_CheckBox" hidden="1">
              <a:extLst>
                <a:ext uri="{63B3BB69-23CF-44E3-9099-C40C66FF867C}">
                  <a14:compatExt spid="_x0000_s67038"/>
                </a:ext>
                <a:ext uri="{FF2B5EF4-FFF2-40B4-BE49-F238E27FC236}">
                  <a16:creationId xmlns:a16="http://schemas.microsoft.com/office/drawing/2014/main" id="{00000000-0008-0000-3900-0000D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9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9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9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8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F17" sqref="F1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8" t="str">
        <f>+$A$3</f>
        <v>ICICI Bank A/c.</v>
      </c>
      <c r="DB3" s="149">
        <f>VALUE(B3)</f>
        <v>0</v>
      </c>
      <c r="DC3" s="150" t="e">
        <f>+CONCATENATE(TEXT(DB3,"D"),"",TEXT(DB3,"MM"),"","/",SUBSTITUTE(DF3,",",""),"/",DK3)</f>
        <v>#VALUE!</v>
      </c>
      <c r="DD3" s="151">
        <f>IF(TRIM(J3)="",VALUE("0"),VALUE(SUBSTITUTE((TRIM(J3)),",","")))</f>
        <v>0</v>
      </c>
      <c r="DE3" s="151">
        <f>IF(TRIM(L3)="",VALUE("0"),VALUE(SUBSTITUTE((TRIM(L3)),",","")))</f>
        <v>0</v>
      </c>
      <c r="DF3" s="151">
        <f>IF(TRIM(N3)="", 0, VALUE(SUBSTITUTE(SUBSTITUTE(SUBSTITUTE(TRIM(N3), ",", ""), "Cr", ""), "Dr", "")))</f>
        <v>0</v>
      </c>
      <c r="DG3" s="152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3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4" t="str">
        <f>+IF(DE3=0,"Suspance Payment","Suspance Receipt")</f>
        <v>Suspance Payment</v>
      </c>
      <c r="DJ3" s="155">
        <f>+C3</f>
        <v>0</v>
      </c>
      <c r="DK3" s="156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41" t="s">
        <v>39</v>
      </c>
      <c r="B4" s="99" t="s">
        <v>217</v>
      </c>
      <c r="C4" s="99" t="s">
        <v>218</v>
      </c>
      <c r="D4" s="99"/>
      <c r="E4" s="99"/>
      <c r="F4" s="99"/>
      <c r="G4" s="99" t="s">
        <v>219</v>
      </c>
      <c r="H4" s="99"/>
      <c r="I4" s="99" t="s">
        <v>220</v>
      </c>
      <c r="J4" s="99" t="s">
        <v>221</v>
      </c>
      <c r="K4" s="140"/>
      <c r="L4" s="140" t="s">
        <v>222</v>
      </c>
      <c r="M4" s="140"/>
      <c r="N4" s="140" t="s">
        <v>223</v>
      </c>
      <c r="U4" s="6" t="s">
        <v>178</v>
      </c>
      <c r="DA4" s="38" t="str">
        <f>+DA3</f>
        <v>ICICI Bank A/c.</v>
      </c>
    </row>
  </sheetData>
  <sheetProtection algorithmName="SHA-512" hashValue="ENsji1lfoSznxnq1OfinMTZkZKLfM6uusKrNXaTnYvsOwN0yv4EKkEf9RjhNOfE5HR+pBhLLEfbq6UlE9Z0FmQ==" saltValue="8Puu+N9BlCH6xybzvXdqj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16" priority="10" operator="equal">
      <formula>#N/A</formula>
    </cfRule>
  </conditionalFormatting>
  <conditionalFormatting sqref="H1">
    <cfRule type="cellIs" dxfId="615" priority="9" operator="equal">
      <formula>#N/A</formula>
    </cfRule>
  </conditionalFormatting>
  <conditionalFormatting sqref="E1">
    <cfRule type="cellIs" dxfId="614" priority="8" operator="equal">
      <formula>#N/A</formula>
    </cfRule>
  </conditionalFormatting>
  <conditionalFormatting sqref="I1">
    <cfRule type="containsText" dxfId="613" priority="6" operator="containsText" text="All Data Import Successfully">
      <formula>NOT(ISERROR(SEARCH("All Data Import Successfully",I1)))</formula>
    </cfRule>
    <cfRule type="containsText" dxfId="612" priority="7" operator="containsText" text="Difference Entry">
      <formula>NOT(ISERROR(SEARCH("Difference Entry",I1)))</formula>
    </cfRule>
  </conditionalFormatting>
  <conditionalFormatting sqref="DG2">
    <cfRule type="cellIs" dxfId="611" priority="5" operator="equal">
      <formula>#N/A</formula>
    </cfRule>
  </conditionalFormatting>
  <conditionalFormatting sqref="DH2:DI2">
    <cfRule type="cellIs" dxfId="610" priority="4" operator="equal">
      <formula>#N/A</formula>
    </cfRule>
  </conditionalFormatting>
  <conditionalFormatting sqref="E2:G2">
    <cfRule type="cellIs" dxfId="609" priority="3" operator="equal">
      <formula>#N/A</formula>
    </cfRule>
  </conditionalFormatting>
  <conditionalFormatting sqref="H2">
    <cfRule type="cellIs" dxfId="608" priority="2" operator="equal">
      <formula>#N/A</formula>
    </cfRule>
  </conditionalFormatting>
  <conditionalFormatting sqref="I2">
    <cfRule type="cellIs" dxfId="6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4"/>
  <sheetViews>
    <sheetView workbookViewId="0">
      <selection activeCell="E24" sqref="E2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9" t="s">
        <v>32</v>
      </c>
      <c r="B4" s="210" t="s">
        <v>147</v>
      </c>
      <c r="C4" s="210"/>
      <c r="D4" s="210"/>
      <c r="E4" s="210" t="s">
        <v>301</v>
      </c>
      <c r="F4" s="210" t="s">
        <v>68</v>
      </c>
      <c r="G4" s="210"/>
      <c r="H4" s="210" t="s">
        <v>69</v>
      </c>
      <c r="I4" s="210"/>
      <c r="J4" s="210" t="s">
        <v>302</v>
      </c>
      <c r="K4" s="210" t="s">
        <v>303</v>
      </c>
      <c r="L4" s="210"/>
      <c r="M4" s="211" t="s">
        <v>108</v>
      </c>
      <c r="N4" s="140"/>
      <c r="U4" s="6" t="s">
        <v>178</v>
      </c>
      <c r="DA4" s="38" t="str">
        <f>+DA3</f>
        <v>ICICI Bank A/c.</v>
      </c>
    </row>
  </sheetData>
  <sheetProtection algorithmName="SHA-512" hashValue="GsVs+UUpq4qXkexVDtZX4bucg/ZWJ/enkiyYL65ni5pRAkiGeE35LBB8nVv9vH2836srPSr0fC2L6W7rJe9wfg==" saltValue="pj+t3mJp9mj600lRk0+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06" priority="10" operator="equal">
      <formula>#N/A</formula>
    </cfRule>
  </conditionalFormatting>
  <conditionalFormatting sqref="H1">
    <cfRule type="cellIs" dxfId="605" priority="9" operator="equal">
      <formula>#N/A</formula>
    </cfRule>
  </conditionalFormatting>
  <conditionalFormatting sqref="E1">
    <cfRule type="cellIs" dxfId="604" priority="8" operator="equal">
      <formula>#N/A</formula>
    </cfRule>
  </conditionalFormatting>
  <conditionalFormatting sqref="I1">
    <cfRule type="containsText" dxfId="603" priority="6" operator="containsText" text="All Data Import Successfully">
      <formula>NOT(ISERROR(SEARCH("All Data Import Successfully",I1)))</formula>
    </cfRule>
    <cfRule type="containsText" dxfId="602" priority="7" operator="containsText" text="Difference Entry">
      <formula>NOT(ISERROR(SEARCH("Difference Entry",I1)))</formula>
    </cfRule>
  </conditionalFormatting>
  <conditionalFormatting sqref="DG2">
    <cfRule type="cellIs" dxfId="601" priority="5" operator="equal">
      <formula>#N/A</formula>
    </cfRule>
  </conditionalFormatting>
  <conditionalFormatting sqref="DH2:DI2">
    <cfRule type="cellIs" dxfId="600" priority="4" operator="equal">
      <formula>#N/A</formula>
    </cfRule>
  </conditionalFormatting>
  <conditionalFormatting sqref="E2:G2">
    <cfRule type="cellIs" dxfId="599" priority="3" operator="equal">
      <formula>#N/A</formula>
    </cfRule>
  </conditionalFormatting>
  <conditionalFormatting sqref="H2">
    <cfRule type="cellIs" dxfId="598" priority="2" operator="equal">
      <formula>#N/A</formula>
    </cfRule>
  </conditionalFormatting>
  <conditionalFormatting sqref="I2">
    <cfRule type="cellIs" dxfId="59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showRuler="0" workbookViewId="0">
      <selection activeCell="E37" sqref="E3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22" t="s">
        <v>16</v>
      </c>
      <c r="B4" s="222" t="s">
        <v>325</v>
      </c>
      <c r="C4" s="222" t="s">
        <v>18</v>
      </c>
      <c r="D4" s="222"/>
      <c r="E4" s="222" t="s">
        <v>25</v>
      </c>
      <c r="F4" s="222" t="s">
        <v>326</v>
      </c>
      <c r="G4" s="222" t="s">
        <v>28</v>
      </c>
      <c r="H4" s="222" t="s">
        <v>327</v>
      </c>
      <c r="I4" s="222"/>
      <c r="J4" s="222" t="s">
        <v>328</v>
      </c>
      <c r="K4" s="223" t="s">
        <v>11</v>
      </c>
      <c r="U4" s="6" t="s">
        <v>178</v>
      </c>
      <c r="DA4" s="38" t="str">
        <f>+DA3</f>
        <v>ICICI Bank A/c.</v>
      </c>
    </row>
  </sheetData>
  <sheetProtection algorithmName="SHA-512" hashValue="/TxTNWcqg0ekW55AizqdL4By1Y0Sz/YqAan35ymYu5PKpeD5i8EfkCKyibZHuMoXmqq74UfRYtrXn6kvAPNQTg==" saltValue="L7g+5bTJNm6hoYmIuzz0v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596" priority="10" operator="equal">
      <formula>#N/A</formula>
    </cfRule>
  </conditionalFormatting>
  <conditionalFormatting sqref="H1">
    <cfRule type="cellIs" dxfId="595" priority="9" operator="equal">
      <formula>#N/A</formula>
    </cfRule>
  </conditionalFormatting>
  <conditionalFormatting sqref="E1">
    <cfRule type="cellIs" dxfId="594" priority="8" operator="equal">
      <formula>#N/A</formula>
    </cfRule>
  </conditionalFormatting>
  <conditionalFormatting sqref="I1">
    <cfRule type="containsText" dxfId="593" priority="6" operator="containsText" text="All Data Import Successfully">
      <formula>NOT(ISERROR(SEARCH("All Data Import Successfully",I1)))</formula>
    </cfRule>
    <cfRule type="containsText" dxfId="592" priority="7" operator="containsText" text="Difference Entry">
      <formula>NOT(ISERROR(SEARCH("Difference Entry",I1)))</formula>
    </cfRule>
  </conditionalFormatting>
  <conditionalFormatting sqref="DG2">
    <cfRule type="cellIs" dxfId="591" priority="5" operator="equal">
      <formula>#N/A</formula>
    </cfRule>
  </conditionalFormatting>
  <conditionalFormatting sqref="DH2:DI2">
    <cfRule type="cellIs" dxfId="590" priority="4" operator="equal">
      <formula>#N/A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bS3UiSNhUs79fBc4VlOBRUOK41xnW7NJomMylG28JYlOxM8tMoMcgi+ok6J8RB1AFu6nTcjZp9s0MPrW3ySzcA==" saltValue="dHBT87feQFFFkvPvkvS9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E23" sqref="E2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topLeftCell="CQ1" workbookViewId="0">
      <selection activeCell="DD3" sqref="DD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Axis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IF(H3="Cr",VALUE("0"),VALUE(SUBSTITUTE((TRIM(G3)),",","")))</f>
        <v>#VALUE!</v>
      </c>
      <c r="DE3" s="134" t="e">
        <f>IF(H3="Dr",VALUE("0"),VALUE(SUBSTITUTE((TRIM(G3)),",","")))</f>
        <v>#VALUE!</v>
      </c>
      <c r="DF3" s="133" t="str">
        <f>+TRIM(I3)</f>
        <v/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+DB3</f>
        <v>#VALUE!</v>
      </c>
      <c r="DI3" s="171" t="e">
        <f>+IF(DE3=0,"Suspance Payment","Suspance Receipt")</f>
        <v>#VALUE!</v>
      </c>
      <c r="DJ3" s="172">
        <f>+C3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304</v>
      </c>
      <c r="B4" s="213" t="s">
        <v>305</v>
      </c>
      <c r="C4" s="281" t="s">
        <v>306</v>
      </c>
      <c r="D4" s="281"/>
      <c r="E4" s="281"/>
      <c r="F4" s="213" t="s">
        <v>307</v>
      </c>
      <c r="G4" s="213" t="s">
        <v>308</v>
      </c>
      <c r="H4" s="213" t="s">
        <v>309</v>
      </c>
      <c r="I4" s="213" t="s">
        <v>310</v>
      </c>
      <c r="J4" s="214" t="s">
        <v>311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C4:E4"/>
  </mergeCell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234</v>
      </c>
      <c r="V1" s="95" t="s">
        <v>234</v>
      </c>
      <c r="W1" s="95" t="s">
        <v>235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2" t="str">
        <f>+$A$3</f>
        <v>IDBI Bank A/c.</v>
      </c>
      <c r="DB3" s="143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4" t="e">
        <f>+CONCATENATE(TEXT(DB3,"D"),"",TEXT(DB3,"MM"),"","/",SUBSTITUTE(DF3,",",""),"/",DK3)</f>
        <v>#VALUE!</v>
      </c>
      <c r="DD3" s="53" t="e">
        <f>IF(TRIM(J3)="Cr.",VALUE("0"),VALUE(SUBSTITUTE((TRIM(L3)),",","")))</f>
        <v>#VALUE!</v>
      </c>
      <c r="DE3" s="53" t="e">
        <f>IF(TRIM(J3)="Dr.",VALUE("0"),VALUE(SUBSTITUTE((TRIM(L3)),",","")))</f>
        <v>#VALUE!</v>
      </c>
      <c r="DF3" s="53" t="str">
        <f>IF(TRIM(M3)="","",VALUE(SUBSTITUTE((TRIM(M3)),",","")))</f>
        <v/>
      </c>
      <c r="DG3" s="145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6" t="e">
        <f>+DB3</f>
        <v>#VALUE!</v>
      </c>
      <c r="DI3" s="146" t="e">
        <f>+IF(DE3=0,"Suspance Payment","Suspance Receipt")</f>
        <v>#VALUE!</v>
      </c>
      <c r="DJ3" s="158" t="str">
        <f>+TRIM(F3)</f>
        <v/>
      </c>
      <c r="DK3" s="147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225</v>
      </c>
      <c r="B4" s="107" t="s">
        <v>226</v>
      </c>
      <c r="C4" s="107"/>
      <c r="D4" s="107" t="s">
        <v>227</v>
      </c>
      <c r="E4" s="107"/>
      <c r="F4" s="107" t="s">
        <v>228</v>
      </c>
      <c r="G4" s="107"/>
      <c r="H4" s="107"/>
      <c r="I4" s="107" t="s">
        <v>229</v>
      </c>
      <c r="J4" s="157" t="s">
        <v>230</v>
      </c>
      <c r="K4" s="104" t="s">
        <v>231</v>
      </c>
      <c r="L4" s="104" t="s">
        <v>232</v>
      </c>
      <c r="M4" s="105" t="s">
        <v>233</v>
      </c>
      <c r="N4" s="140"/>
      <c r="DA4" s="38" t="str">
        <f>+DA3</f>
        <v>IDBI Bank A/c.</v>
      </c>
    </row>
  </sheetData>
  <sheetProtection algorithmName="SHA-512" hashValue="0R3BEEJlpJEQBsvjLo/QQMK8CM3oc0+fsKog/4gDNCdeVIza1EAVEFmimfF19ERXbR6tFlftRHP7kMwZJ+Gjww==" saltValue="g01atvlJJfIBjqVqDAGp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D26" sqref="D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62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6" t="s">
        <v>265</v>
      </c>
      <c r="B4" s="186" t="s">
        <v>266</v>
      </c>
      <c r="C4" s="186" t="s">
        <v>267</v>
      </c>
      <c r="D4" s="282" t="s">
        <v>268</v>
      </c>
      <c r="E4" s="283"/>
      <c r="F4" s="187" t="s">
        <v>269</v>
      </c>
      <c r="G4" s="187" t="s">
        <v>270</v>
      </c>
      <c r="H4" s="188" t="s">
        <v>271</v>
      </c>
      <c r="I4" s="188" t="s">
        <v>272</v>
      </c>
      <c r="DA4" s="38" t="str">
        <f>+DA3</f>
        <v>IDBI Bank A/c.</v>
      </c>
    </row>
  </sheetData>
  <sheetProtection algorithmName="SHA-512" hashValue="Slqqchtzqkv3wORx8gyNdRqoCpIXh6yBztLLI7YXz0Pg4XAkwawtx3q/MCAnN1em6akh8bk84/GSkHckCKjyGA==" saltValue="kKF9omMUTcA7WKxGrlf5T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7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sheetProtection algorithmName="SHA-512" hashValue="0lBKlW5CHUF9mUlfQmrQR6+Kff37BtOtmXqpGTTlLOwPZxyExJ8pu3JC44F/CQUTg0xNtN3cyQ0TYLJiOPgB6w==" saltValue="oMbH7AZANEPSP7I9Saim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335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 xml:space="preserve">City Union Bank </v>
      </c>
      <c r="DB3" s="168" t="e">
        <f>VALUE(A3)</f>
        <v>#VALUE!</v>
      </c>
      <c r="DC3" s="169" t="e">
        <f>+CONCATENATE(TEXT(DB3,"D"),"",TEXT(DB3,"MM"),"","/",ABS(SUBSTITUTE(DF3,",","")),"/",DK3)</f>
        <v>#VALUE!</v>
      </c>
      <c r="DD3" s="134">
        <f>IF(TRIM(D3)="",VALUE("0"),VALUE(SUBSTITUTE((TRIM(D3)),",","")))</f>
        <v>0</v>
      </c>
      <c r="DE3" s="134">
        <f>IF(E3="",VALUE("0"),VALUE(SUBSTITUTE((E3),",","")))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 xml:space="preserve">City Union Bank </v>
      </c>
    </row>
  </sheetData>
  <sheetProtection algorithmName="SHA-512" hashValue="8cLa5UNiSgatqHh2d/nmKSnzv3qC1ub298ncYtfiiHor0LaEplBZXG6L0iseIqdJa0xGlId80vW6IUlaqqPMbw==" saltValue="+uW6r/ybQR4Xa1dpVYM1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93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>Indusind Bank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>
        <f>IF(TRIM(D3)="",VALUE("0"),VALUE(SUBSTITUTE((TRIM(D3)),"-","")))</f>
        <v>0</v>
      </c>
      <c r="DE3" s="134">
        <f>IF(E3="",VALUE("0"),VALUE(SUBSTITUTE((E3),"-","")))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>Indusind Bank</v>
      </c>
    </row>
    <row r="5" spans="1:130">
      <c r="A5" s="177"/>
      <c r="B5" s="177"/>
      <c r="C5" s="177"/>
      <c r="D5" s="177"/>
      <c r="E5" s="177"/>
    </row>
  </sheetData>
  <sheetProtection algorithmName="SHA-512" hashValue="qX3XUJA9j/c9ari497Xp5gMYG70liYHFL9fdUmTUy8OTJlUP6s1cdMb712hb+W2Boen5R8sEqkzaNaEvl5b20g==" saltValue="cYIquifPMOXkvqWfF0e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09" priority="26" operator="equal">
      <formula>#N/A</formula>
    </cfRule>
  </conditionalFormatting>
  <conditionalFormatting sqref="DG2">
    <cfRule type="cellIs" dxfId="508" priority="21" operator="equal">
      <formula>#N/A</formula>
    </cfRule>
  </conditionalFormatting>
  <conditionalFormatting sqref="DH2:DI2">
    <cfRule type="cellIs" dxfId="507" priority="20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250</v>
      </c>
      <c r="B4" s="104" t="s">
        <v>251</v>
      </c>
      <c r="C4" s="104" t="s">
        <v>252</v>
      </c>
      <c r="D4" s="104" t="s">
        <v>253</v>
      </c>
      <c r="E4" s="104" t="s">
        <v>254</v>
      </c>
      <c r="F4" s="104" t="s">
        <v>255</v>
      </c>
      <c r="G4" s="105" t="s">
        <v>241</v>
      </c>
      <c r="DA4" s="38" t="str">
        <f>+DA3</f>
        <v>HDFC Bank A/c.</v>
      </c>
    </row>
  </sheetData>
  <sheetProtection algorithmName="SHA-512" hashValue="aWLTkh1azkjbU3CSNCOZRf8IzAbI9voCV0aZBdoW+aP8eB6daxQbN/BofwjsI/LnI/NsfqzKucJoUoQa0eEOLQ==" saltValue="Wp7TC1yXN8BY66gLJsbOp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8" priority="11" operator="equal">
      <formula>#N/A</formula>
    </cfRule>
  </conditionalFormatting>
  <conditionalFormatting sqref="DG2">
    <cfRule type="cellIs" dxfId="497" priority="10" operator="equal">
      <formula>#N/A</formula>
    </cfRule>
  </conditionalFormatting>
  <conditionalFormatting sqref="DH2:DI2">
    <cfRule type="cellIs" dxfId="496" priority="9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9" t="s">
        <v>258</v>
      </c>
      <c r="B4" s="180" t="s">
        <v>259</v>
      </c>
      <c r="C4" s="181"/>
      <c r="D4" s="182" t="s">
        <v>260</v>
      </c>
      <c r="E4" s="183" t="s">
        <v>261</v>
      </c>
      <c r="F4" s="184" t="s">
        <v>262</v>
      </c>
      <c r="G4" s="184" t="s">
        <v>263</v>
      </c>
      <c r="H4" s="185" t="s">
        <v>264</v>
      </c>
      <c r="DA4" s="38" t="str">
        <f>+DA3</f>
        <v>AU SMALL FINANCE BANK</v>
      </c>
    </row>
  </sheetData>
  <sheetProtection algorithmName="SHA-512" hashValue="PAeQ79s/zIY0xcWssHpq36y7dnnGsJcoBf572CJI6BKCwUAB1VvdVxftMnR4E37wlSysUHi98S5HXvyrPYgK0A==" saltValue="bR21JtNUWZoZf4s6x1Yj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87" priority="22" operator="equal">
      <formula>#N/A</formula>
    </cfRule>
  </conditionalFormatting>
  <conditionalFormatting sqref="DG2">
    <cfRule type="cellIs" dxfId="486" priority="17" operator="equal">
      <formula>#N/A</formula>
    </cfRule>
  </conditionalFormatting>
  <conditionalFormatting sqref="DH2:DI2">
    <cfRule type="cellIs" dxfId="485" priority="16" operator="equal">
      <formula>#N/A</formula>
    </cfRule>
  </conditionalFormatting>
  <conditionalFormatting sqref="I1">
    <cfRule type="cellIs" dxfId="484" priority="12" operator="equal">
      <formula>#N/A</formula>
    </cfRule>
  </conditionalFormatting>
  <conditionalFormatting sqref="H1">
    <cfRule type="cellIs" dxfId="483" priority="11" operator="equal">
      <formula>#N/A</formula>
    </cfRule>
  </conditionalFormatting>
  <conditionalFormatting sqref="E1">
    <cfRule type="cellIs" dxfId="482" priority="10" operator="equal">
      <formula>#N/A</formula>
    </cfRule>
  </conditionalFormatting>
  <conditionalFormatting sqref="I1">
    <cfRule type="containsText" dxfId="481" priority="8" operator="containsText" text="All Data Import Successfully">
      <formula>NOT(ISERROR(SEARCH("All Data Import Successfully",I1)))</formula>
    </cfRule>
    <cfRule type="containsText" dxfId="480" priority="9" operator="containsText" text="Difference Entry">
      <formula>NOT(ISERROR(SEARCH("Difference Entry",I1)))</formula>
    </cfRule>
  </conditionalFormatting>
  <conditionalFormatting sqref="I2">
    <cfRule type="cellIs" dxfId="479" priority="4" operator="equal">
      <formula>#N/A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SBI Bank A/c.</v>
      </c>
      <c r="DB3" s="168" t="e">
        <f>IF(ISBLANK(H3),TEXT(DATE(RIGHT(A3,4), MONTH(DATEVALUE(MID(A3,4,3) &amp; " 1")), LEFT(A3,2)), "dd/MM/yyyy"),VALUE(A3))</f>
        <v>#VALUE!</v>
      </c>
      <c r="DC3" s="169" t="e">
        <f>+CONCATENATE(TEXT(DB3,"D"),"",TEXT(DB3,"MM"),"","/",SUBSTITUTE(DF3,",",""),"/",DK3)</f>
        <v>#VALUE!</v>
      </c>
      <c r="DD3" s="134">
        <f>IF(ISBLANK(H3),IF(E3="",VALUE("0"),VALUE(SUBSTITUTE((TRIM(E3)),",",""))),IF(F3="",VALUE("0"),VALUE(SUBSTITUTE((TRIM(F3)),",",""))))</f>
        <v>0</v>
      </c>
      <c r="DE3" s="134">
        <f>IF(ISBLANK(H3),IF(F3="",VALUE("0"),VALUE(SUBSTITUTE((TRIM(F3)),",",""))),IF(G3="",VALUE("0"),VALUE(SUBSTITUTE((TRIM(G3)),",",""))))</f>
        <v>0</v>
      </c>
      <c r="DF3" s="134">
        <f>IF(ISBLANK(H3),IF(G3="",VALUE("0"),VALUE(SUBSTITUTE((TRIM(G3)),",",""))),IF(H3="",VALUE("0"),VALUE(SUBSTITUTE((TRIM(H3)),",",""))))</f>
        <v>0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IF(ISBLANK(H3),TEXT(DATE(RIGHT(A3,4), MONTH(DATEVALUE(MID(A3,4,3) &amp; " 1")), LEFT(A3,2)), "dd/MM/yyyy"),VALUE(A3))</f>
        <v>#VALUE!</v>
      </c>
      <c r="DI3" s="171" t="str">
        <f>+IF(DE3=0,"Suspance Payment","Suspance Receipt")</f>
        <v>Suspance Payment</v>
      </c>
      <c r="DJ3" s="176" t="str">
        <f>+CONCATENATE(C3," ", D3)</f>
        <v xml:space="preserve"> 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4" t="s">
        <v>242</v>
      </c>
      <c r="B4" s="175" t="s">
        <v>243</v>
      </c>
      <c r="C4" s="174" t="s">
        <v>244</v>
      </c>
      <c r="D4" s="174" t="s">
        <v>245</v>
      </c>
      <c r="E4" s="174" t="s">
        <v>246</v>
      </c>
      <c r="F4" s="175" t="s">
        <v>247</v>
      </c>
      <c r="G4" s="175" t="s">
        <v>248</v>
      </c>
      <c r="H4" s="175" t="s">
        <v>249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75" priority="11" operator="equal">
      <formula>#N/A</formula>
    </cfRule>
  </conditionalFormatting>
  <conditionalFormatting sqref="DG2">
    <cfRule type="cellIs" dxfId="474" priority="10" operator="equal">
      <formula>#N/A</formula>
    </cfRule>
  </conditionalFormatting>
  <conditionalFormatting sqref="DH2:DI2">
    <cfRule type="cellIs" dxfId="473" priority="9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5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91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192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142</v>
      </c>
      <c r="B3" s="193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str">
        <f>IF(L3="","",VALUE(SUBSTITUTE(SUBSTITUTE((L3),",",""),"Cr","")))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9" t="s">
        <v>273</v>
      </c>
      <c r="B4" s="194" t="s">
        <v>274</v>
      </c>
      <c r="C4" s="190"/>
      <c r="D4" s="190" t="s">
        <v>275</v>
      </c>
      <c r="E4" s="190"/>
      <c r="F4" s="190" t="s">
        <v>276</v>
      </c>
      <c r="G4" s="190"/>
      <c r="H4" s="190" t="s">
        <v>277</v>
      </c>
      <c r="I4" s="190"/>
      <c r="J4" s="190" t="s">
        <v>278</v>
      </c>
      <c r="K4" s="190"/>
      <c r="L4" s="189" t="s">
        <v>279</v>
      </c>
      <c r="DA4" s="38" t="str">
        <f>+DA3</f>
        <v>Union Bank of India A/c.</v>
      </c>
    </row>
  </sheetData>
  <sheetProtection algorithmName="SHA-512" hashValue="bA1j0Z3wAZvcxR1aMp4Bj0ybcJ+cN+EgOEaJYCyZWVoVy4z+F4iei61odbeNUSx0+yXJUpodr8Y2jD8nVCr6+A==" saltValue="SQmmStMTB1QelTXOV3z8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64" priority="18" operator="equal">
      <formula>#N/A</formula>
    </cfRule>
  </conditionalFormatting>
  <conditionalFormatting sqref="DG2">
    <cfRule type="cellIs" dxfId="463" priority="13" operator="equal">
      <formula>#N/A</formula>
    </cfRule>
  </conditionalFormatting>
  <conditionalFormatting sqref="DH2:DI2">
    <cfRule type="cellIs" dxfId="462" priority="12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281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 xml:space="preserve">Union Bank </v>
      </c>
      <c r="DB3" s="168">
        <f>VALUE(B3)</f>
        <v>0</v>
      </c>
      <c r="DC3" s="169" t="e">
        <f>+CONCATENATE(TEXT(DB3,"D"),"",TEXT(DB3,"MM"),"","/",SUBSTITUTE(DF3,",",""),"/",DK3)</f>
        <v>#VALUE!</v>
      </c>
      <c r="DD3" s="134" t="e">
        <f>IF(RIGHT(E3,4)="(Cr)",VALUE("0"),VALUE(SUBSTITUTE(SUBSTITUTE((TRIM(E3)),",",""),"(Dr)","")))</f>
        <v>#VALUE!</v>
      </c>
      <c r="DE3" s="134" t="e">
        <f>IF(RIGHT(E3,4)="(Dr)",VALUE("0"),VALUE(SUBSTITUTE(SUBSTITUTE((E3),",",""),"(Cr)","")))</f>
        <v>#VALUE!</v>
      </c>
      <c r="DF3" s="133" t="e">
        <f>+IF(RIGHT(F3,4)="(Dr)",VALUE(SUBSTITUTE(SUBSTITUTE(SUBSTITUTE((F3),",",""),"(Cr)",""),"(Dr)",""))*-1,VALUE(SUBSTITUTE(SUBSTITUTE(SUBSTITUTE((F3),",",""),"(Cr)",""),"(Dr)","")))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>
        <f>+DB3</f>
        <v>0</v>
      </c>
      <c r="DI3" s="171" t="e">
        <f>+IF(DE3=0,"Suspance Payment","Suspance Receipt")</f>
        <v>#VALUE!</v>
      </c>
      <c r="DJ3" s="172">
        <f>+D3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6" t="s">
        <v>280</v>
      </c>
      <c r="B4" s="196" t="s">
        <v>237</v>
      </c>
      <c r="C4" s="164" t="s">
        <v>239</v>
      </c>
      <c r="D4" s="164" t="s">
        <v>238</v>
      </c>
      <c r="E4" s="164" t="s">
        <v>240</v>
      </c>
      <c r="F4" s="197" t="s">
        <v>241</v>
      </c>
      <c r="DA4" s="38" t="str">
        <f>+DA3</f>
        <v xml:space="preserve">Union Bank </v>
      </c>
    </row>
    <row r="22" ht="15" customHeight="1"/>
  </sheetData>
  <sheetProtection algorithmName="SHA-512" hashValue="xBj+I+lv1LCNpLdoJJgWJJASiW08UYc2dfusMa/VQgewxrF1x+cUGQKo4kw15kL+FR3CM4guH6Z+NHVLUN+ZxQ==" saltValue="28jhKHbA1TlX6cNVoCFz5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Kotak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IF(RIGHT(D3,4)="(Cr)",VALUE("0"),VALUE(SUBSTITUTE(SUBSTITUTE((D3),",",""),"(Dr)","")))</f>
        <v>#VALUE!</v>
      </c>
      <c r="DE3" s="134" t="e">
        <f>IF(RIGHT(D3,4)="(Dr)",VALUE("0"),VALUE(SUBSTITUTE(SUBSTITUTE((D3),",",""),"(Cr)","")))</f>
        <v>#VALUE!</v>
      </c>
      <c r="DF3" s="133" t="e">
        <f>+IF(RIGHT(E3,4)="(Dr)",VALUE(SUBSTITUTE(SUBSTITUTE(SUBSTITUTE((E3),",",""),"(Cr)",""),"(Dr)",""))*-1,VALUE(SUBSTITUTE(SUBSTITUTE(SUBSTITUTE((E3),",",""),"(Cr)",""),"(Dr)","")))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+DB3</f>
        <v>#VALUE!</v>
      </c>
      <c r="DI3" s="171" t="e">
        <f>+IF(DE3=0,"Suspance Payment","Suspance Receipt")</f>
        <v>#VALUE!</v>
      </c>
      <c r="DJ3" s="172" t="str">
        <f>+TRIM(B3)</f>
        <v/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3" t="s">
        <v>237</v>
      </c>
      <c r="B4" s="164" t="s">
        <v>238</v>
      </c>
      <c r="C4" s="165" t="s">
        <v>239</v>
      </c>
      <c r="D4" s="165" t="s">
        <v>240</v>
      </c>
      <c r="E4" s="166" t="s">
        <v>241</v>
      </c>
      <c r="DA4" s="38" t="str">
        <f>+DA3</f>
        <v>Kotak Bank A/c.</v>
      </c>
    </row>
    <row r="21" ht="15" customHeight="1"/>
  </sheetData>
  <sheetProtection algorithmName="SHA-512" hashValue="5CNZXa2dZGBDnlklihUNesqeeyt2YpqHy6ZUDvb+n3CUJmAEPzCT0QXifxgLVe9FlYEY52XwIRuGGd672rJHZg==" saltValue="dlO1aoGp0b6zrJRRpTZoW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2" t="s">
        <v>300</v>
      </c>
      <c r="B4" s="203" t="s">
        <v>294</v>
      </c>
      <c r="C4" s="284" t="s">
        <v>295</v>
      </c>
      <c r="D4" s="284"/>
      <c r="E4" s="285" t="s">
        <v>296</v>
      </c>
      <c r="F4" s="285"/>
      <c r="G4" s="204" t="s">
        <v>297</v>
      </c>
      <c r="H4" s="205" t="s">
        <v>298</v>
      </c>
      <c r="I4" s="206" t="s">
        <v>299</v>
      </c>
      <c r="DA4" s="38" t="str">
        <f>+DA3</f>
        <v>Kotak Bank A/c.</v>
      </c>
    </row>
  </sheetData>
  <sheetProtection algorithmName="SHA-512" hashValue="UjnUyCGJgn93vWEQlq1BkRgBbInDTzBbJ8smoNl1nZjdxenYkpplPJnS04cjmuTghCEtKOc0yuHx5/x0GcdnmA==" saltValue="pw1fsLgQHToj8u4o4AP19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32</v>
      </c>
      <c r="B4" s="220"/>
      <c r="C4" s="220" t="s">
        <v>321</v>
      </c>
      <c r="D4" s="220" t="s">
        <v>322</v>
      </c>
      <c r="E4" s="220"/>
      <c r="F4" s="220" t="s">
        <v>323</v>
      </c>
      <c r="G4" s="220" t="s">
        <v>324</v>
      </c>
      <c r="H4" s="221" t="s">
        <v>249</v>
      </c>
      <c r="DA4" s="38" t="str">
        <f>+DA3</f>
        <v>Kotak Bank A/c.</v>
      </c>
    </row>
  </sheetData>
  <sheetProtection algorithmName="SHA-512" hashValue="qn3BBlbUOKWs7TKLEPsJjsFv/J81BL82onk+JRl+7TA1D4E/bg3OmjNSGJSx+ykmqOXPwUnGjDyYnTQSpwBGtQ==" saltValue="haqFUhLjrKRSz/1E95Kx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312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5" t="s">
        <v>313</v>
      </c>
      <c r="B4" s="216" t="s">
        <v>314</v>
      </c>
      <c r="C4" s="216" t="s">
        <v>315</v>
      </c>
      <c r="D4" s="216" t="s">
        <v>316</v>
      </c>
      <c r="E4" s="216" t="s">
        <v>317</v>
      </c>
      <c r="F4" s="217" t="s">
        <v>318</v>
      </c>
      <c r="G4" s="216" t="s">
        <v>319</v>
      </c>
      <c r="H4" s="218" t="s">
        <v>320</v>
      </c>
      <c r="DA4" s="38" t="str">
        <f>+DA3</f>
        <v>CENTRAL BANK OF INDIA</v>
      </c>
    </row>
  </sheetData>
  <sheetProtection algorithmName="SHA-512" hashValue="Xq848Y8JaOoECmUojvs3nF9wmoqKZsAF3RFvMNfnpRmtXXrv0nRyD0JSk9b2CcjJUs26jXnArEYgt1W2LQyr1Q==" saltValue="fv3hN+1P92u5HfP4fiUI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288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8" t="s">
        <v>282</v>
      </c>
      <c r="B4" s="199" t="s">
        <v>283</v>
      </c>
      <c r="C4" s="199" t="s">
        <v>284</v>
      </c>
      <c r="D4" s="199" t="s">
        <v>285</v>
      </c>
      <c r="E4" s="199" t="s">
        <v>286</v>
      </c>
      <c r="F4" s="199" t="s">
        <v>287</v>
      </c>
      <c r="DA4" s="38" t="str">
        <f>+DA3</f>
        <v xml:space="preserve">The Varachha Co.Op. Bank </v>
      </c>
    </row>
  </sheetData>
  <sheetProtection password="C282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98" priority="11" operator="equal">
      <formula>#N/A</formula>
    </cfRule>
  </conditionalFormatting>
  <conditionalFormatting sqref="DG2">
    <cfRule type="cellIs" dxfId="397" priority="10" operator="equal">
      <formula>#N/A</formula>
    </cfRule>
  </conditionalFormatting>
  <conditionalFormatting sqref="DH2:DI2">
    <cfRule type="cellIs" dxfId="396" priority="9" operator="equal">
      <formula>#N/A</formula>
    </cfRule>
  </conditionalFormatting>
  <conditionalFormatting sqref="I1:I2">
    <cfRule type="cellIs" dxfId="395" priority="8" operator="equal">
      <formula>#N/A</formula>
    </cfRule>
  </conditionalFormatting>
  <conditionalFormatting sqref="H1">
    <cfRule type="cellIs" dxfId="394" priority="7" operator="equal">
      <formula>#N/A</formula>
    </cfRule>
  </conditionalFormatting>
  <conditionalFormatting sqref="E1">
    <cfRule type="cellIs" dxfId="393" priority="6" operator="equal">
      <formula>#N/A</formula>
    </cfRule>
  </conditionalFormatting>
  <conditionalFormatting sqref="I1">
    <cfRule type="containsText" dxfId="392" priority="4" operator="containsText" text="All Data Import Successfully">
      <formula>NOT(ISERROR(SEARCH("All Data Import Successfully",I1)))</formula>
    </cfRule>
    <cfRule type="containsText" dxfId="391" priority="5" operator="containsText" text="Difference Entry">
      <formula>NOT(ISERROR(SEARCH("Difference Entry",I1)))</formula>
    </cfRule>
  </conditionalFormatting>
  <conditionalFormatting sqref="E2:G2">
    <cfRule type="cellIs" dxfId="390" priority="3" operator="equal">
      <formula>#N/A</formula>
    </cfRule>
  </conditionalFormatting>
  <conditionalFormatting sqref="H2">
    <cfRule type="cellIs" dxfId="389" priority="2" operator="equal">
      <formula>#N/A</formula>
    </cfRule>
  </conditionalFormatting>
  <conditionalFormatting sqref="I2">
    <cfRule type="cellIs" dxfId="38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8" t="s">
        <v>413</v>
      </c>
      <c r="B4" s="258" t="s">
        <v>243</v>
      </c>
      <c r="C4" s="259" t="s">
        <v>321</v>
      </c>
      <c r="D4" s="260"/>
      <c r="E4" s="259" t="s">
        <v>414</v>
      </c>
      <c r="F4" s="260"/>
      <c r="G4" s="258" t="s">
        <v>247</v>
      </c>
      <c r="H4" s="258" t="s">
        <v>248</v>
      </c>
      <c r="I4" s="259" t="s">
        <v>249</v>
      </c>
      <c r="DA4" s="38" t="str">
        <f>+DA3</f>
        <v>Bank Name</v>
      </c>
    </row>
  </sheetData>
  <sheetProtection algorithmName="SHA-512" hashValue="KcqYo92kl+fnTnFq5lFoDEWYDh5ogG6ixMe1/OirR7Zi6VL0LJuyAoF6mD/ROFZbMvbGTL326Er5JabcCxGLAQ==" saltValue="4GNpRm1qfkxVbkLWFFBf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87" priority="10" operator="equal">
      <formula>#N/A</formula>
    </cfRule>
  </conditionalFormatting>
  <conditionalFormatting sqref="H1">
    <cfRule type="cellIs" dxfId="386" priority="9" operator="equal">
      <formula>#N/A</formula>
    </cfRule>
  </conditionalFormatting>
  <conditionalFormatting sqref="E1">
    <cfRule type="cellIs" dxfId="385" priority="8" operator="equal">
      <formula>#N/A</formula>
    </cfRule>
  </conditionalFormatting>
  <conditionalFormatting sqref="I1">
    <cfRule type="containsText" dxfId="384" priority="6" operator="containsText" text="All Data Import Successfully">
      <formula>NOT(ISERROR(SEARCH("All Data Import Successfully",I1)))</formula>
    </cfRule>
    <cfRule type="containsText" dxfId="383" priority="7" operator="containsText" text="Difference Entry">
      <formula>NOT(ISERROR(SEARCH("Difference Entry",I1)))</formula>
    </cfRule>
  </conditionalFormatting>
  <conditionalFormatting sqref="DG2">
    <cfRule type="cellIs" dxfId="382" priority="5" operator="equal">
      <formula>#N/A</formula>
    </cfRule>
  </conditionalFormatting>
  <conditionalFormatting sqref="DH2:DI2">
    <cfRule type="cellIs" dxfId="381" priority="4" operator="equal">
      <formula>#N/A</formula>
    </cfRule>
  </conditionalFormatting>
  <conditionalFormatting sqref="E2:G2">
    <cfRule type="cellIs" dxfId="380" priority="3" operator="equal">
      <formula>#N/A</formula>
    </cfRule>
  </conditionalFormatting>
  <conditionalFormatting sqref="H2">
    <cfRule type="cellIs" dxfId="379" priority="2" operator="equal">
      <formula>#N/A</formula>
    </cfRule>
  </conditionalFormatting>
  <conditionalFormatting sqref="I2">
    <cfRule type="cellIs" dxfId="37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 t="s">
        <v>210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9" t="s">
        <v>23</v>
      </c>
      <c r="B4" s="99" t="s">
        <v>24</v>
      </c>
      <c r="C4" s="99" t="s">
        <v>18</v>
      </c>
      <c r="D4" s="99" t="s">
        <v>25</v>
      </c>
      <c r="E4" s="99" t="s">
        <v>26</v>
      </c>
      <c r="F4" s="99" t="s">
        <v>27</v>
      </c>
      <c r="G4" s="99" t="s">
        <v>28</v>
      </c>
      <c r="H4" s="99" t="s">
        <v>29</v>
      </c>
      <c r="I4" s="99" t="s">
        <v>30</v>
      </c>
      <c r="J4" s="99" t="s">
        <v>31</v>
      </c>
      <c r="U4" s="6" t="s">
        <v>178</v>
      </c>
      <c r="DA4" s="38" t="str">
        <f>+DA3</f>
        <v>ICICI Bank A/c.</v>
      </c>
    </row>
  </sheetData>
  <sheetProtection algorithmName="SHA-512" hashValue="gM+DRa88zyPsaFkzvuISBSAJtVKaLleOCvX05v9QwDkbzN8I2wo8zm2bCS7pXwBrrUMNMHRrH77qkrdCls/U3Q==" saltValue="5n4yCg8z7P7jRp4/KAmrP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77" priority="10" operator="equal">
      <formula>#N/A</formula>
    </cfRule>
  </conditionalFormatting>
  <conditionalFormatting sqref="H1">
    <cfRule type="cellIs" dxfId="376" priority="9" operator="equal">
      <formula>#N/A</formula>
    </cfRule>
  </conditionalFormatting>
  <conditionalFormatting sqref="E1">
    <cfRule type="cellIs" dxfId="375" priority="8" operator="equal">
      <formula>#N/A</formula>
    </cfRule>
  </conditionalFormatting>
  <conditionalFormatting sqref="I1">
    <cfRule type="containsText" dxfId="374" priority="6" operator="containsText" text="All Data Import Successfully">
      <formula>NOT(ISERROR(SEARCH("All Data Import Successfully",I1)))</formula>
    </cfRule>
    <cfRule type="containsText" dxfId="373" priority="7" operator="containsText" text="Difference Entry">
      <formula>NOT(ISERROR(SEARCH("Difference Entry",I1)))</formula>
    </cfRule>
  </conditionalFormatting>
  <conditionalFormatting sqref="DG2">
    <cfRule type="cellIs" dxfId="372" priority="5" operator="equal">
      <formula>#N/A</formula>
    </cfRule>
  </conditionalFormatting>
  <conditionalFormatting sqref="DH2:DI2">
    <cfRule type="cellIs" dxfId="371" priority="4" operator="equal">
      <formula>#N/A</formula>
    </cfRule>
  </conditionalFormatting>
  <conditionalFormatting sqref="E2:G2">
    <cfRule type="cellIs" dxfId="370" priority="3" operator="equal">
      <formula>#N/A</formula>
    </cfRule>
  </conditionalFormatting>
  <conditionalFormatting sqref="H2">
    <cfRule type="cellIs" dxfId="369" priority="2" operator="equal">
      <formula>#N/A</formula>
    </cfRule>
  </conditionalFormatting>
  <conditionalFormatting sqref="I2">
    <cfRule type="cellIs" dxfId="3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6" t="s">
        <v>136</v>
      </c>
      <c r="B4" s="66" t="s">
        <v>18</v>
      </c>
      <c r="C4" s="66" t="s">
        <v>25</v>
      </c>
      <c r="D4" s="66" t="s">
        <v>137</v>
      </c>
      <c r="E4" s="66" t="s">
        <v>28</v>
      </c>
      <c r="F4" s="66" t="s">
        <v>138</v>
      </c>
      <c r="G4" s="66" t="s">
        <v>139</v>
      </c>
      <c r="H4" s="66" t="s">
        <v>140</v>
      </c>
      <c r="I4" s="1"/>
      <c r="J4" s="1"/>
      <c r="DA4" s="38" t="str">
        <f>+DA3</f>
        <v>ICICI Bank A/c. (Saving)</v>
      </c>
    </row>
  </sheetData>
  <sheetProtection algorithmName="SHA-512" hashValue="IXnRLeTgSbLED52RuYzvBJNMLHzV2nKSrPXMjtrN1p3Wk5zskYsHlykDcMMWa20hfvwAl9uNHWeeDSfC+0/q3Q==" saltValue="tuln4wAvrdz8mK+QU6xV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67" priority="10" operator="equal">
      <formula>#N/A</formula>
    </cfRule>
  </conditionalFormatting>
  <conditionalFormatting sqref="H1">
    <cfRule type="cellIs" dxfId="366" priority="9" operator="equal">
      <formula>#N/A</formula>
    </cfRule>
  </conditionalFormatting>
  <conditionalFormatting sqref="E1">
    <cfRule type="cellIs" dxfId="365" priority="8" operator="equal">
      <formula>#N/A</formula>
    </cfRule>
  </conditionalFormatting>
  <conditionalFormatting sqref="I1">
    <cfRule type="containsText" dxfId="364" priority="6" operator="containsText" text="All Data Import Successfully">
      <formula>NOT(ISERROR(SEARCH("All Data Import Successfully",I1)))</formula>
    </cfRule>
    <cfRule type="containsText" dxfId="363" priority="7" operator="containsText" text="Difference Entry">
      <formula>NOT(ISERROR(SEARCH("Difference Entry",I1)))</formula>
    </cfRule>
  </conditionalFormatting>
  <conditionalFormatting sqref="DG2">
    <cfRule type="cellIs" dxfId="362" priority="5" operator="equal">
      <formula>#N/A</formula>
    </cfRule>
  </conditionalFormatting>
  <conditionalFormatting sqref="DH2:DI2">
    <cfRule type="cellIs" dxfId="361" priority="4" operator="equal">
      <formula>#N/A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vBpMGl8DQLEIEOycR5ybohKGfl33jYM9riKNXN0gqDcTfQxk/MuNU4K+KPOOXois5r8U2awNIImhv5Uyv4vIgQ==" saltValue="Xfi3TvnmCifdGiIqXyiu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78</v>
      </c>
      <c r="B4" s="104" t="s">
        <v>32</v>
      </c>
      <c r="C4" s="104" t="s">
        <v>19</v>
      </c>
      <c r="D4" s="104" t="s">
        <v>79</v>
      </c>
      <c r="E4" s="104" t="s">
        <v>80</v>
      </c>
      <c r="F4" s="104" t="s">
        <v>81</v>
      </c>
      <c r="G4" s="104" t="s">
        <v>11</v>
      </c>
      <c r="H4" s="105" t="s">
        <v>81</v>
      </c>
      <c r="DA4" s="38" t="str">
        <f>+DA3</f>
        <v>Kotak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46" priority="18" operator="equal">
      <formula>#N/A</formula>
    </cfRule>
  </conditionalFormatting>
  <conditionalFormatting sqref="DG2">
    <cfRule type="cellIs" dxfId="345" priority="13" operator="equal">
      <formula>#N/A</formula>
    </cfRule>
  </conditionalFormatting>
  <conditionalFormatting sqref="DH2:DI2">
    <cfRule type="cellIs" dxfId="344" priority="12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9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5"/>
      <c r="DM3" s="31"/>
      <c r="DN3" s="56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4" t="s">
        <v>78</v>
      </c>
      <c r="B4" s="54" t="s">
        <v>25</v>
      </c>
      <c r="C4" s="54" t="s">
        <v>18</v>
      </c>
      <c r="D4" s="54" t="s">
        <v>19</v>
      </c>
      <c r="E4" s="54" t="s">
        <v>122</v>
      </c>
      <c r="F4" s="54" t="s">
        <v>100</v>
      </c>
      <c r="G4" s="54" t="s">
        <v>22</v>
      </c>
      <c r="H4" s="54" t="s">
        <v>11</v>
      </c>
      <c r="I4" s="54" t="s">
        <v>81</v>
      </c>
      <c r="DA4" s="38" t="str">
        <f>+DA3</f>
        <v>Kotak Bank A/c.</v>
      </c>
      <c r="DL4" s="55">
        <f>+DD4+DE4</f>
        <v>0</v>
      </c>
    </row>
  </sheetData>
  <sheetProtection algorithmName="SHA-512" hashValue="2tjccffiKkbzTCdCOeCTdkkzIacNxhwIew0X7D8KAdbhb4A8MQObPtKi+81TMzPXDSuoSo02LZj3TQK3a+pF5Q==" saltValue="7nBZ4y4W5ArlCV7aWMF0s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35" priority="22" operator="equal">
      <formula>#N/A</formula>
    </cfRule>
  </conditionalFormatting>
  <conditionalFormatting sqref="DH2:DI2">
    <cfRule type="cellIs" dxfId="334" priority="21" operator="equal">
      <formula>#N/A</formula>
    </cfRule>
  </conditionalFormatting>
  <conditionalFormatting sqref="E3">
    <cfRule type="cellIs" dxfId="333" priority="17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213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sheetProtection algorithmName="SHA-512" hashValue="Rsw1N/NP/CZWClfUSLiPy8AzPNcBHgSKO2JoGfhTeVstlm/z8NUVqPWTsAPq+d6jsKBOnW5SYgM5czluD5Xq1g==" saltValue="gZHdGl6xBJ8DVDH3m7Y22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8" operator="equal">
      <formula>#N/A</formula>
    </cfRule>
  </conditionalFormatting>
  <conditionalFormatting sqref="DG2">
    <cfRule type="cellIs" dxfId="323" priority="13" operator="equal">
      <formula>#N/A</formula>
    </cfRule>
  </conditionalFormatting>
  <conditionalFormatting sqref="DH2:DI2">
    <cfRule type="cellIs" dxfId="322" priority="12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C18" sqref="C1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9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334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40" t="s">
        <v>333</v>
      </c>
      <c r="B4" s="241" t="s">
        <v>39</v>
      </c>
      <c r="C4" s="241" t="s">
        <v>40</v>
      </c>
      <c r="D4" s="241" t="s">
        <v>41</v>
      </c>
      <c r="E4" s="241" t="s">
        <v>42</v>
      </c>
      <c r="F4" s="241" t="s">
        <v>43</v>
      </c>
      <c r="G4" s="242" t="s">
        <v>44</v>
      </c>
      <c r="H4" s="223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13" priority="11" operator="equal">
      <formula>#N/A</formula>
    </cfRule>
  </conditionalFormatting>
  <conditionalFormatting sqref="DG2">
    <cfRule type="cellIs" dxfId="312" priority="10" operator="equal">
      <formula>#N/A</formula>
    </cfRule>
  </conditionalFormatting>
  <conditionalFormatting sqref="DH2:DI2">
    <cfRule type="cellIs" dxfId="311" priority="9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C36" sqref="C3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109</v>
      </c>
      <c r="B3" s="59"/>
      <c r="C3" s="58"/>
      <c r="D3" s="58" t="s">
        <v>213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18</v>
      </c>
      <c r="C4" s="104" t="s">
        <v>40</v>
      </c>
      <c r="D4" s="104" t="s">
        <v>188</v>
      </c>
      <c r="E4" s="104" t="s">
        <v>189</v>
      </c>
      <c r="F4" s="104" t="s">
        <v>190</v>
      </c>
      <c r="G4" s="104" t="s">
        <v>108</v>
      </c>
      <c r="H4" s="105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+aKhEqtjRK/hHukcRqaeU2+v5p754nvLGwcMNCO+oGAoWZ1lV0G9wQH9epnvTF6shNBJssW/tZiWZ5AT3asBog==" saltValue="9tcxIwhYtqgLOqU3O3Ec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17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71</v>
      </c>
      <c r="B3" s="59"/>
      <c r="C3" s="58"/>
      <c r="D3" s="58" t="s">
        <v>204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20" t="s">
        <v>25</v>
      </c>
      <c r="B4" s="121" t="s">
        <v>18</v>
      </c>
      <c r="C4" s="121" t="s">
        <v>67</v>
      </c>
      <c r="D4" s="121" t="s">
        <v>19</v>
      </c>
      <c r="E4" s="121" t="s">
        <v>68</v>
      </c>
      <c r="F4" s="121" t="s">
        <v>69</v>
      </c>
      <c r="G4" s="122" t="s">
        <v>70</v>
      </c>
      <c r="DA4" s="38" t="str">
        <f>+DA3</f>
        <v xml:space="preserve">Yesh Bank </v>
      </c>
    </row>
  </sheetData>
  <sheetProtection algorithmName="SHA-512" hashValue="eiy8Xgn/LFy/8wXgvs5jFKWnGjurG+Eb2EvfJ7XYjp0n4gamhLEtJkhkKyJgDFncpWps73ZnR7hS5T4DSXqbQQ==" saltValue="GEQEi8+nEJ8xFN+qNexS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91" priority="18" operator="equal">
      <formula>#N/A</formula>
    </cfRule>
  </conditionalFormatting>
  <conditionalFormatting sqref="DG2">
    <cfRule type="cellIs" dxfId="290" priority="13" operator="equal">
      <formula>#N/A</formula>
    </cfRule>
  </conditionalFormatting>
  <conditionalFormatting sqref="DH2:DI2">
    <cfRule type="cellIs" dxfId="289" priority="12" operator="equal">
      <formula>#N/A</formula>
    </cfRule>
  </conditionalFormatting>
  <conditionalFormatting sqref="I1:I2">
    <cfRule type="cellIs" dxfId="288" priority="8" operator="equal">
      <formula>#N/A</formula>
    </cfRule>
  </conditionalFormatting>
  <conditionalFormatting sqref="H1">
    <cfRule type="cellIs" dxfId="287" priority="7" operator="equal">
      <formula>#N/A</formula>
    </cfRule>
  </conditionalFormatting>
  <conditionalFormatting sqref="E1">
    <cfRule type="cellIs" dxfId="286" priority="6" operator="equal">
      <formula>#N/A</formula>
    </cfRule>
  </conditionalFormatting>
  <conditionalFormatting sqref="I1">
    <cfRule type="containsText" dxfId="285" priority="4" operator="containsText" text="All Data Import Successfully">
      <formula>NOT(ISERROR(SEARCH("All Data Import Successfully",I1)))</formula>
    </cfRule>
    <cfRule type="containsText" dxfId="284" priority="5" operator="containsText" text="Difference Entry">
      <formula>NOT(ISERROR(SEARCH("Difference Entry",I1)))</formula>
    </cfRule>
  </conditionalFormatting>
  <conditionalFormatting sqref="E2:G2">
    <cfRule type="cellIs" dxfId="283" priority="3" operator="equal">
      <formula>#N/A</formula>
    </cfRule>
  </conditionalFormatting>
  <conditionalFormatting sqref="H2">
    <cfRule type="cellIs" dxfId="282" priority="2" operator="equal">
      <formula>#N/A</formula>
    </cfRule>
  </conditionalFormatting>
  <conditionalFormatting sqref="I2">
    <cfRule type="cellIs" dxfId="28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ae6qWKk2g4y97MvaoaeqcDCH0Z64EEkQ7nd1tS1mdxsyxOLPhh9xLGhZi6XXXxGxYs3fJ6s87tSDU5Vb+r23eA==" saltValue="svS/aEvJ/0z4+KHRFkMW+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80" priority="10" operator="equal">
      <formula>#N/A</formula>
    </cfRule>
  </conditionalFormatting>
  <conditionalFormatting sqref="H1">
    <cfRule type="cellIs" dxfId="279" priority="9" operator="equal">
      <formula>#N/A</formula>
    </cfRule>
  </conditionalFormatting>
  <conditionalFormatting sqref="E1">
    <cfRule type="cellIs" dxfId="278" priority="8" operator="equal">
      <formula>#N/A</formula>
    </cfRule>
  </conditionalFormatting>
  <conditionalFormatting sqref="I1">
    <cfRule type="containsText" dxfId="277" priority="6" operator="containsText" text="All Data Import Successfully">
      <formula>NOT(ISERROR(SEARCH("All Data Import Successfully",I1)))</formula>
    </cfRule>
    <cfRule type="containsText" dxfId="276" priority="7" operator="containsText" text="Difference Entry">
      <formula>NOT(ISERROR(SEARCH("Difference Entry",I1)))</formula>
    </cfRule>
  </conditionalFormatting>
  <conditionalFormatting sqref="DG2">
    <cfRule type="cellIs" dxfId="275" priority="5" operator="equal">
      <formula>#N/A</formula>
    </cfRule>
  </conditionalFormatting>
  <conditionalFormatting sqref="DH2:DI2">
    <cfRule type="cellIs" dxfId="274" priority="4" operator="equal">
      <formula>#N/A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6" sqref="C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170</v>
      </c>
      <c r="V1" s="95" t="s">
        <v>170</v>
      </c>
      <c r="W1" s="95" t="s">
        <v>202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 t="s">
        <v>419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46</v>
      </c>
      <c r="B4" s="107" t="s">
        <v>17</v>
      </c>
      <c r="C4" s="107" t="s">
        <v>18</v>
      </c>
      <c r="D4" s="107" t="s">
        <v>19</v>
      </c>
      <c r="E4" s="107" t="s">
        <v>47</v>
      </c>
      <c r="F4" s="107" t="s">
        <v>48</v>
      </c>
      <c r="G4" s="107" t="s">
        <v>49</v>
      </c>
      <c r="H4" s="107" t="s">
        <v>50</v>
      </c>
      <c r="I4" s="107" t="s">
        <v>31</v>
      </c>
      <c r="J4" s="56"/>
      <c r="DA4" s="38" t="str">
        <f>+DA3</f>
        <v>IDBI Bank A/c.</v>
      </c>
    </row>
  </sheetData>
  <sheetProtection algorithmName="SHA-512" hashValue="IFrFeY6rSixQpgz5KVHLGrDCivIz8Z+egAenp1upsYK/X9Jl+9CGzy/Yt4Po4LjcyzvLtSOLza1Bzun/Ts1g/w==" saltValue="rxey+RDjjtdTOmmijdJm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70" priority="18" operator="equal">
      <formula>#N/A</formula>
    </cfRule>
  </conditionalFormatting>
  <conditionalFormatting sqref="DG2">
    <cfRule type="cellIs" dxfId="269" priority="13" operator="equal">
      <formula>#N/A</formula>
    </cfRule>
  </conditionalFormatting>
  <conditionalFormatting sqref="DH2:DI2">
    <cfRule type="cellIs" dxfId="268" priority="12" operator="equal">
      <formula>#N/A</formula>
    </cfRule>
  </conditionalFormatting>
  <conditionalFormatting sqref="I1:I2">
    <cfRule type="cellIs" dxfId="267" priority="8" operator="equal">
      <formula>#N/A</formula>
    </cfRule>
  </conditionalFormatting>
  <conditionalFormatting sqref="H1">
    <cfRule type="cellIs" dxfId="266" priority="7" operator="equal">
      <formula>#N/A</formula>
    </cfRule>
  </conditionalFormatting>
  <conditionalFormatting sqref="E1">
    <cfRule type="cellIs" dxfId="265" priority="6" operator="equal">
      <formula>#N/A</formula>
    </cfRule>
  </conditionalFormatting>
  <conditionalFormatting sqref="I1">
    <cfRule type="containsText" dxfId="264" priority="4" operator="containsText" text="All Data Import Successfully">
      <formula>NOT(ISERROR(SEARCH("All Data Import Successfully",I1)))</formula>
    </cfRule>
    <cfRule type="containsText" dxfId="263" priority="5" operator="containsText" text="Difference Entry">
      <formula>NOT(ISERROR(SEARCH("Difference Entry",I1)))</formula>
    </cfRule>
  </conditionalFormatting>
  <conditionalFormatting sqref="E2:G2">
    <cfRule type="cellIs" dxfId="262" priority="3" operator="equal">
      <formula>#N/A</formula>
    </cfRule>
  </conditionalFormatting>
  <conditionalFormatting sqref="H2">
    <cfRule type="cellIs" dxfId="261" priority="2" operator="equal">
      <formula>#N/A</formula>
    </cfRule>
  </conditionalFormatting>
  <conditionalFormatting sqref="I2">
    <cfRule type="cellIs" dxfId="26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6" customFormat="1" ht="21">
      <c r="A4" s="43" t="s">
        <v>82</v>
      </c>
      <c r="B4" s="43" t="s">
        <v>83</v>
      </c>
      <c r="C4" s="43" t="s">
        <v>84</v>
      </c>
      <c r="D4" s="43" t="s">
        <v>85</v>
      </c>
      <c r="E4" s="43" t="s">
        <v>86</v>
      </c>
      <c r="F4" s="44" t="s">
        <v>87</v>
      </c>
      <c r="G4" s="45" t="s">
        <v>88</v>
      </c>
      <c r="H4" s="45" t="s">
        <v>89</v>
      </c>
      <c r="DA4" s="47" t="str">
        <f>+DA3</f>
        <v>Bandhan Bank</v>
      </c>
    </row>
  </sheetData>
  <sheetProtection algorithmName="SHA-512" hashValue="sTMHvJIPETaLy764r3zP/01nMJy1Vmrj14Vh/HsTJbapyINl5kxguzekqPxUDsT/WlM/IBQzzUBOaMewg09V/A==" saltValue="LKv6AU2X8r9In3Bi35bfz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59" priority="10" operator="equal">
      <formula>#N/A</formula>
    </cfRule>
  </conditionalFormatting>
  <conditionalFormatting sqref="H1">
    <cfRule type="cellIs" dxfId="258" priority="9" operator="equal">
      <formula>#N/A</formula>
    </cfRule>
  </conditionalFormatting>
  <conditionalFormatting sqref="E1">
    <cfRule type="cellIs" dxfId="257" priority="8" operator="equal">
      <formula>#N/A</formula>
    </cfRule>
  </conditionalFormatting>
  <conditionalFormatting sqref="I1">
    <cfRule type="containsText" dxfId="256" priority="6" operator="containsText" text="All Data Import Successfully">
      <formula>NOT(ISERROR(SEARCH("All Data Import Successfully",I1)))</formula>
    </cfRule>
    <cfRule type="containsText" dxfId="255" priority="7" operator="containsText" text="Difference Entry">
      <formula>NOT(ISERROR(SEARCH("Difference Entry",I1)))</formula>
    </cfRule>
  </conditionalFormatting>
  <conditionalFormatting sqref="DG2">
    <cfRule type="cellIs" dxfId="254" priority="5" operator="equal">
      <formula>#N/A</formula>
    </cfRule>
  </conditionalFormatting>
  <conditionalFormatting sqref="DH2:DI2">
    <cfRule type="cellIs" dxfId="253" priority="4" operator="equal">
      <formula>#N/A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186</v>
      </c>
      <c r="T1" s="95">
        <v>8</v>
      </c>
      <c r="U1" s="95" t="s">
        <v>172</v>
      </c>
      <c r="V1" s="95" t="s">
        <v>173</v>
      </c>
      <c r="W1" s="95" t="s">
        <v>168</v>
      </c>
      <c r="X1" s="102" t="s">
        <v>6</v>
      </c>
      <c r="Y1" s="102">
        <v>1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9" t="s">
        <v>18</v>
      </c>
      <c r="B4" s="109" t="s">
        <v>72</v>
      </c>
      <c r="C4" s="109" t="s">
        <v>73</v>
      </c>
      <c r="D4" s="109" t="s">
        <v>19</v>
      </c>
      <c r="E4" s="109" t="s">
        <v>74</v>
      </c>
      <c r="F4" s="109" t="s">
        <v>75</v>
      </c>
      <c r="G4" s="109" t="s">
        <v>76</v>
      </c>
      <c r="H4" s="109" t="s">
        <v>11</v>
      </c>
      <c r="DA4" s="38" t="str">
        <f>+DA3</f>
        <v>Indian Bank</v>
      </c>
    </row>
  </sheetData>
  <sheetProtection algorithmName="SHA-512" hashValue="hDjz9skR9sDIs47Ub1zA9uZw1n0ktBHPufLqNFGAb0IR+IyFEliwW1jLGP7YWpljbDjKKybvAU33Q3+bjYJfbA==" saltValue="bh/r5xV/5tFyI0orWfW8C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 t="s">
        <v>205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7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206</v>
      </c>
      <c r="T1" s="95">
        <v>8</v>
      </c>
      <c r="U1" s="95" t="s">
        <v>173</v>
      </c>
      <c r="V1" s="95" t="s">
        <v>173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116</v>
      </c>
      <c r="B3" s="59"/>
      <c r="C3" s="58"/>
      <c r="D3" s="58" t="s">
        <v>207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3" t="s">
        <v>25</v>
      </c>
      <c r="B4" s="286" t="s">
        <v>117</v>
      </c>
      <c r="C4" s="286"/>
      <c r="D4" s="124" t="s">
        <v>118</v>
      </c>
      <c r="E4" s="124" t="s">
        <v>18</v>
      </c>
      <c r="F4" s="125" t="s">
        <v>119</v>
      </c>
      <c r="G4" s="125" t="s">
        <v>120</v>
      </c>
      <c r="H4" s="126" t="s">
        <v>121</v>
      </c>
      <c r="DA4" s="38" t="str">
        <f>+DA3</f>
        <v>RBL Bank A/c.</v>
      </c>
    </row>
  </sheetData>
  <sheetProtection algorithmName="SHA-512" hashValue="Iv23BmRkeVSosz8c2Ou3p/jLyuxopF2p/fKsJVOOOqFmUhHxsGSKMQL8O8rJZmJIhP6rNqjQtycZQbAY/Ca/XA==" saltValue="mREw/x6jCMaYH5gQLtLg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27" priority="18" operator="equal">
      <formula>#N/A</formula>
    </cfRule>
  </conditionalFormatting>
  <conditionalFormatting sqref="DG2">
    <cfRule type="cellIs" dxfId="226" priority="13" operator="equal">
      <formula>#N/A</formula>
    </cfRule>
  </conditionalFormatting>
  <conditionalFormatting sqref="DH2:DI2">
    <cfRule type="cellIs" dxfId="225" priority="12" operator="equal">
      <formula>#N/A</formula>
    </cfRule>
  </conditionalFormatting>
  <conditionalFormatting sqref="I1:I2">
    <cfRule type="cellIs" dxfId="224" priority="8" operator="equal">
      <formula>#N/A</formula>
    </cfRule>
  </conditionalFormatting>
  <conditionalFormatting sqref="H1">
    <cfRule type="cellIs" dxfId="223" priority="7" operator="equal">
      <formula>#N/A</formula>
    </cfRule>
  </conditionalFormatting>
  <conditionalFormatting sqref="E1">
    <cfRule type="cellIs" dxfId="222" priority="6" operator="equal">
      <formula>#N/A</formula>
    </cfRule>
  </conditionalFormatting>
  <conditionalFormatting sqref="I1">
    <cfRule type="containsText" dxfId="221" priority="4" operator="containsText" text="All Data Import Successfully">
      <formula>NOT(ISERROR(SEARCH("All Data Import Successfully",I1)))</formula>
    </cfRule>
    <cfRule type="containsText" dxfId="220" priority="5" operator="containsText" text="Difference Entry">
      <formula>NOT(ISERROR(SEARCH("Difference Entry",I1)))</formula>
    </cfRule>
  </conditionalFormatting>
  <conditionalFormatting sqref="E2:G2">
    <cfRule type="cellIs" dxfId="219" priority="3" operator="equal">
      <formula>#N/A</formula>
    </cfRule>
  </conditionalFormatting>
  <conditionalFormatting sqref="H2">
    <cfRule type="cellIs" dxfId="218" priority="2" operator="equal">
      <formula>#N/A</formula>
    </cfRule>
  </conditionalFormatting>
  <conditionalFormatting sqref="I2">
    <cfRule type="cellIs" dxfId="2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289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290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00" t="s">
        <v>32</v>
      </c>
      <c r="B4" s="200" t="s">
        <v>291</v>
      </c>
      <c r="C4" s="287" t="s">
        <v>125</v>
      </c>
      <c r="D4" s="288"/>
      <c r="E4" s="200" t="s">
        <v>292</v>
      </c>
      <c r="F4" s="200" t="s">
        <v>293</v>
      </c>
      <c r="G4" s="200" t="s">
        <v>68</v>
      </c>
      <c r="H4" s="200" t="s">
        <v>69</v>
      </c>
      <c r="I4" s="201" t="s">
        <v>11</v>
      </c>
      <c r="DA4" s="38" t="str">
        <f>+DA3</f>
        <v>Union Bank of India A/c.</v>
      </c>
    </row>
  </sheetData>
  <sheetProtection algorithmName="SHA-512" hashValue="Au9tbzYfJFZ+wCLEUw13xqQ8rib+Ga1czUk48E+Xr+HHgrQRgj819GwXBEHp2a3sDewBbGC3JP8PG7OsMFFt1A==" saltValue="F3my/PJkzQnGLuNRJ8W1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16" priority="11" operator="equal">
      <formula>#N/A</formula>
    </cfRule>
  </conditionalFormatting>
  <conditionalFormatting sqref="DH2:DI2">
    <cfRule type="cellIs" dxfId="215" priority="10" operator="equal">
      <formula>#N/A</formula>
    </cfRule>
  </conditionalFormatting>
  <conditionalFormatting sqref="I1:I2">
    <cfRule type="cellIs" dxfId="214" priority="9" operator="equal">
      <formula>#N/A</formula>
    </cfRule>
  </conditionalFormatting>
  <conditionalFormatting sqref="H1">
    <cfRule type="cellIs" dxfId="213" priority="8" operator="equal">
      <formula>#N/A</formula>
    </cfRule>
  </conditionalFormatting>
  <conditionalFormatting sqref="E1">
    <cfRule type="cellIs" dxfId="212" priority="7" operator="equal">
      <formula>#N/A</formula>
    </cfRule>
  </conditionalFormatting>
  <conditionalFormatting sqref="I1">
    <cfRule type="containsText" dxfId="211" priority="5" operator="containsText" text="All Data Import Successfully">
      <formula>NOT(ISERROR(SEARCH("All Data Import Successfully",I1)))</formula>
    </cfRule>
    <cfRule type="containsText" dxfId="210" priority="6" operator="containsText" text="Difference Entry">
      <formula>NOT(ISERROR(SEARCH("Difference Entry",I1)))</formula>
    </cfRule>
  </conditionalFormatting>
  <conditionalFormatting sqref="E2:G2">
    <cfRule type="cellIs" dxfId="209" priority="4" operator="equal">
      <formula>#N/A</formula>
    </cfRule>
  </conditionalFormatting>
  <conditionalFormatting sqref="H2">
    <cfRule type="cellIs" dxfId="208" priority="3" operator="equal">
      <formula>#N/A</formula>
    </cfRule>
  </conditionalFormatting>
  <conditionalFormatting sqref="I2">
    <cfRule type="cellIs" dxfId="207" priority="2" operator="equal">
      <formula>0</formula>
    </cfRule>
  </conditionalFormatting>
  <conditionalFormatting sqref="E3">
    <cfRule type="cellIs" dxfId="206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63</v>
      </c>
      <c r="B3" s="59"/>
      <c r="C3" s="58"/>
      <c r="D3" s="58" t="s">
        <v>336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7</v>
      </c>
      <c r="U1" s="95" t="s">
        <v>172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103</v>
      </c>
      <c r="B3" s="59"/>
      <c r="C3" s="58"/>
      <c r="D3" s="58" t="s">
        <v>209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7" t="s">
        <v>104</v>
      </c>
      <c r="B4" s="128" t="s">
        <v>17</v>
      </c>
      <c r="C4" s="128" t="s">
        <v>19</v>
      </c>
      <c r="D4" s="128" t="s">
        <v>105</v>
      </c>
      <c r="E4" s="128" t="s">
        <v>106</v>
      </c>
      <c r="F4" s="128" t="s">
        <v>107</v>
      </c>
      <c r="G4" s="129" t="s">
        <v>108</v>
      </c>
      <c r="DA4" s="38" t="str">
        <f>+DA3</f>
        <v>Bank of India A/c.</v>
      </c>
      <c r="DD4" s="53"/>
      <c r="DE4" s="53"/>
    </row>
  </sheetData>
  <sheetProtection algorithmName="SHA-512" hashValue="NwmnLT0bY2A9yMs9pDZl3nDewMw3VRVmlcbtpEko6aEAdvwr/fZBNU/TsEZWZGPnJ5mV02Or0WlUVUVM2wVFOw==" saltValue="rOG/QyD7l/X3pOOH0SLR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196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70" t="s">
        <v>32</v>
      </c>
      <c r="B4" s="70" t="s">
        <v>147</v>
      </c>
      <c r="C4" s="70" t="s">
        <v>148</v>
      </c>
      <c r="D4" s="70" t="s">
        <v>68</v>
      </c>
      <c r="E4" s="70" t="s">
        <v>69</v>
      </c>
      <c r="F4" s="70" t="s">
        <v>11</v>
      </c>
      <c r="DA4" s="38" t="str">
        <f>+DA3</f>
        <v xml:space="preserve">UCO Bank </v>
      </c>
    </row>
  </sheetData>
  <sheetProtection algorithmName="SHA-512" hashValue="uLunNNC2Z6cXyj4VMQRGAdf1FiRnnqPdiqoACpMb4/xbrXGf96V4s7/3kRngz3UoevRgMn8SA1Oa4kFvREQ8tw==" saltValue="3oHCOZnrOtbLO9pSbLYh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83" priority="18" operator="equal">
      <formula>#N/A</formula>
    </cfRule>
  </conditionalFormatting>
  <conditionalFormatting sqref="DG2">
    <cfRule type="cellIs" dxfId="182" priority="13" operator="equal">
      <formula>#N/A</formula>
    </cfRule>
  </conditionalFormatting>
  <conditionalFormatting sqref="DH2:DI2">
    <cfRule type="cellIs" dxfId="181" priority="12" operator="equal">
      <formula>#N/A</formula>
    </cfRule>
  </conditionalFormatting>
  <conditionalFormatting sqref="I1:I2">
    <cfRule type="cellIs" dxfId="180" priority="8" operator="equal">
      <formula>#N/A</formula>
    </cfRule>
  </conditionalFormatting>
  <conditionalFormatting sqref="H1">
    <cfRule type="cellIs" dxfId="179" priority="7" operator="equal">
      <formula>#N/A</formula>
    </cfRule>
  </conditionalFormatting>
  <conditionalFormatting sqref="E1">
    <cfRule type="cellIs" dxfId="178" priority="6" operator="equal">
      <formula>#N/A</formula>
    </cfRule>
  </conditionalFormatting>
  <conditionalFormatting sqref="I1">
    <cfRule type="containsText" dxfId="177" priority="4" operator="containsText" text="All Data Import Successfully">
      <formula>NOT(ISERROR(SEARCH("All Data Import Successfully",I1)))</formula>
    </cfRule>
    <cfRule type="containsText" dxfId="176" priority="5" operator="containsText" text="Difference Entry">
      <formula>NOT(ISERROR(SEARCH("Difference Entry",I1)))</formula>
    </cfRule>
  </conditionalFormatting>
  <conditionalFormatting sqref="E2:G2">
    <cfRule type="cellIs" dxfId="175" priority="3" operator="equal">
      <formula>#N/A</formula>
    </cfRule>
  </conditionalFormatting>
  <conditionalFormatting sqref="H2">
    <cfRule type="cellIs" dxfId="174" priority="2" operator="equal">
      <formula>#N/A</formula>
    </cfRule>
  </conditionalFormatting>
  <conditionalFormatting sqref="I2">
    <cfRule type="cellIs" dxfId="17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8" t="s">
        <v>72</v>
      </c>
      <c r="B4" s="68" t="s">
        <v>18</v>
      </c>
      <c r="C4" s="68" t="s">
        <v>145</v>
      </c>
      <c r="D4" s="68" t="s">
        <v>137</v>
      </c>
      <c r="E4" s="68" t="s">
        <v>146</v>
      </c>
      <c r="F4" s="68" t="s">
        <v>100</v>
      </c>
      <c r="G4" s="68" t="s">
        <v>22</v>
      </c>
      <c r="H4" s="68" t="s">
        <v>11</v>
      </c>
      <c r="DA4" s="38" t="str">
        <f>+DA3</f>
        <v>Central Bank of India</v>
      </c>
    </row>
  </sheetData>
  <sheetProtection algorithmName="SHA-512" hashValue="pTnqXcU8Nt10sZtmPpFd8LJLh3cZnpdQKUNwD1QdZoHx8e7BRCg0L77tYTWymQAb4pQoUNP/V0CU7y4lcZ4aww==" saltValue="BevIs/bczDL+kAa0IB3Y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72" priority="10" operator="equal">
      <formula>#N/A</formula>
    </cfRule>
  </conditionalFormatting>
  <conditionalFormatting sqref="H1">
    <cfRule type="cellIs" dxfId="171" priority="9" operator="equal">
      <formula>#N/A</formula>
    </cfRule>
  </conditionalFormatting>
  <conditionalFormatting sqref="E1">
    <cfRule type="cellIs" dxfId="170" priority="8" operator="equal">
      <formula>#N/A</formula>
    </cfRule>
  </conditionalFormatting>
  <conditionalFormatting sqref="I1">
    <cfRule type="containsText" dxfId="169" priority="6" operator="containsText" text="All Data Import Successfully">
      <formula>NOT(ISERROR(SEARCH("All Data Import Successfully",I1)))</formula>
    </cfRule>
    <cfRule type="containsText" dxfId="168" priority="7" operator="containsText" text="Difference Entry">
      <formula>NOT(ISERROR(SEARCH("Difference Entry",I1)))</formula>
    </cfRule>
  </conditionalFormatting>
  <conditionalFormatting sqref="DG2">
    <cfRule type="cellIs" dxfId="167" priority="5" operator="equal">
      <formula>#N/A</formula>
    </cfRule>
  </conditionalFormatting>
  <conditionalFormatting sqref="DH2:DI2">
    <cfRule type="cellIs" dxfId="166" priority="4" operator="equal">
      <formula>#N/A</formula>
    </cfRule>
  </conditionalFormatting>
  <conditionalFormatting sqref="E2:G2">
    <cfRule type="cellIs" dxfId="165" priority="3" operator="equal">
      <formula>#N/A</formula>
    </cfRule>
  </conditionalFormatting>
  <conditionalFormatting sqref="H2">
    <cfRule type="cellIs" dxfId="164" priority="2" operator="equal">
      <formula>#N/A</formula>
    </cfRule>
  </conditionalFormatting>
  <conditionalFormatting sqref="I2">
    <cfRule type="cellIs" dxfId="1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8"/>
      <c r="C4" s="48" t="s">
        <v>52</v>
      </c>
      <c r="D4" s="48"/>
      <c r="E4" s="48"/>
      <c r="F4" s="48"/>
      <c r="G4" s="48"/>
      <c r="H4" s="289" t="s">
        <v>53</v>
      </c>
      <c r="I4" s="289"/>
      <c r="J4" s="48"/>
      <c r="K4" s="48" t="s">
        <v>54</v>
      </c>
      <c r="L4" s="48"/>
      <c r="M4" s="48"/>
      <c r="N4" s="48"/>
      <c r="O4" s="48"/>
      <c r="P4" s="48"/>
      <c r="Q4" s="48" t="s">
        <v>55</v>
      </c>
      <c r="R4" s="48"/>
      <c r="S4" s="48"/>
      <c r="T4" s="48" t="s">
        <v>56</v>
      </c>
      <c r="U4" s="41"/>
      <c r="V4" s="48"/>
      <c r="W4" s="48"/>
      <c r="X4" s="48"/>
      <c r="DA4" s="38" t="str">
        <f>+DA3</f>
        <v>Bank of Baroda A/c.</v>
      </c>
    </row>
  </sheetData>
  <sheetProtection algorithmName="SHA-512" hashValue="g4ucQQGb5OcAnBEYxw8jwMXPgxGA9aUDUrNcj33OfgnMA4I7GWRiFsHsyFir6PDGPf44kuTrKQmixf+7mMYGBA==" saltValue="cBvM3YSrlOL9vF+t4bXV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2" priority="10" operator="equal">
      <formula>#N/A</formula>
    </cfRule>
  </conditionalFormatting>
  <conditionalFormatting sqref="H1">
    <cfRule type="cellIs" dxfId="161" priority="9" operator="equal">
      <formula>#N/A</formula>
    </cfRule>
  </conditionalFormatting>
  <conditionalFormatting sqref="E1">
    <cfRule type="cellIs" dxfId="160" priority="8" operator="equal">
      <formula>#N/A</formula>
    </cfRule>
  </conditionalFormatting>
  <conditionalFormatting sqref="I1">
    <cfRule type="containsText" dxfId="159" priority="6" operator="containsText" text="All Data Import Successfully">
      <formula>NOT(ISERROR(SEARCH("All Data Import Successfully",I1)))</formula>
    </cfRule>
    <cfRule type="containsText" dxfId="158" priority="7" operator="containsText" text="Difference Entry">
      <formula>NOT(ISERROR(SEARCH("Difference Entry",I1)))</formula>
    </cfRule>
  </conditionalFormatting>
  <conditionalFormatting sqref="DG2">
    <cfRule type="cellIs" dxfId="157" priority="5" operator="equal">
      <formula>#N/A</formula>
    </cfRule>
  </conditionalFormatting>
  <conditionalFormatting sqref="DH2:DI2">
    <cfRule type="cellIs" dxfId="156" priority="4" operator="equal">
      <formula>#N/A</formula>
    </cfRule>
  </conditionalFormatting>
  <conditionalFormatting sqref="E2:G2">
    <cfRule type="cellIs" dxfId="155" priority="3" operator="equal">
      <formula>#N/A</formula>
    </cfRule>
  </conditionalFormatting>
  <conditionalFormatting sqref="H2">
    <cfRule type="cellIs" dxfId="154" priority="2" operator="equal">
      <formula>#N/A</formula>
    </cfRule>
  </conditionalFormatting>
  <conditionalFormatting sqref="I2">
    <cfRule type="cellIs" dxfId="1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IF(L3="",VALUE("0"),VALUE(SUBSTITUTE((L3),",","")))</f>
        <v>0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9" t="s">
        <v>51</v>
      </c>
      <c r="B4" s="49"/>
      <c r="C4" s="49"/>
      <c r="D4" s="49" t="s">
        <v>52</v>
      </c>
      <c r="E4" s="49"/>
      <c r="F4" s="49"/>
      <c r="G4" s="49"/>
      <c r="H4" s="290" t="s">
        <v>53</v>
      </c>
      <c r="I4" s="290"/>
      <c r="J4" s="49"/>
      <c r="K4" s="49"/>
      <c r="L4" s="49" t="s">
        <v>54</v>
      </c>
      <c r="M4" s="49"/>
      <c r="N4" s="49"/>
      <c r="O4" s="49"/>
      <c r="P4" s="49"/>
      <c r="Q4" s="49" t="s">
        <v>55</v>
      </c>
      <c r="R4" s="49"/>
      <c r="S4" s="49"/>
      <c r="T4" s="49"/>
      <c r="U4" s="50"/>
      <c r="V4" s="49"/>
      <c r="W4" s="49" t="s">
        <v>56</v>
      </c>
      <c r="X4" s="49"/>
      <c r="DA4" s="51" t="str">
        <f>+DA3</f>
        <v>Bank of Baroda A/c.</v>
      </c>
    </row>
  </sheetData>
  <sheetProtection algorithmName="SHA-512" hashValue="C2uv7hkhUdiEMHPmjd7gBk4TLyVRUuJRSfpj2LxcHZwHOoORBpvGAdexPXPKc5ZIZMAO1wvK7ZLaFBAD/6JeAA==" saltValue="Ih98+Ro4AwppoCH4hMDbD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52" priority="10" operator="equal">
      <formula>#N/A</formula>
    </cfRule>
  </conditionalFormatting>
  <conditionalFormatting sqref="H1">
    <cfRule type="cellIs" dxfId="151" priority="9" operator="equal">
      <formula>#N/A</formula>
    </cfRule>
  </conditionalFormatting>
  <conditionalFormatting sqref="E1">
    <cfRule type="cellIs" dxfId="150" priority="8" operator="equal">
      <formula>#N/A</formula>
    </cfRule>
  </conditionalFormatting>
  <conditionalFormatting sqref="I1">
    <cfRule type="containsText" dxfId="149" priority="6" operator="containsText" text="All Data Import Successfully">
      <formula>NOT(ISERROR(SEARCH("All Data Import Successfully",I1)))</formula>
    </cfRule>
    <cfRule type="containsText" dxfId="148" priority="7" operator="containsText" text="Difference Entry">
      <formula>NOT(ISERROR(SEARCH("Difference Entry",I1)))</formula>
    </cfRule>
  </conditionalFormatting>
  <conditionalFormatting sqref="DG2">
    <cfRule type="cellIs" dxfId="147" priority="5" operator="equal">
      <formula>#N/A</formula>
    </cfRule>
  </conditionalFormatting>
  <conditionalFormatting sqref="DH2:DI2">
    <cfRule type="cellIs" dxfId="146" priority="4" operator="equal">
      <formula>#N/A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183</v>
      </c>
      <c r="T1" s="95">
        <v>6</v>
      </c>
      <c r="U1" s="95" t="s">
        <v>184</v>
      </c>
      <c r="V1" s="95" t="s">
        <v>184</v>
      </c>
      <c r="W1" s="95" t="s">
        <v>181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127</v>
      </c>
      <c r="B3" s="59"/>
      <c r="C3" s="58"/>
      <c r="D3" s="58" t="s">
        <v>185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32</v>
      </c>
      <c r="B4" s="107" t="s">
        <v>124</v>
      </c>
      <c r="C4" s="107" t="s">
        <v>80</v>
      </c>
      <c r="D4" s="107" t="s">
        <v>95</v>
      </c>
      <c r="E4" s="107" t="s">
        <v>11</v>
      </c>
      <c r="F4" s="108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FZnY6KSTtnE+DVsb4ZrZ3Pj+Natszn5t9U7b/BQ8T2JeQRmgnrQ+jP2QLTWRU7qmqFFoOu9NFCXbcpBYQ9Wr/g==" saltValue="0d7rm3SpjsrTJl8yxXKYI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8" operator="equal">
      <formula>#N/A</formula>
    </cfRule>
  </conditionalFormatting>
  <conditionalFormatting sqref="DG2">
    <cfRule type="cellIs" dxfId="141" priority="13" operator="equal">
      <formula>#N/A</formula>
    </cfRule>
  </conditionalFormatting>
  <conditionalFormatting sqref="DH2:DI2">
    <cfRule type="cellIs" dxfId="140" priority="12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9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5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7" t="s">
        <v>127</v>
      </c>
      <c r="B3" s="59"/>
      <c r="C3" s="58"/>
      <c r="D3" s="58"/>
      <c r="E3" s="207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4" t="str">
        <f>+$A$3</f>
        <v>PNB A/c.</v>
      </c>
      <c r="DB3" s="225">
        <f>VALUE(C3)</f>
        <v>0</v>
      </c>
      <c r="DC3" s="226" t="e">
        <f>+CONCATENATE(TEXT(DB3,"D"),"",TEXT(DB3,"MM"),"","/",SUBSTITUTE(DF3,",",""),"/",DK3)</f>
        <v>#VALUE!</v>
      </c>
      <c r="DD3" s="227">
        <f>IF(I3="",VALUE("0"),VALUE(SUBSTITUTE((I3),",","")))</f>
        <v>0</v>
      </c>
      <c r="DE3" s="227">
        <f>IF(J3="",VALUE("0"),VALUE(SUBSTITUTE((J3),",","")))</f>
        <v>0</v>
      </c>
      <c r="DF3" s="227" t="e">
        <f>+VALUE(SUBSTITUTE(SUBSTITUTE(SUBSTITUTE((M3),",",""),"Cr.",""),"Dr.",""))</f>
        <v>#VALUE!</v>
      </c>
      <c r="DG3" s="228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9">
        <f>+DB3</f>
        <v>0</v>
      </c>
      <c r="DI3" s="229" t="str">
        <f>+IF(DE3=0,"Suspance Payment","Suspance Receipt")</f>
        <v>Suspance Payment</v>
      </c>
      <c r="DJ3" s="230">
        <f>+E3</f>
        <v>0</v>
      </c>
      <c r="DK3" s="231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8" t="s">
        <v>329</v>
      </c>
      <c r="B4" s="232"/>
      <c r="C4" s="232" t="s">
        <v>17</v>
      </c>
      <c r="D4" s="232"/>
      <c r="E4" s="233" t="s">
        <v>19</v>
      </c>
      <c r="F4" s="232"/>
      <c r="G4" s="232" t="s">
        <v>191</v>
      </c>
      <c r="H4" s="232" t="s">
        <v>74</v>
      </c>
      <c r="I4" s="232" t="s">
        <v>330</v>
      </c>
      <c r="J4" s="232" t="s">
        <v>331</v>
      </c>
      <c r="K4" s="232"/>
      <c r="L4" s="232"/>
      <c r="M4" s="232" t="s">
        <v>11</v>
      </c>
      <c r="N4" s="232"/>
      <c r="O4" s="232"/>
      <c r="P4" s="234" t="s">
        <v>332</v>
      </c>
      <c r="Q4" s="5"/>
      <c r="DA4" s="38" t="str">
        <f>+DA3</f>
        <v>PNB A/c.</v>
      </c>
    </row>
  </sheetData>
  <sheetProtection algorithmName="SHA-512" hashValue="Zbz0N+QtdV+bl5lEncb622Ux/tj54et+DZqdta+hRW295umJ8nuIdpbwgkWGssuMbHexvBqAsyivSFPxLThX2g==" saltValue="iu1SUxbQyKZaRxb/Osesl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31" priority="11" operator="equal">
      <formula>#N/A</formula>
    </cfRule>
  </conditionalFormatting>
  <conditionalFormatting sqref="DG2">
    <cfRule type="cellIs" dxfId="130" priority="10" operator="equal">
      <formula>#N/A</formula>
    </cfRule>
  </conditionalFormatting>
  <conditionalFormatting sqref="DH2:DI2">
    <cfRule type="cellIs" dxfId="129" priority="9" operator="equal">
      <formula>#N/A</formula>
    </cfRule>
  </conditionalFormatting>
  <conditionalFormatting sqref="I1:I2">
    <cfRule type="cellIs" dxfId="128" priority="8" operator="equal">
      <formula>#N/A</formula>
    </cfRule>
  </conditionalFormatting>
  <conditionalFormatting sqref="H1">
    <cfRule type="cellIs" dxfId="127" priority="7" operator="equal">
      <formula>#N/A</formula>
    </cfRule>
  </conditionalFormatting>
  <conditionalFormatting sqref="E1">
    <cfRule type="cellIs" dxfId="126" priority="6" operator="equal">
      <formula>#N/A</formula>
    </cfRule>
  </conditionalFormatting>
  <conditionalFormatting sqref="I1">
    <cfRule type="containsText" dxfId="125" priority="4" operator="containsText" text="All Data Import Successfully">
      <formula>NOT(ISERROR(SEARCH("All Data Import Successfully",I1)))</formula>
    </cfRule>
    <cfRule type="containsText" dxfId="124" priority="5" operator="containsText" text="Difference Entry">
      <formula>NOT(ISERROR(SEARCH("Difference Entry",I1)))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rKIvMnq+uBNWMIGlP+PbaEe732k/8G9txvnoLxszYhO0yuQ8UbcN4EwM/g14Cx4rrs053ql6963zGrkYgEIbag==" saltValue="C+NL1mEeOPNCz7WaylUYo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20" priority="10" operator="equal">
      <formula>#N/A</formula>
    </cfRule>
  </conditionalFormatting>
  <conditionalFormatting sqref="H1">
    <cfRule type="cellIs" dxfId="119" priority="9" operator="equal">
      <formula>#N/A</formula>
    </cfRule>
  </conditionalFormatting>
  <conditionalFormatting sqref="E1">
    <cfRule type="cellIs" dxfId="118" priority="8" operator="equal">
      <formula>#N/A</formula>
    </cfRule>
  </conditionalFormatting>
  <conditionalFormatting sqref="I1">
    <cfRule type="containsText" dxfId="117" priority="6" operator="containsText" text="All Data Import Successfully">
      <formula>NOT(ISERROR(SEARCH("All Data Import Successfully",I1)))</formula>
    </cfRule>
    <cfRule type="containsText" dxfId="116" priority="7" operator="containsText" text="Difference Entry">
      <formula>NOT(ISERROR(SEARCH("Difference Entry",I1)))</formula>
    </cfRule>
  </conditionalFormatting>
  <conditionalFormatting sqref="DG2">
    <cfRule type="cellIs" dxfId="115" priority="5" operator="equal">
      <formula>#N/A</formula>
    </cfRule>
  </conditionalFormatting>
  <conditionalFormatting sqref="DH2:DI2">
    <cfRule type="cellIs" dxfId="114" priority="4" operator="equal">
      <formula>#N/A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151</v>
      </c>
      <c r="B3" s="59"/>
      <c r="C3" s="58"/>
      <c r="D3" s="58" t="s">
        <v>194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4" t="s">
        <v>78</v>
      </c>
      <c r="B4" s="115" t="s">
        <v>39</v>
      </c>
      <c r="C4" s="291" t="s">
        <v>147</v>
      </c>
      <c r="D4" s="291"/>
      <c r="E4" s="115" t="s">
        <v>18</v>
      </c>
      <c r="F4" s="115" t="s">
        <v>152</v>
      </c>
      <c r="G4" s="115" t="s">
        <v>153</v>
      </c>
      <c r="H4" s="115" t="s">
        <v>154</v>
      </c>
      <c r="I4" s="115" t="s">
        <v>155</v>
      </c>
      <c r="J4" s="116" t="s">
        <v>156</v>
      </c>
      <c r="DA4" s="38" t="str">
        <f>+DA3</f>
        <v>Federal Bank</v>
      </c>
    </row>
  </sheetData>
  <sheetProtection algorithmName="SHA-512" hashValue="8XdXyqmHoRe1Yh5M2iAhBpcGpZt1Z9DHS/6Bid60x/n6Id3NOQpC2ou3YTj4xYgiV8eEH7KFCDAEOI4XM8+5pQ==" saltValue="HZ+LfHm5jyJMaabfZgTK/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10" priority="23" operator="equal">
      <formula>#N/A</formula>
    </cfRule>
  </conditionalFormatting>
  <conditionalFormatting sqref="DG2">
    <cfRule type="cellIs" dxfId="109" priority="18" operator="equal">
      <formula>#N/A</formula>
    </cfRule>
  </conditionalFormatting>
  <conditionalFormatting sqref="DH2:DI2">
    <cfRule type="cellIs" dxfId="108" priority="17" operator="equal">
      <formula>#N/A</formula>
    </cfRule>
  </conditionalFormatting>
  <conditionalFormatting sqref="I1:I2">
    <cfRule type="cellIs" dxfId="107" priority="8" operator="equal">
      <formula>#N/A</formula>
    </cfRule>
  </conditionalFormatting>
  <conditionalFormatting sqref="H1">
    <cfRule type="cellIs" dxfId="106" priority="7" operator="equal">
      <formula>#N/A</formula>
    </cfRule>
  </conditionalFormatting>
  <conditionalFormatting sqref="E1">
    <cfRule type="cellIs" dxfId="105" priority="6" operator="equal">
      <formula>#N/A</formula>
    </cfRule>
  </conditionalFormatting>
  <conditionalFormatting sqref="I1">
    <cfRule type="containsText" dxfId="104" priority="4" operator="containsText" text="All Data Import Successfully">
      <formula>NOT(ISERROR(SEARCH("All Data Import Successfully",I1)))</formula>
    </cfRule>
    <cfRule type="containsText" dxfId="103" priority="5" operator="containsText" text="Difference Entry">
      <formula>NOT(ISERROR(SEARCH("Difference Entry",I1)))</formula>
    </cfRule>
  </conditionalFormatting>
  <conditionalFormatting sqref="E2:G2">
    <cfRule type="cellIs" dxfId="102" priority="3" operator="equal">
      <formula>#N/A</formula>
    </cfRule>
  </conditionalFormatting>
  <conditionalFormatting sqref="H2">
    <cfRule type="cellIs" dxfId="101" priority="2" operator="equal">
      <formula>#N/A</formula>
    </cfRule>
  </conditionalFormatting>
  <conditionalFormatting sqref="I2">
    <cfRule type="cellIs" dxfId="10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2" t="s">
        <v>32</v>
      </c>
      <c r="B4" s="52" t="s">
        <v>33</v>
      </c>
      <c r="C4" s="52" t="s">
        <v>99</v>
      </c>
      <c r="D4" s="52" t="s">
        <v>100</v>
      </c>
      <c r="E4" s="52" t="s">
        <v>22</v>
      </c>
      <c r="F4" s="52" t="s">
        <v>101</v>
      </c>
      <c r="DA4" s="38" t="str">
        <f>+DA3</f>
        <v>The Varachha Co-op. Bank A/c.</v>
      </c>
    </row>
  </sheetData>
  <sheetProtection algorithmName="SHA-512" hashValue="Zy11J5SjYs3yAxUDRQNfC8u+btBxBvxDOMm92kxbg2HwUh1K7R3Wc7Y5lrBBX8nYdP15YYLwb6desSp/6FmgXg==" saltValue="NoxHI9CHBVZkGBoPqrOI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99" priority="10" operator="equal">
      <formula>#N/A</formula>
    </cfRule>
  </conditionalFormatting>
  <conditionalFormatting sqref="H1">
    <cfRule type="cellIs" dxfId="98" priority="9" operator="equal">
      <formula>#N/A</formula>
    </cfRule>
  </conditionalFormatting>
  <conditionalFormatting sqref="E1">
    <cfRule type="cellIs" dxfId="97" priority="8" operator="equal">
      <formula>#N/A</formula>
    </cfRule>
  </conditionalFormatting>
  <conditionalFormatting sqref="I1">
    <cfRule type="containsText" dxfId="96" priority="6" operator="containsText" text="All Data Import Successfully">
      <formula>NOT(ISERROR(SEARCH("All Data Import Successfully",I1)))</formula>
    </cfRule>
    <cfRule type="containsText" dxfId="95" priority="7" operator="containsText" text="Difference Entry">
      <formula>NOT(ISERROR(SEARCH("Difference Entry",I1)))</formula>
    </cfRule>
  </conditionalFormatting>
  <conditionalFormatting sqref="DG2">
    <cfRule type="cellIs" dxfId="94" priority="5" operator="equal">
      <formula>#N/A</formula>
    </cfRule>
  </conditionalFormatting>
  <conditionalFormatting sqref="DH2:DI2">
    <cfRule type="cellIs" dxfId="93" priority="4" operator="equal">
      <formula>#N/A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6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150</v>
      </c>
      <c r="B3" s="59"/>
      <c r="C3" s="58"/>
      <c r="D3" s="58" t="s">
        <v>195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7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Surat National Co-op. Bank Ltd.</v>
      </c>
    </row>
  </sheetData>
  <sheetProtection algorithmName="SHA-512" hashValue="c+mSYsCBXix2kEIlLmORljL0j6Q6g/8kxiDs24A8HezzpiVuGe1lI/sZMzfdW/LMVurqpMvnVFTlHqJJ0nWZxg==" saltValue="hgAvLVnz/8HF8ynhofHj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9" priority="18" operator="equal">
      <formula>#N/A</formula>
    </cfRule>
  </conditionalFormatting>
  <conditionalFormatting sqref="DG2">
    <cfRule type="cellIs" dxfId="88" priority="13" operator="equal">
      <formula>#N/A</formula>
    </cfRule>
  </conditionalFormatting>
  <conditionalFormatting sqref="DH2:DI2">
    <cfRule type="cellIs" dxfId="87" priority="12" operator="equal">
      <formula>#N/A</formula>
    </cfRule>
  </conditionalFormatting>
  <conditionalFormatting sqref="I1:I2">
    <cfRule type="cellIs" dxfId="86" priority="8" operator="equal">
      <formula>#N/A</formula>
    </cfRule>
  </conditionalFormatting>
  <conditionalFormatting sqref="H1">
    <cfRule type="cellIs" dxfId="85" priority="7" operator="equal">
      <formula>#N/A</formula>
    </cfRule>
  </conditionalFormatting>
  <conditionalFormatting sqref="E1">
    <cfRule type="cellIs" dxfId="84" priority="6" operator="equal">
      <formula>#N/A</formula>
    </cfRule>
  </conditionalFormatting>
  <conditionalFormatting sqref="I1">
    <cfRule type="containsText" dxfId="83" priority="4" operator="containsText" text="All Data Import Successfully">
      <formula>NOT(ISERROR(SEARCH("All Data Import Successfully",I1)))</formula>
    </cfRule>
    <cfRule type="containsText" dxfId="82" priority="5" operator="containsText" text="Difference Entry">
      <formula>NOT(ISERROR(SEARCH("Difference Entry",I1)))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128</v>
      </c>
      <c r="B4" s="64" t="s">
        <v>129</v>
      </c>
      <c r="C4" s="64"/>
      <c r="D4" s="64"/>
      <c r="E4" s="64" t="s">
        <v>130</v>
      </c>
      <c r="F4" s="64" t="s">
        <v>131</v>
      </c>
      <c r="G4" s="64" t="s">
        <v>132</v>
      </c>
      <c r="H4" s="64"/>
      <c r="I4" s="64" t="s">
        <v>133</v>
      </c>
      <c r="J4" s="65" t="s">
        <v>134</v>
      </c>
      <c r="DA4" s="38" t="str">
        <f>+DA3</f>
        <v>THE SURAT DISTRICT CO-OP. BANK LTD.</v>
      </c>
    </row>
  </sheetData>
  <sheetProtection algorithmName="SHA-512" hashValue="11ncvo9E5smUe5PM5+IKfI/V4d02M+0gqJmHOmbCmQjW5ibb/MMqH0g9n75NMEtlm00UsvKvmQPy0bzWJ1J76Q==" saltValue="5JuTud5G7nbn6vP4Bk1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78" priority="10" operator="equal">
      <formula>#N/A</formula>
    </cfRule>
  </conditionalFormatting>
  <conditionalFormatting sqref="H1">
    <cfRule type="cellIs" dxfId="77" priority="9" operator="equal">
      <formula>#N/A</formula>
    </cfRule>
  </conditionalFormatting>
  <conditionalFormatting sqref="E1">
    <cfRule type="cellIs" dxfId="76" priority="8" operator="equal">
      <formula>#N/A</formula>
    </cfRule>
  </conditionalFormatting>
  <conditionalFormatting sqref="I1">
    <cfRule type="containsText" dxfId="75" priority="6" operator="containsText" text="All Data Import Successfully">
      <formula>NOT(ISERROR(SEARCH("All Data Import Successfully",I1)))</formula>
    </cfRule>
    <cfRule type="containsText" dxfId="74" priority="7" operator="containsText" text="Difference Entry">
      <formula>NOT(ISERROR(SEARCH("Difference Entry",I1)))</formula>
    </cfRule>
  </conditionalFormatting>
  <conditionalFormatting sqref="DG2">
    <cfRule type="cellIs" dxfId="73" priority="5" operator="equal">
      <formula>#N/A</formula>
    </cfRule>
  </conditionalFormatting>
  <conditionalFormatting sqref="DH2:DI2">
    <cfRule type="cellIs" dxfId="72" priority="4" operator="equal">
      <formula>#N/A</formula>
    </cfRule>
  </conditionalFormatting>
  <conditionalFormatting sqref="E2:G2">
    <cfRule type="cellIs" dxfId="71" priority="3" operator="equal">
      <formula>#N/A</formula>
    </cfRule>
  </conditionalFormatting>
  <conditionalFormatting sqref="H2">
    <cfRule type="cellIs" dxfId="70" priority="2" operator="equal">
      <formula>#N/A</formula>
    </cfRule>
  </conditionalFormatting>
  <conditionalFormatting sqref="I2">
    <cfRule type="cellIs" dxfId="6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7" t="s">
        <v>32</v>
      </c>
      <c r="B4" s="85"/>
      <c r="C4" s="85" t="s">
        <v>157</v>
      </c>
      <c r="D4" s="85"/>
      <c r="E4" s="85"/>
      <c r="F4" s="85"/>
      <c r="G4" s="85"/>
      <c r="H4" s="85"/>
      <c r="I4" s="85"/>
      <c r="J4" s="85" t="s">
        <v>158</v>
      </c>
      <c r="K4" s="85"/>
      <c r="L4" s="85"/>
      <c r="M4" s="85" t="s">
        <v>159</v>
      </c>
      <c r="N4" s="85"/>
      <c r="O4" s="85" t="s">
        <v>160</v>
      </c>
      <c r="P4" s="85"/>
      <c r="Q4" s="85"/>
      <c r="R4" s="85"/>
      <c r="S4" s="85"/>
      <c r="T4" s="85"/>
      <c r="U4" s="85"/>
      <c r="V4" s="85" t="s">
        <v>161</v>
      </c>
      <c r="W4" s="85"/>
      <c r="X4" s="85"/>
      <c r="Y4" s="85"/>
      <c r="Z4" s="85"/>
      <c r="AA4" s="85" t="s">
        <v>11</v>
      </c>
      <c r="AB4" s="86"/>
      <c r="DA4" s="38" t="str">
        <f>+DA3</f>
        <v>AU SMALL FINANCE BANK</v>
      </c>
    </row>
  </sheetData>
  <sheetProtection algorithmName="SHA-512" hashValue="tMeDJlTNqkpySPc9o2sIM+gMF3R1plGG0N+dvV2+8WQjumNkZAMjDteEcCCythMidmecye3HwYDnLu2x7vYkYQ==" saltValue="DnAOrpCbR0prHUXDI1CD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68" priority="10" operator="equal">
      <formula>#N/A</formula>
    </cfRule>
  </conditionalFormatting>
  <conditionalFormatting sqref="H1">
    <cfRule type="cellIs" dxfId="67" priority="9" operator="equal">
      <formula>#N/A</formula>
    </cfRule>
  </conditionalFormatting>
  <conditionalFormatting sqref="E1">
    <cfRule type="cellIs" dxfId="66" priority="8" operator="equal">
      <formula>#N/A</formula>
    </cfRule>
  </conditionalFormatting>
  <conditionalFormatting sqref="I1">
    <cfRule type="containsText" dxfId="65" priority="6" operator="containsText" text="All Data Import Successfully">
      <formula>NOT(ISERROR(SEARCH("All Data Import Successfully",I1)))</formula>
    </cfRule>
    <cfRule type="containsText" dxfId="64" priority="7" operator="containsText" text="Difference Entry">
      <formula>NOT(ISERROR(SEARCH("Difference Entry",I1)))</formula>
    </cfRule>
  </conditionalFormatting>
  <conditionalFormatting sqref="DG2">
    <cfRule type="cellIs" dxfId="63" priority="5" operator="equal">
      <formula>#N/A</formula>
    </cfRule>
  </conditionalFormatting>
  <conditionalFormatting sqref="DH2:DI2">
    <cfRule type="cellIs" dxfId="62" priority="4" operator="equal">
      <formula>#N/A</formula>
    </cfRule>
  </conditionalFormatting>
  <conditionalFormatting sqref="E2:G2">
    <cfRule type="cellIs" dxfId="61" priority="3" operator="equal">
      <formula>#N/A</formula>
    </cfRule>
  </conditionalFormatting>
  <conditionalFormatting sqref="H2">
    <cfRule type="cellIs" dxfId="60" priority="2" operator="equal">
      <formula>#N/A</formula>
    </cfRule>
  </conditionalFormatting>
  <conditionalFormatting sqref="I2">
    <cfRule type="cellIs" dxfId="5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7</v>
      </c>
      <c r="U1" s="95" t="s">
        <v>172</v>
      </c>
      <c r="V1" s="95" t="s">
        <v>173</v>
      </c>
      <c r="W1" s="95" t="s">
        <v>168</v>
      </c>
      <c r="X1" s="102" t="s">
        <v>6</v>
      </c>
      <c r="Y1" s="102" t="s">
        <v>6</v>
      </c>
      <c r="Z1" s="95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211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1" t="s">
        <v>32</v>
      </c>
      <c r="B4" s="101" t="s">
        <v>18</v>
      </c>
      <c r="C4" s="101" t="s">
        <v>33</v>
      </c>
      <c r="D4" s="101" t="s">
        <v>99</v>
      </c>
      <c r="E4" s="101" t="s">
        <v>100</v>
      </c>
      <c r="F4" s="101" t="s">
        <v>22</v>
      </c>
      <c r="G4" s="101" t="s">
        <v>101</v>
      </c>
      <c r="DA4" s="38" t="str">
        <f>+DA3</f>
        <v>Prime Co-op. Bank A/c.</v>
      </c>
    </row>
  </sheetData>
  <sheetProtection algorithmName="SHA-512" hashValue="o53/PWpbOJohX0rsSw29pA9wPOk2/pOqw3iLtp+YBO6wiSF6dzt2aAjHgEWXcsAbvhWMBxnHngr9dTZknclfOQ==" saltValue="CzJz3yZYsyOWZAjZWqvs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8" priority="22" operator="equal">
      <formula>#N/A</formula>
    </cfRule>
  </conditionalFormatting>
  <conditionalFormatting sqref="DG2">
    <cfRule type="cellIs" dxfId="57" priority="17" operator="equal">
      <formula>#N/A</formula>
    </cfRule>
  </conditionalFormatting>
  <conditionalFormatting sqref="DH2:DI2">
    <cfRule type="cellIs" dxfId="56" priority="16" operator="equal">
      <formula>#N/A</formula>
    </cfRule>
  </conditionalFormatting>
  <conditionalFormatting sqref="I1">
    <cfRule type="cellIs" dxfId="55" priority="12" operator="equal">
      <formula>#N/A</formula>
    </cfRule>
  </conditionalFormatting>
  <conditionalFormatting sqref="H1">
    <cfRule type="cellIs" dxfId="54" priority="11" operator="equal">
      <formula>#N/A</formula>
    </cfRule>
  </conditionalFormatting>
  <conditionalFormatting sqref="E1">
    <cfRule type="cellIs" dxfId="53" priority="10" operator="equal">
      <formula>#N/A</formula>
    </cfRule>
  </conditionalFormatting>
  <conditionalFormatting sqref="I1">
    <cfRule type="containsText" dxfId="52" priority="8" operator="containsText" text="All Data Import Successfully">
      <formula>NOT(ISERROR(SEARCH("All Data Import Successfully",I1)))</formula>
    </cfRule>
    <cfRule type="containsText" dxfId="51" priority="9" operator="containsText" text="Difference Entry">
      <formula>NOT(ISERROR(SEARCH("Difference Entry",I1)))</formula>
    </cfRule>
  </conditionalFormatting>
  <conditionalFormatting sqref="I2">
    <cfRule type="cellIs" dxfId="50" priority="4" operator="equal">
      <formula>#N/A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166</v>
      </c>
      <c r="T1" s="95">
        <v>8</v>
      </c>
      <c r="U1" s="95" t="s">
        <v>173</v>
      </c>
      <c r="V1" s="95" t="s">
        <v>168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163</v>
      </c>
      <c r="B3" s="59"/>
      <c r="C3" s="58"/>
      <c r="D3" s="58" t="s">
        <v>212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10" t="s">
        <v>25</v>
      </c>
      <c r="B4" s="111" t="s">
        <v>18</v>
      </c>
      <c r="C4" s="112"/>
      <c r="D4" s="113" t="s">
        <v>125</v>
      </c>
      <c r="E4" s="113" t="s">
        <v>137</v>
      </c>
      <c r="F4" s="113" t="s">
        <v>164</v>
      </c>
      <c r="G4" s="113" t="s">
        <v>165</v>
      </c>
      <c r="H4" s="111" t="s">
        <v>31</v>
      </c>
      <c r="I4" s="88"/>
      <c r="DA4" s="38" t="str">
        <f>+DA3</f>
        <v>DCB Bank A/c.</v>
      </c>
    </row>
  </sheetData>
  <sheetProtection algorithmName="SHA-512" hashValue="gXgRBIwO92n0E9/PxVfki5X2ED/uZHmXhuJsoBYUMyiyaiGn5mTH/sfY53+3ZuRM0QChrBJgrPQIY8akGBwzdw==" saltValue="7mDAvE/6+kZAXktLtHUy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46" priority="18" operator="equal">
      <formula>#N/A</formula>
    </cfRule>
  </conditionalFormatting>
  <conditionalFormatting sqref="DG2">
    <cfRule type="cellIs" dxfId="45" priority="13" operator="equal">
      <formula>#N/A</formula>
    </cfRule>
  </conditionalFormatting>
  <conditionalFormatting sqref="DH2:DI2">
    <cfRule type="cellIs" dxfId="44" priority="12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/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216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4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3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5" t="s">
        <v>32</v>
      </c>
      <c r="B4" s="136"/>
      <c r="C4" s="136"/>
      <c r="D4" s="136"/>
      <c r="E4" s="136" t="s">
        <v>124</v>
      </c>
      <c r="F4" s="136"/>
      <c r="G4" s="136"/>
      <c r="H4" s="136"/>
      <c r="I4" s="136"/>
      <c r="J4" s="136" t="s">
        <v>80</v>
      </c>
      <c r="K4" s="136"/>
      <c r="L4" s="136"/>
      <c r="M4" s="136"/>
      <c r="N4" s="136"/>
      <c r="O4" s="137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8" t="e">
        <f>IF(G4="CR",VALUE("0"),VALUE(SUBSTITUTE((F4),",","")))</f>
        <v>#VALUE!</v>
      </c>
      <c r="DE4" s="138" t="e">
        <f>IF(G4="DR",VALUE("0"),VALUE(SUBSTITUTE((F4),",","")))</f>
        <v>#VALUE!</v>
      </c>
      <c r="DF4" s="138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9" t="e">
        <f>+VALUE(A4)</f>
        <v>#VALUE!</v>
      </c>
      <c r="DI4" s="69" t="e">
        <f>+IF(DE4=0,"Suspance Payment","Suspance Receipt")</f>
        <v>#VALUE!</v>
      </c>
      <c r="DJ4" s="25">
        <f>+C4</f>
        <v>0</v>
      </c>
      <c r="DK4" s="139">
        <f>+DK3+1</f>
        <v>2</v>
      </c>
    </row>
  </sheetData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341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343</v>
      </c>
      <c r="B3" s="59"/>
      <c r="C3" s="58"/>
      <c r="D3" s="58" t="s">
        <v>342</v>
      </c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337</v>
      </c>
      <c r="C4" s="104" t="s">
        <v>33</v>
      </c>
      <c r="D4" s="104" t="s">
        <v>338</v>
      </c>
      <c r="E4" s="104" t="s">
        <v>339</v>
      </c>
      <c r="F4" s="104" t="s">
        <v>340</v>
      </c>
      <c r="DA4" s="38" t="str">
        <f>+DA3</f>
        <v>Equitas Small Finance Bank</v>
      </c>
    </row>
  </sheetData>
  <sheetProtection algorithmName="SHA-512" hashValue="gw1RUQM4RbQT6oggOIc4zRVoC+cIfqayZY1Ix9VFzLsI/Yd243tMDoQztMUdhymrtA/mljwlxJ9RS/MFqN0mpA==" saltValue="xULSpe0oKteBxbLwQlzD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91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423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92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9" t="s">
        <v>422</v>
      </c>
      <c r="B3" s="59"/>
      <c r="C3" s="58"/>
      <c r="D3" s="58" t="s">
        <v>426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80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South Indian Bank</v>
      </c>
    </row>
  </sheetData>
  <sheetProtection algorithmName="SHA-512" hashValue="zE00+DE66JRwEIU6MzSie1cx29+Vq0p2cQYLSiaB9gg1yDti3r73svo/sjGmYvXKNZcFiQdKaXtbYnSnwKhVLw==" saltValue="3HpVlJ6l2pez6pYdKhc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tabSelected="1" workbookViewId="0">
      <selection activeCell="K15" sqref="K15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30" bestFit="1" customWidth="1"/>
    <col min="10" max="10" width="9.140625" style="130"/>
    <col min="11" max="11" width="19.85546875" style="130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292" t="s">
        <v>412</v>
      </c>
      <c r="O1" s="293"/>
    </row>
    <row r="2" spans="1:135">
      <c r="M2" s="178"/>
      <c r="N2" s="246"/>
      <c r="O2" s="247"/>
      <c r="BA2" t="s">
        <v>174</v>
      </c>
    </row>
    <row r="3" spans="1:135" ht="15.75" thickBot="1">
      <c r="N3" s="246"/>
      <c r="O3" s="247"/>
      <c r="BA3" t="s">
        <v>175</v>
      </c>
    </row>
    <row r="4" spans="1:135">
      <c r="E4" s="252"/>
      <c r="F4" s="253"/>
      <c r="G4" s="254"/>
      <c r="N4" s="246"/>
      <c r="O4" s="248"/>
      <c r="BA4" t="s">
        <v>176</v>
      </c>
    </row>
    <row r="5" spans="1:135">
      <c r="A5" s="6"/>
      <c r="B5" s="6"/>
      <c r="C5" s="6"/>
      <c r="D5" s="6"/>
      <c r="E5" s="255"/>
      <c r="F5" s="256"/>
      <c r="G5" s="257"/>
      <c r="H5" s="6"/>
      <c r="I5" s="5"/>
      <c r="J5" s="5"/>
      <c r="K5" s="5"/>
      <c r="L5" s="6"/>
      <c r="M5" s="6"/>
      <c r="N5" s="246"/>
      <c r="O5" s="247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5"/>
      <c r="F6" s="256"/>
      <c r="G6" s="257"/>
      <c r="H6" s="6"/>
      <c r="I6" s="5"/>
      <c r="J6" s="5"/>
      <c r="K6" s="5"/>
      <c r="L6" s="6"/>
      <c r="M6" s="6"/>
      <c r="N6" s="249" t="s">
        <v>400</v>
      </c>
      <c r="O6" s="250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5"/>
      <c r="F7" s="256"/>
      <c r="G7" s="257"/>
      <c r="H7" s="6"/>
      <c r="I7" s="5"/>
      <c r="J7" s="5"/>
      <c r="K7" s="5"/>
      <c r="L7" s="6" t="s">
        <v>398</v>
      </c>
      <c r="M7" s="6" t="b">
        <v>1</v>
      </c>
      <c r="N7" s="249" t="s">
        <v>401</v>
      </c>
      <c r="O7" s="250" t="s">
        <v>410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5"/>
      <c r="F8" s="256"/>
      <c r="G8" s="257"/>
      <c r="H8" s="6"/>
      <c r="I8" s="5"/>
      <c r="J8" s="5"/>
      <c r="K8" s="5"/>
      <c r="L8" s="6" t="s">
        <v>399</v>
      </c>
      <c r="M8" s="6" t="b">
        <v>1</v>
      </c>
      <c r="N8" s="249" t="s">
        <v>402</v>
      </c>
      <c r="O8" s="250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5"/>
      <c r="F9" s="256"/>
      <c r="G9" s="257"/>
      <c r="H9" s="6"/>
      <c r="I9" s="5"/>
      <c r="J9" s="5"/>
      <c r="K9" s="5"/>
      <c r="L9" s="6" t="s">
        <v>344</v>
      </c>
      <c r="M9" s="6" t="b">
        <v>0</v>
      </c>
      <c r="N9" s="249" t="s">
        <v>403</v>
      </c>
      <c r="O9" s="251" t="s">
        <v>416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5"/>
      <c r="F10" s="256"/>
      <c r="G10" s="257"/>
      <c r="H10" s="6"/>
      <c r="I10" s="5"/>
      <c r="J10" s="5"/>
      <c r="K10" s="5"/>
      <c r="L10" s="6" t="s">
        <v>345</v>
      </c>
      <c r="M10" s="6" t="b">
        <v>0</v>
      </c>
      <c r="N10" s="249" t="s">
        <v>404</v>
      </c>
      <c r="O10" s="250" t="s">
        <v>417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5"/>
      <c r="F11" s="256"/>
      <c r="G11" s="257"/>
      <c r="H11" s="6"/>
      <c r="I11" s="5"/>
      <c r="J11" s="5"/>
      <c r="K11" s="5"/>
      <c r="L11" s="6" t="s">
        <v>346</v>
      </c>
      <c r="M11" s="6" t="b">
        <v>0</v>
      </c>
      <c r="N11" s="249" t="s">
        <v>405</v>
      </c>
      <c r="O11" s="251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5"/>
      <c r="F12" s="256"/>
      <c r="G12" s="257"/>
      <c r="H12" s="6"/>
      <c r="I12" s="5"/>
      <c r="J12" s="5"/>
      <c r="K12" s="5"/>
      <c r="L12" s="6" t="s">
        <v>347</v>
      </c>
      <c r="M12" s="6" t="b">
        <v>0</v>
      </c>
      <c r="N12" s="249" t="s">
        <v>406</v>
      </c>
      <c r="O12" s="251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5"/>
      <c r="F13" s="256"/>
      <c r="G13" s="257"/>
      <c r="H13" s="6"/>
      <c r="I13" s="5"/>
      <c r="J13" s="5"/>
      <c r="K13" s="5"/>
      <c r="L13" s="6" t="s">
        <v>348</v>
      </c>
      <c r="M13" s="6" t="b">
        <v>0</v>
      </c>
      <c r="N13" s="249" t="s">
        <v>408</v>
      </c>
      <c r="O13" s="251" t="s">
        <v>411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5"/>
      <c r="F14" s="256"/>
      <c r="G14" s="257"/>
      <c r="H14" s="6"/>
      <c r="I14" s="5"/>
      <c r="J14" s="5"/>
      <c r="K14" s="5"/>
      <c r="L14" s="6" t="s">
        <v>349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5"/>
      <c r="F15" s="256"/>
      <c r="G15" s="257"/>
      <c r="H15" s="6"/>
      <c r="I15" s="5"/>
      <c r="J15" s="5"/>
      <c r="K15" s="5"/>
      <c r="L15" s="6" t="s">
        <v>350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5"/>
      <c r="F16" s="256"/>
      <c r="G16" s="257"/>
      <c r="H16" s="6"/>
      <c r="I16" s="5"/>
      <c r="J16" s="5"/>
      <c r="K16" s="5"/>
      <c r="L16" s="6" t="s">
        <v>351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5"/>
      <c r="F17" s="256"/>
      <c r="G17" s="257"/>
      <c r="H17" s="6"/>
      <c r="I17" s="5"/>
      <c r="J17" s="5"/>
      <c r="K17" s="5"/>
      <c r="L17" s="6" t="s">
        <v>352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5"/>
      <c r="F18" s="256"/>
      <c r="G18" s="257"/>
      <c r="H18" s="6"/>
      <c r="I18" s="5"/>
      <c r="J18" s="5"/>
      <c r="K18" s="5"/>
      <c r="L18" s="6" t="s">
        <v>353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5"/>
      <c r="F19" s="256"/>
      <c r="G19" s="257"/>
      <c r="H19" s="6"/>
      <c r="I19" s="5"/>
      <c r="J19" s="5"/>
      <c r="K19" s="5"/>
      <c r="L19" s="6" t="s">
        <v>354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5"/>
      <c r="F20" s="256"/>
      <c r="G20" s="257"/>
      <c r="H20" s="6"/>
      <c r="I20" s="5"/>
      <c r="J20" s="5"/>
      <c r="K20" s="5"/>
      <c r="L20" s="6" t="s">
        <v>355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5"/>
      <c r="F21" s="256"/>
      <c r="G21" s="257"/>
      <c r="H21" s="6"/>
      <c r="I21" s="5"/>
      <c r="J21" s="5"/>
      <c r="K21" s="5"/>
      <c r="L21" s="6" t="s">
        <v>356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5"/>
      <c r="F22" s="256"/>
      <c r="G22" s="257"/>
      <c r="H22" s="6"/>
      <c r="I22" s="5"/>
      <c r="J22" s="5"/>
      <c r="K22" s="5"/>
      <c r="L22" s="6" t="s">
        <v>357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5"/>
      <c r="F23" s="256"/>
      <c r="G23" s="257"/>
      <c r="H23" s="6"/>
      <c r="I23" s="5"/>
      <c r="J23" s="5"/>
      <c r="K23" s="5"/>
      <c r="L23" s="6" t="s">
        <v>358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5"/>
      <c r="F24" s="256"/>
      <c r="G24" s="257"/>
      <c r="H24" s="6"/>
      <c r="I24" s="5"/>
      <c r="J24" s="5"/>
      <c r="K24" s="5"/>
      <c r="L24" s="6" t="s">
        <v>359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5"/>
      <c r="F25" s="256"/>
      <c r="G25" s="257"/>
      <c r="H25" s="6"/>
      <c r="I25" s="5"/>
      <c r="J25" s="5"/>
      <c r="K25" s="5"/>
      <c r="L25" s="6" t="s">
        <v>361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5"/>
      <c r="F26" s="256"/>
      <c r="G26" s="257"/>
      <c r="H26" s="6"/>
      <c r="I26" s="5"/>
      <c r="J26" s="5"/>
      <c r="K26" s="5"/>
      <c r="L26" s="6" t="s">
        <v>362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5"/>
      <c r="F27" s="256"/>
      <c r="G27" s="257"/>
      <c r="H27" s="6"/>
      <c r="I27" s="5"/>
      <c r="J27" s="5"/>
      <c r="K27" s="5"/>
      <c r="L27" s="6" t="s">
        <v>363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5"/>
      <c r="F28" s="256"/>
      <c r="G28" s="257"/>
      <c r="H28" s="6"/>
      <c r="I28" s="5"/>
      <c r="J28" s="5"/>
      <c r="K28" s="5"/>
      <c r="L28" s="6" t="s">
        <v>364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5"/>
      <c r="F29" s="256"/>
      <c r="G29" s="257"/>
      <c r="H29" s="6"/>
      <c r="I29" s="5"/>
      <c r="J29" s="5"/>
      <c r="K29" s="5"/>
      <c r="L29" s="6" t="s">
        <v>360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5"/>
      <c r="F30" s="256"/>
      <c r="G30" s="257"/>
      <c r="H30" s="6"/>
      <c r="I30" s="5"/>
      <c r="J30" s="5"/>
      <c r="K30" s="5"/>
      <c r="L30" s="6" t="s">
        <v>415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5"/>
      <c r="F31" s="256"/>
      <c r="G31" s="257"/>
      <c r="H31" s="6"/>
      <c r="I31" s="5"/>
      <c r="J31" s="5"/>
      <c r="K31" s="5"/>
      <c r="L31" s="6" t="s">
        <v>365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5"/>
      <c r="F32" s="256"/>
      <c r="G32" s="257"/>
      <c r="H32" s="6"/>
      <c r="I32" s="5"/>
      <c r="J32" s="5"/>
      <c r="K32" s="5"/>
      <c r="L32" s="6" t="s">
        <v>366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5"/>
      <c r="F33" s="256"/>
      <c r="G33" s="257"/>
      <c r="H33" s="6"/>
      <c r="I33" s="5"/>
      <c r="J33" s="5"/>
      <c r="K33" s="5"/>
      <c r="L33" s="6" t="s">
        <v>367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5"/>
      <c r="F34" s="256"/>
      <c r="G34" s="257"/>
      <c r="H34" s="6"/>
      <c r="I34" s="5"/>
      <c r="J34" s="5"/>
      <c r="K34" s="5"/>
      <c r="L34" s="6" t="s">
        <v>368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5"/>
      <c r="F35" s="256"/>
      <c r="G35" s="257"/>
      <c r="H35" s="6"/>
      <c r="I35" s="5"/>
      <c r="J35" s="5"/>
      <c r="K35" s="5"/>
      <c r="L35" s="6" t="s">
        <v>369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5"/>
      <c r="F36" s="256"/>
      <c r="G36" s="257"/>
      <c r="H36" s="6"/>
      <c r="I36" s="5"/>
      <c r="J36" s="5"/>
      <c r="K36" s="5"/>
      <c r="L36" s="6" t="s">
        <v>370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5"/>
      <c r="F37" s="256"/>
      <c r="G37" s="257"/>
      <c r="H37" s="6"/>
      <c r="I37" s="5"/>
      <c r="J37" s="5"/>
      <c r="K37" s="5"/>
      <c r="L37" s="6" t="s">
        <v>371</v>
      </c>
      <c r="M37" s="6" t="b">
        <v>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5"/>
      <c r="F38" s="256"/>
      <c r="G38" s="257"/>
      <c r="H38" s="6"/>
      <c r="I38" s="5"/>
      <c r="J38" s="5"/>
      <c r="K38" s="5"/>
      <c r="L38" s="6" t="s">
        <v>372</v>
      </c>
      <c r="M38" s="6" t="b">
        <v>1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5"/>
      <c r="F39" s="256"/>
      <c r="G39" s="257"/>
      <c r="H39" s="6"/>
      <c r="I39" s="5"/>
      <c r="J39" s="5"/>
      <c r="K39" s="5"/>
      <c r="L39" s="6" t="s">
        <v>373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5"/>
      <c r="F40" s="256"/>
      <c r="G40" s="257"/>
      <c r="H40" s="6"/>
      <c r="I40" s="5"/>
      <c r="J40" s="5"/>
      <c r="K40" s="5"/>
      <c r="L40" s="6" t="s">
        <v>374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5"/>
      <c r="F41" s="256"/>
      <c r="G41" s="257"/>
      <c r="H41" s="6"/>
      <c r="I41" s="5"/>
      <c r="J41" s="5"/>
      <c r="K41" s="5"/>
      <c r="L41" s="6" t="s">
        <v>375</v>
      </c>
      <c r="M41" s="6" t="b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5"/>
      <c r="F42" s="256"/>
      <c r="G42" s="257"/>
      <c r="H42" s="6"/>
      <c r="I42" s="5"/>
      <c r="J42" s="5"/>
      <c r="K42" s="5"/>
      <c r="L42" s="6" t="s">
        <v>376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5"/>
      <c r="F43" s="256"/>
      <c r="G43" s="257"/>
      <c r="H43" s="6"/>
      <c r="I43" s="5"/>
      <c r="J43" s="5"/>
      <c r="K43" s="5"/>
      <c r="L43" s="6" t="s">
        <v>377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5"/>
      <c r="F44" s="256"/>
      <c r="G44" s="257"/>
      <c r="H44" s="6"/>
      <c r="I44" s="5"/>
      <c r="J44" s="5"/>
      <c r="K44" s="5"/>
      <c r="L44" s="6" t="s">
        <v>378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5"/>
      <c r="F45" s="256"/>
      <c r="G45" s="257"/>
      <c r="H45" s="6"/>
      <c r="I45" s="5"/>
      <c r="J45" s="5"/>
      <c r="K45" s="5"/>
      <c r="L45" s="6" t="s">
        <v>379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5"/>
      <c r="F46" s="256"/>
      <c r="G46" s="257"/>
      <c r="H46" s="6"/>
      <c r="I46" s="5"/>
      <c r="J46" s="5"/>
      <c r="K46" s="5"/>
      <c r="L46" s="6" t="s">
        <v>380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5"/>
      <c r="F47" s="256"/>
      <c r="G47" s="257"/>
      <c r="H47" s="6"/>
      <c r="I47" s="5"/>
      <c r="J47" s="5"/>
      <c r="K47" s="5"/>
      <c r="L47" s="6" t="s">
        <v>381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5"/>
      <c r="F48" s="256"/>
      <c r="G48" s="257"/>
      <c r="H48" s="6"/>
      <c r="I48" s="5"/>
      <c r="J48" s="5"/>
      <c r="K48" s="5"/>
      <c r="L48" s="6" t="s">
        <v>382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5"/>
      <c r="F49" s="256"/>
      <c r="G49" s="257"/>
      <c r="H49" s="6"/>
      <c r="I49" s="5"/>
      <c r="J49" s="5"/>
      <c r="K49" s="5"/>
      <c r="L49" s="6" t="s">
        <v>383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5"/>
      <c r="F50" s="256"/>
      <c r="G50" s="257"/>
      <c r="H50" s="6"/>
      <c r="I50" s="5"/>
      <c r="J50" s="5"/>
      <c r="K50" s="5"/>
      <c r="L50" s="6" t="s">
        <v>384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5"/>
      <c r="F51" s="256"/>
      <c r="G51" s="257"/>
      <c r="H51" s="6"/>
      <c r="I51" s="5"/>
      <c r="J51" s="5"/>
      <c r="K51" s="5"/>
      <c r="L51" s="6" t="s">
        <v>385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5"/>
      <c r="F52" s="256"/>
      <c r="G52" s="257"/>
      <c r="H52" s="6"/>
      <c r="I52" s="5"/>
      <c r="J52" s="5"/>
      <c r="K52" s="5"/>
      <c r="L52" s="6" t="s">
        <v>386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5"/>
      <c r="F53" s="256"/>
      <c r="G53" s="257"/>
      <c r="H53" s="6"/>
      <c r="I53" s="5"/>
      <c r="J53" s="5"/>
      <c r="K53" s="5"/>
      <c r="L53" s="6" t="s">
        <v>387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5"/>
      <c r="F54" s="256"/>
      <c r="G54" s="257"/>
      <c r="H54" s="6"/>
      <c r="I54" s="5"/>
      <c r="J54" s="5"/>
      <c r="K54" s="5"/>
      <c r="L54" s="6" t="s">
        <v>388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5"/>
      <c r="F55" s="256"/>
      <c r="G55" s="257"/>
      <c r="H55" s="6"/>
      <c r="I55" s="5"/>
      <c r="J55" s="5"/>
      <c r="K55" s="5"/>
      <c r="L55" s="6" t="s">
        <v>389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5"/>
      <c r="F56" s="256"/>
      <c r="G56" s="257"/>
      <c r="H56" s="6"/>
      <c r="I56" s="5"/>
      <c r="J56" s="5"/>
      <c r="K56" s="5"/>
      <c r="L56" s="6" t="s">
        <v>390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5"/>
      <c r="F57" s="256"/>
      <c r="G57" s="257"/>
      <c r="H57" s="6"/>
      <c r="I57" s="5"/>
      <c r="J57" s="5"/>
      <c r="K57" s="5"/>
      <c r="L57" s="6" t="s">
        <v>391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5"/>
      <c r="F58" s="256"/>
      <c r="G58" s="257"/>
      <c r="H58" s="6"/>
      <c r="I58" s="5"/>
      <c r="J58" s="5"/>
      <c r="K58" s="5"/>
      <c r="L58" s="6" t="s">
        <v>392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5"/>
      <c r="F59" s="256"/>
      <c r="G59" s="257"/>
      <c r="H59" s="6"/>
      <c r="I59" s="5"/>
      <c r="J59" s="5"/>
      <c r="K59" s="5"/>
      <c r="L59" s="6" t="s">
        <v>393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5"/>
      <c r="F60" s="256"/>
      <c r="G60" s="257"/>
      <c r="H60" s="6"/>
      <c r="I60" s="5"/>
      <c r="J60" s="5"/>
      <c r="K60" s="5"/>
      <c r="L60" s="6" t="s">
        <v>394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5"/>
      <c r="F61" s="256"/>
      <c r="G61" s="257"/>
      <c r="H61" s="6"/>
      <c r="I61" s="5"/>
      <c r="J61" s="5"/>
      <c r="K61" s="5"/>
      <c r="L61" s="6" t="s">
        <v>395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5"/>
      <c r="F62" s="256"/>
      <c r="G62" s="257"/>
      <c r="H62" s="6"/>
      <c r="I62" s="5"/>
      <c r="J62" s="5"/>
      <c r="K62" s="5"/>
      <c r="L62" s="6" t="s">
        <v>396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5"/>
      <c r="F63" s="256"/>
      <c r="G63" s="257"/>
      <c r="H63" s="6"/>
      <c r="I63" s="5"/>
      <c r="J63" s="5"/>
      <c r="K63" s="5"/>
      <c r="L63" s="6" t="s">
        <v>397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5"/>
      <c r="F64" s="256"/>
      <c r="G64" s="257"/>
      <c r="H64" s="6"/>
      <c r="I64" s="5"/>
      <c r="J64" s="5"/>
      <c r="K64" s="5"/>
      <c r="L64" s="6" t="s">
        <v>409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5"/>
      <c r="F65" s="256"/>
      <c r="G65" s="257"/>
      <c r="H65" s="6"/>
      <c r="I65" s="5"/>
      <c r="J65" s="5"/>
      <c r="K65" s="5" t="s">
        <v>422</v>
      </c>
      <c r="L65" s="6" t="s">
        <v>425</v>
      </c>
      <c r="M65" s="6" t="b">
        <v>1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5"/>
      <c r="F66" s="256"/>
      <c r="G66" s="257"/>
      <c r="H66" s="6"/>
      <c r="I66" s="5"/>
      <c r="J66" s="5"/>
      <c r="K66" s="5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 ht="15.75" thickBot="1">
      <c r="A67" s="6"/>
      <c r="B67" s="6"/>
      <c r="C67" s="6"/>
      <c r="D67" s="6"/>
      <c r="E67" s="270"/>
      <c r="F67" s="271"/>
      <c r="G67" s="272"/>
      <c r="H67" s="6"/>
      <c r="I67" s="5"/>
      <c r="J67" s="5"/>
      <c r="K67" s="5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982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3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4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5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6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7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8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9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0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1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2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3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4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5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6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7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8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9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0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1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2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3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4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5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6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7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8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9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0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1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2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3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4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5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6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7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8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9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0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1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2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3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4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5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6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7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8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9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3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4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5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6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7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8" r:id="rId60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D13" sqref="D13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4"/>
      <c r="B1" s="75"/>
      <c r="C1" s="75"/>
      <c r="D1" s="75"/>
      <c r="E1" s="75"/>
      <c r="F1" s="131" t="s">
        <v>57</v>
      </c>
      <c r="G1" s="76" t="s">
        <v>58</v>
      </c>
      <c r="H1" s="77" t="s">
        <v>59</v>
      </c>
      <c r="I1" s="75"/>
      <c r="J1" s="67" t="s">
        <v>57</v>
      </c>
      <c r="K1" s="78"/>
      <c r="L1" s="1"/>
      <c r="M1" s="2"/>
      <c r="P1" s="6"/>
      <c r="Q1" s="6"/>
      <c r="R1" s="6"/>
    </row>
    <row r="2" spans="1:135" customFormat="1" ht="26.25" customHeight="1">
      <c r="A2" s="79"/>
      <c r="B2" s="80"/>
      <c r="C2" s="81"/>
      <c r="D2" s="81"/>
      <c r="E2" s="81"/>
      <c r="F2" s="132">
        <f>+G2+H2</f>
        <v>0</v>
      </c>
      <c r="G2" s="72">
        <f>+COUNTIF($D:$D,"&gt;"&amp;0)</f>
        <v>0</v>
      </c>
      <c r="H2" s="73">
        <f>+COUNTIF($E:$E,"&gt;"&amp;0)</f>
        <v>0</v>
      </c>
      <c r="I2" s="81"/>
      <c r="J2" s="71"/>
      <c r="K2" s="82"/>
      <c r="P2" s="6"/>
      <c r="Q2" s="6"/>
      <c r="R2" s="6"/>
    </row>
    <row r="3" spans="1:135" customFormat="1" ht="26.25" customHeight="1">
      <c r="A3" s="79"/>
      <c r="B3" s="81"/>
      <c r="C3" s="264" t="s">
        <v>418</v>
      </c>
      <c r="D3" s="265" t="s">
        <v>410</v>
      </c>
      <c r="E3" s="266"/>
      <c r="F3" s="261"/>
      <c r="G3" s="261"/>
      <c r="H3" s="81"/>
      <c r="I3" s="81"/>
      <c r="J3" s="82"/>
      <c r="K3" s="82"/>
      <c r="P3" s="6"/>
      <c r="Q3" s="6"/>
      <c r="R3" s="6"/>
    </row>
    <row r="4" spans="1:135" customFormat="1" ht="26.25" customHeight="1" thickBot="1">
      <c r="A4" s="83"/>
      <c r="B4" s="84"/>
      <c r="C4" s="267" t="str">
        <f>+IF(ISBLANK(D4),"","GST No. :")</f>
        <v>GST No. :</v>
      </c>
      <c r="D4" s="268" t="s">
        <v>421</v>
      </c>
      <c r="E4" s="269"/>
      <c r="F4" s="263" t="s">
        <v>424</v>
      </c>
      <c r="G4" s="262"/>
      <c r="H4" s="84"/>
      <c r="I4" s="84"/>
      <c r="J4" s="82"/>
      <c r="K4" s="82"/>
      <c r="P4" s="6"/>
      <c r="Q4" s="6"/>
      <c r="R4" s="6"/>
    </row>
    <row r="5" spans="1:135" customFormat="1" ht="15.75" thickBot="1">
      <c r="A5" s="273" t="s">
        <v>5</v>
      </c>
      <c r="B5" s="274" t="s">
        <v>7</v>
      </c>
      <c r="C5" s="275" t="s">
        <v>8</v>
      </c>
      <c r="D5" s="276" t="s">
        <v>9</v>
      </c>
      <c r="E5" s="276" t="s">
        <v>10</v>
      </c>
      <c r="F5" s="277" t="s">
        <v>11</v>
      </c>
      <c r="G5" s="274" t="s">
        <v>12</v>
      </c>
      <c r="H5" s="274" t="s">
        <v>13</v>
      </c>
      <c r="I5" s="274" t="s">
        <v>14</v>
      </c>
      <c r="J5" s="274" t="s">
        <v>15</v>
      </c>
      <c r="K5" s="278" t="s">
        <v>420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AmdE3xlp8nngaLX/RnY7/J79FdotUbVZ9thb0y5/R1N1dYJEm1AHmaXn0We3ra59++kvieQlRNfcMVpRQ1qLGw==" saltValue="QlPXQmNDypuuDeqW3iGigA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O3" t="s">
        <v>410</v>
      </c>
    </row>
    <row r="4" spans="1:15">
      <c r="O4" t="s">
        <v>421</v>
      </c>
    </row>
    <row r="6" spans="1:15">
      <c r="A6" s="243" t="s">
        <v>400</v>
      </c>
      <c r="B6" s="244">
        <v>29505</v>
      </c>
    </row>
    <row r="7" spans="1:15">
      <c r="A7" s="243" t="s">
        <v>401</v>
      </c>
      <c r="B7" s="244" t="s">
        <v>410</v>
      </c>
    </row>
    <row r="8" spans="1:15">
      <c r="A8" s="243" t="s">
        <v>402</v>
      </c>
      <c r="B8" s="244">
        <v>9173555942</v>
      </c>
    </row>
    <row r="9" spans="1:15">
      <c r="A9" s="243" t="s">
        <v>403</v>
      </c>
      <c r="B9" s="244" t="s">
        <v>416</v>
      </c>
    </row>
    <row r="10" spans="1:15">
      <c r="A10" s="243" t="s">
        <v>404</v>
      </c>
      <c r="B10" s="244" t="s">
        <v>417</v>
      </c>
    </row>
    <row r="11" spans="1:15">
      <c r="A11" s="243" t="s">
        <v>405</v>
      </c>
      <c r="B11" s="245">
        <v>45573</v>
      </c>
    </row>
    <row r="12" spans="1:15">
      <c r="A12" s="243" t="s">
        <v>406</v>
      </c>
      <c r="B12" s="245">
        <v>45809</v>
      </c>
    </row>
    <row r="13" spans="1:15">
      <c r="A13" s="243" t="s">
        <v>407</v>
      </c>
      <c r="B13" s="245" t="s">
        <v>411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2024-12-11T10:37:00Z</dcterms:modified>
</cp:coreProperties>
</file>