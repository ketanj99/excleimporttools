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68.xml" ContentType="application/vnd.openxmlformats-officedocument.drawing+xml"/>
  <Override PartName="/xl/drawings/drawing6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43D8A8DE-D70C-4A51-95E6-05A1E08AE2FF}" xr6:coauthVersionLast="47" xr6:coauthVersionMax="47" xr10:uidLastSave="{00000000-0000-0000-0000-000000000000}"/>
  <bookViews>
    <workbookView xWindow="-120" yWindow="-120" windowWidth="29040" windowHeight="15840" firstSheet="2" activeTab="66" xr2:uid="{00000000-000D-0000-FFFF-FFFF00000000}"/>
  </bookViews>
  <sheets>
    <sheet name="AU" sheetId="36" state="hidden" r:id="rId1"/>
    <sheet name="AU (P)" sheetId="49" state="hidden" r:id="rId2"/>
    <sheet name="Axis (P)" sheetId="74" r:id="rId3"/>
    <sheet name="Axis(C)" sheetId="19" state="hidden" r:id="rId4"/>
    <sheet name="Axis(C) (P)" sheetId="57" state="hidden" r:id="rId5"/>
    <sheet name="Axis(S)" sheetId="4" r:id="rId6"/>
    <sheet name="Axis(S) (2)" sheetId="62" state="hidden" r:id="rId7"/>
    <sheet name="Axis(S) (P)" sheetId="41" state="hidden" r:id="rId8"/>
    <sheet name="Bandhan" sheetId="11" state="hidden" r:id="rId9"/>
    <sheet name="BOB(C)" sheetId="7" state="hidden" r:id="rId10"/>
    <sheet name="BOB(P)" sheetId="70" state="hidden" r:id="rId11"/>
    <sheet name="BOB(P) (2)" sheetId="75" r:id="rId12"/>
    <sheet name="BOB(S)" sheetId="13" state="hidden" r:id="rId13"/>
    <sheet name="BOI" sheetId="16" state="hidden" r:id="rId14"/>
    <sheet name="BOI (P)" sheetId="73" r:id="rId15"/>
    <sheet name="Canara" sheetId="69" state="hidden" r:id="rId16"/>
    <sheet name="CBI" sheetId="31" state="hidden" r:id="rId17"/>
    <sheet name="CBI (P)" sheetId="58" state="hidden" r:id="rId18"/>
    <sheet name="CityUni (P)" sheetId="63" state="hidden" r:id="rId19"/>
    <sheet name="DCB" sheetId="37" state="hidden" r:id="rId20"/>
    <sheet name="Equitas" sheetId="64" state="hidden" r:id="rId21"/>
    <sheet name="Federal" sheetId="34" state="hidden" r:id="rId22"/>
    <sheet name="Federal (P)" sheetId="78" r:id="rId23"/>
    <sheet name="HDFC" sheetId="3" state="hidden" r:id="rId24"/>
    <sheet name="HDFC (P)" sheetId="42" state="hidden" r:id="rId25"/>
    <sheet name="ICICI 3 (P)" sheetId="76" state="hidden" r:id="rId26"/>
    <sheet name="ICICI(C)" sheetId="2" state="hidden" r:id="rId27"/>
    <sheet name="ICICI(C) (P)" sheetId="40" state="hidden" r:id="rId28"/>
    <sheet name="ICICI(C)2 (P)" sheetId="60" r:id="rId29"/>
    <sheet name="ICICI(S)" sheetId="27" state="hidden" r:id="rId30"/>
    <sheet name="ICICI(S) (P)" sheetId="56" state="hidden" r:id="rId31"/>
    <sheet name="IDBI" sheetId="5" state="hidden" r:id="rId32"/>
    <sheet name="IDBI (P)" sheetId="43" state="hidden" r:id="rId33"/>
    <sheet name="IDBI(S) (P)" sheetId="50" state="hidden" r:id="rId34"/>
    <sheet name="IDFC" sheetId="24" state="hidden" r:id="rId35"/>
    <sheet name="IDFC (P)" sheetId="44" state="hidden" r:id="rId36"/>
    <sheet name="Indian" sheetId="10" state="hidden" r:id="rId37"/>
    <sheet name="indusind" sheetId="14" state="hidden" r:id="rId38"/>
    <sheet name="indusind (P)" sheetId="45" state="hidden" r:id="rId39"/>
    <sheet name="Kalupur (P)" sheetId="48" state="hidden" r:id="rId40"/>
    <sheet name="Kotak (P)" sheetId="46" state="hidden" r:id="rId41"/>
    <sheet name="Kotak(C)" sheetId="6" state="hidden" r:id="rId42"/>
    <sheet name="Kotak(S)" sheetId="23" state="hidden" r:id="rId43"/>
    <sheet name="Kotak2 (P)" sheetId="55" state="hidden" r:id="rId44"/>
    <sheet name="Kotak3 (P)" sheetId="59" state="hidden" r:id="rId45"/>
    <sheet name="NEWINDIA(P)" sheetId="71" state="hidden" r:id="rId46"/>
    <sheet name="PNB" sheetId="25" state="hidden" r:id="rId47"/>
    <sheet name="PNB (2)" sheetId="61" state="hidden" r:id="rId48"/>
    <sheet name="Prime" sheetId="29" state="hidden" r:id="rId49"/>
    <sheet name="RBL" sheetId="22" state="hidden" r:id="rId50"/>
    <sheet name="RNSBE" sheetId="20" state="hidden" r:id="rId51"/>
    <sheet name="Saraswat" sheetId="38" state="hidden" r:id="rId52"/>
    <sheet name="SBI" sheetId="1" state="hidden" r:id="rId53"/>
    <sheet name="SBI (P)" sheetId="47" state="hidden" r:id="rId54"/>
    <sheet name="SCOPB (P)" sheetId="72" state="hidden" r:id="rId55"/>
    <sheet name="SDCB" sheetId="26" state="hidden" r:id="rId56"/>
    <sheet name="SDCB (P)" sheetId="66" state="hidden" r:id="rId57"/>
    <sheet name="SIB" sheetId="67" state="hidden" r:id="rId58"/>
    <sheet name="SNCB" sheetId="33" state="hidden" r:id="rId59"/>
    <sheet name="UCO" sheetId="32" state="hidden" r:id="rId60"/>
    <sheet name="Union" sheetId="54" state="hidden" r:id="rId61"/>
    <sheet name="Union (P)" sheetId="28" state="hidden" r:id="rId62"/>
    <sheet name="Union2 (P)" sheetId="51" state="hidden" r:id="rId63"/>
    <sheet name="Varachha" sheetId="15" state="hidden" r:id="rId64"/>
    <sheet name="Varachha (P)" sheetId="53" state="hidden" r:id="rId65"/>
    <sheet name="Yes" sheetId="9" state="hidden" r:id="rId66"/>
    <sheet name="Help" sheetId="30" r:id="rId67"/>
    <sheet name="Master" sheetId="8" r:id="rId68"/>
    <sheet name="Registration" sheetId="65" state="hidden" r:id="rId69"/>
  </sheets>
  <functionGroups builtInGroupCount="19"/>
  <definedNames>
    <definedName name="_xlnm._FilterDatabase" localSheetId="59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F3" i="78" l="1"/>
  <c r="DE3" i="78"/>
  <c r="DI3" i="78" s="1"/>
  <c r="DD3" i="78"/>
  <c r="DH3" i="78"/>
  <c r="DJ3" i="78"/>
  <c r="G2" i="78"/>
  <c r="DK3" i="78"/>
  <c r="DB3" i="78"/>
  <c r="DC3" i="78" s="1"/>
  <c r="DA3" i="78"/>
  <c r="DA4" i="78" s="1"/>
  <c r="E2" i="78"/>
  <c r="DJ3" i="76"/>
  <c r="DE3" i="76"/>
  <c r="DI3" i="76" s="1"/>
  <c r="DD3" i="76"/>
  <c r="DB3" i="76"/>
  <c r="DC3" i="76" s="1"/>
  <c r="G2" i="76"/>
  <c r="DK3" i="76"/>
  <c r="DF3" i="76"/>
  <c r="DA3" i="76"/>
  <c r="DA4" i="76" s="1"/>
  <c r="E2" i="76"/>
  <c r="DD3" i="75"/>
  <c r="DJ3" i="75"/>
  <c r="DI3" i="75"/>
  <c r="DF3" i="75"/>
  <c r="DE3" i="75"/>
  <c r="DB3" i="75"/>
  <c r="DK3" i="75"/>
  <c r="DH3" i="75"/>
  <c r="DA3" i="75"/>
  <c r="DA4" i="75" s="1"/>
  <c r="DA2" i="75"/>
  <c r="G2" i="75"/>
  <c r="F2" i="75"/>
  <c r="E2" i="75"/>
  <c r="DF3" i="74"/>
  <c r="DE3" i="74"/>
  <c r="DI3" i="74" s="1"/>
  <c r="DD3" i="74"/>
  <c r="DK3" i="74"/>
  <c r="DJ3" i="74"/>
  <c r="DH3" i="74"/>
  <c r="DG3" i="74"/>
  <c r="DB3" i="74"/>
  <c r="DA3" i="74"/>
  <c r="DA4" i="74" s="1"/>
  <c r="E2" i="74"/>
  <c r="DJ3" i="73"/>
  <c r="DH3" i="73"/>
  <c r="DB3" i="73"/>
  <c r="DK3" i="73"/>
  <c r="DI3" i="73"/>
  <c r="DF3" i="73"/>
  <c r="DE3" i="73"/>
  <c r="DD3" i="73"/>
  <c r="DA2" i="73"/>
  <c r="DA3" i="73" s="1"/>
  <c r="DA4" i="73" s="1"/>
  <c r="E2" i="73"/>
  <c r="DH3" i="72"/>
  <c r="DB3" i="72"/>
  <c r="G2" i="72"/>
  <c r="DJ3" i="72"/>
  <c r="DF3" i="72"/>
  <c r="DE3" i="72"/>
  <c r="DI3" i="72" s="1"/>
  <c r="DD3" i="72"/>
  <c r="F2" i="72"/>
  <c r="DK3" i="72"/>
  <c r="DA2" i="72"/>
  <c r="DA3" i="72" s="1"/>
  <c r="DA4" i="72" s="1"/>
  <c r="E2" i="72"/>
  <c r="DB3" i="2"/>
  <c r="DE3" i="58"/>
  <c r="DD3" i="58"/>
  <c r="DF3" i="71"/>
  <c r="G2" i="71"/>
  <c r="DJ3" i="71"/>
  <c r="DH3" i="71"/>
  <c r="DE3" i="71"/>
  <c r="DD3" i="71"/>
  <c r="DB3" i="71"/>
  <c r="DK3" i="71"/>
  <c r="DI3" i="71"/>
  <c r="DA3" i="71"/>
  <c r="DA4" i="71" s="1"/>
  <c r="F2" i="71"/>
  <c r="E2" i="71"/>
  <c r="DK3" i="70"/>
  <c r="DJ3" i="70"/>
  <c r="DH3" i="70"/>
  <c r="DF3" i="70"/>
  <c r="DE3" i="70"/>
  <c r="DI3" i="70" s="1"/>
  <c r="DD3" i="70"/>
  <c r="DB3" i="70"/>
  <c r="DC3" i="70" s="1"/>
  <c r="DA3" i="70"/>
  <c r="DG3" i="78"/>
  <c r="DG3" i="76"/>
  <c r="F2" i="78" l="1"/>
  <c r="H2" i="78" s="1"/>
  <c r="I2" i="78" s="1"/>
  <c r="DH3" i="76"/>
  <c r="F2" i="76"/>
  <c r="H2" i="76" s="1"/>
  <c r="I2" i="76" s="1"/>
  <c r="DC3" i="75"/>
  <c r="H2" i="75"/>
  <c r="I2" i="75"/>
  <c r="DC3" i="74"/>
  <c r="G2" i="74"/>
  <c r="F2" i="74"/>
  <c r="DC3" i="73"/>
  <c r="F2" i="73"/>
  <c r="H2" i="73" s="1"/>
  <c r="I2" i="73" s="1"/>
  <c r="G2" i="73"/>
  <c r="DC3" i="72"/>
  <c r="H2" i="72"/>
  <c r="I2" i="72" s="1"/>
  <c r="DC3" i="71"/>
  <c r="H2" i="71"/>
  <c r="I2" i="71" s="1"/>
  <c r="F2" i="70"/>
  <c r="DA4" i="70"/>
  <c r="DA2" i="70"/>
  <c r="G2" i="70"/>
  <c r="E2" i="70"/>
  <c r="DH3" i="50"/>
  <c r="DB3" i="62"/>
  <c r="DJ3" i="69"/>
  <c r="DF3" i="69"/>
  <c r="DE3" i="69"/>
  <c r="DI3" i="69" s="1"/>
  <c r="DD3" i="69"/>
  <c r="DK3" i="69"/>
  <c r="DH3" i="69"/>
  <c r="DB3" i="69"/>
  <c r="DA3" i="69"/>
  <c r="DA4" i="69" s="1"/>
  <c r="E2" i="69"/>
  <c r="DE3" i="62"/>
  <c r="DD3" i="62"/>
  <c r="DF3" i="67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H2" i="74" l="1"/>
  <c r="I2" i="74" s="1"/>
  <c r="H2" i="70"/>
  <c r="I2" i="70" s="1"/>
  <c r="G2" i="69"/>
  <c r="F2" i="69"/>
  <c r="DC3" i="69"/>
  <c r="F2" i="67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E2" i="29"/>
  <c r="DK3" i="36"/>
  <c r="DJ3" i="36"/>
  <c r="DH3" i="36"/>
  <c r="DG3" i="36"/>
  <c r="DF3" i="36"/>
  <c r="DE3" i="36"/>
  <c r="DI3" i="36" s="1"/>
  <c r="DD3" i="36"/>
  <c r="G2" i="36" s="1"/>
  <c r="DB3" i="36"/>
  <c r="DA2" i="36"/>
  <c r="DA3" i="36" s="1"/>
  <c r="DA4" i="36" s="1"/>
  <c r="E2" i="36"/>
  <c r="DK3" i="26"/>
  <c r="DJ3" i="26"/>
  <c r="DH3" i="26"/>
  <c r="DG3" i="26"/>
  <c r="DF3" i="26"/>
  <c r="DE3" i="26"/>
  <c r="DI3" i="26" s="1"/>
  <c r="DD3" i="26"/>
  <c r="G2" i="26" s="1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G2" i="33" s="1"/>
  <c r="DB3" i="33"/>
  <c r="DA3" i="33"/>
  <c r="DA4" i="33" s="1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E2" i="15"/>
  <c r="DK3" i="34"/>
  <c r="DJ3" i="34"/>
  <c r="DH3" i="34"/>
  <c r="DF3" i="34"/>
  <c r="DE3" i="34"/>
  <c r="DI3" i="34" s="1"/>
  <c r="DD3" i="34"/>
  <c r="G2" i="34" s="1"/>
  <c r="DB3" i="34"/>
  <c r="DA3" i="34"/>
  <c r="DA4" i="34" s="1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E2" i="20"/>
  <c r="DK3" i="61"/>
  <c r="DJ3" i="61"/>
  <c r="DF3" i="61"/>
  <c r="DE3" i="61"/>
  <c r="DI3" i="61" s="1"/>
  <c r="DD3" i="61"/>
  <c r="G2" i="61" s="1"/>
  <c r="DB3" i="61"/>
  <c r="DH3" i="61" s="1"/>
  <c r="DA3" i="61"/>
  <c r="DA4" i="61" s="1"/>
  <c r="E2" i="61"/>
  <c r="DK3" i="25"/>
  <c r="DJ3" i="25"/>
  <c r="DH3" i="25"/>
  <c r="DG3" i="25"/>
  <c r="DF3" i="25"/>
  <c r="DE3" i="25"/>
  <c r="DI3" i="25" s="1"/>
  <c r="DD3" i="25"/>
  <c r="G2" i="25" s="1"/>
  <c r="DB3" i="25"/>
  <c r="DA3" i="25"/>
  <c r="DA4" i="25" s="1"/>
  <c r="E2" i="25"/>
  <c r="DK3" i="13"/>
  <c r="DJ3" i="13"/>
  <c r="DH3" i="13"/>
  <c r="DG3" i="13"/>
  <c r="DF3" i="13"/>
  <c r="DE3" i="13"/>
  <c r="DI3" i="13" s="1"/>
  <c r="DD3" i="13"/>
  <c r="G2" i="13" s="1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E2" i="31"/>
  <c r="DK3" i="32"/>
  <c r="DJ3" i="32"/>
  <c r="DH3" i="32"/>
  <c r="DF3" i="32"/>
  <c r="DE3" i="32"/>
  <c r="DI3" i="32" s="1"/>
  <c r="DD3" i="32"/>
  <c r="G2" i="32" s="1"/>
  <c r="DB3" i="32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DB3" i="16"/>
  <c r="DA3" i="16"/>
  <c r="DA4" i="16" s="1"/>
  <c r="E2" i="16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E2" i="54"/>
  <c r="DK3" i="22"/>
  <c r="DJ3" i="22"/>
  <c r="DH3" i="22"/>
  <c r="DG3" i="22"/>
  <c r="DF3" i="22"/>
  <c r="DE3" i="22"/>
  <c r="DI3" i="22" s="1"/>
  <c r="DD3" i="22"/>
  <c r="G2" i="22" s="1"/>
  <c r="DB3" i="22"/>
  <c r="DA3" i="22"/>
  <c r="DA4" i="22" s="1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E2" i="24"/>
  <c r="DK3" i="10"/>
  <c r="DJ3" i="10"/>
  <c r="DH3" i="10"/>
  <c r="DG3" i="10"/>
  <c r="DF3" i="10"/>
  <c r="DE3" i="10"/>
  <c r="DI3" i="10" s="1"/>
  <c r="DD3" i="10"/>
  <c r="G2" i="10" s="1"/>
  <c r="DB3" i="10"/>
  <c r="DA3" i="10"/>
  <c r="DA4" i="10" s="1"/>
  <c r="E2" i="10"/>
  <c r="DK3" i="11"/>
  <c r="DJ3" i="11"/>
  <c r="DG3" i="11"/>
  <c r="DF3" i="11"/>
  <c r="DE3" i="11"/>
  <c r="DI3" i="11" s="1"/>
  <c r="DD3" i="11"/>
  <c r="G2" i="11" s="1"/>
  <c r="DB3" i="11"/>
  <c r="DA2" i="11"/>
  <c r="DA3" i="11" s="1"/>
  <c r="DA4" i="11" s="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E2" i="5"/>
  <c r="DK3" i="14"/>
  <c r="DJ3" i="14"/>
  <c r="DH3" i="14"/>
  <c r="DG3" i="14"/>
  <c r="DF3" i="14"/>
  <c r="DE3" i="14"/>
  <c r="F2" i="14" s="1"/>
  <c r="DD3" i="14"/>
  <c r="G2" i="14" s="1"/>
  <c r="DB3" i="14"/>
  <c r="DA2" i="14"/>
  <c r="DA3" i="14" s="1"/>
  <c r="DA4" i="14" s="1"/>
  <c r="E2" i="14"/>
  <c r="DK3" i="9"/>
  <c r="DJ3" i="9"/>
  <c r="DH3" i="9"/>
  <c r="DG3" i="9"/>
  <c r="DF3" i="9"/>
  <c r="DE3" i="9"/>
  <c r="DI3" i="9" s="1"/>
  <c r="DD3" i="9"/>
  <c r="G2" i="9" s="1"/>
  <c r="DB3" i="9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I3" i="62"/>
  <c r="G2" i="62"/>
  <c r="DA3" i="62"/>
  <c r="DA4" i="62" s="1"/>
  <c r="E2" i="62"/>
  <c r="DK3" i="4"/>
  <c r="DJ3" i="4"/>
  <c r="DH3" i="4"/>
  <c r="DG3" i="4"/>
  <c r="DF3" i="4"/>
  <c r="DE3" i="4"/>
  <c r="F2" i="4" s="1"/>
  <c r="DD3" i="4"/>
  <c r="G2" i="4" s="1"/>
  <c r="DB3" i="4"/>
  <c r="DA3" i="4"/>
  <c r="DA4" i="4" s="1"/>
  <c r="E2" i="4"/>
  <c r="DL4" i="23"/>
  <c r="DK3" i="23"/>
  <c r="DJ3" i="23"/>
  <c r="DF3" i="23"/>
  <c r="DE3" i="23"/>
  <c r="DI3" i="23" s="1"/>
  <c r="DD3" i="23"/>
  <c r="G2" i="23" s="1"/>
  <c r="DB3" i="23"/>
  <c r="DA2" i="23"/>
  <c r="DA3" i="23" s="1"/>
  <c r="DA4" i="23" s="1"/>
  <c r="E2" i="23"/>
  <c r="DK3" i="6"/>
  <c r="DJ3" i="6"/>
  <c r="DH3" i="6"/>
  <c r="DF3" i="6"/>
  <c r="DE3" i="6"/>
  <c r="DI3" i="6" s="1"/>
  <c r="DD3" i="6"/>
  <c r="G2" i="6" s="1"/>
  <c r="DB3" i="6"/>
  <c r="DA3" i="6"/>
  <c r="DA4" i="6" s="1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E2" i="27"/>
  <c r="DK3" i="2"/>
  <c r="DJ3" i="2"/>
  <c r="DH3" i="2"/>
  <c r="DF3" i="2"/>
  <c r="DC3" i="2" s="1"/>
  <c r="DE3" i="2"/>
  <c r="DI3" i="2" s="1"/>
  <c r="DD3" i="2"/>
  <c r="G2" i="2" s="1"/>
  <c r="DA3" i="2"/>
  <c r="DA4" i="2" s="1"/>
  <c r="E2" i="2"/>
  <c r="DK3" i="58"/>
  <c r="DJ3" i="58"/>
  <c r="DH3" i="58"/>
  <c r="DF3" i="58"/>
  <c r="F2" i="58"/>
  <c r="G2" i="58"/>
  <c r="DB3" i="58"/>
  <c r="DA3" i="58"/>
  <c r="DA4" i="58" s="1"/>
  <c r="E2" i="58"/>
  <c r="DK3" i="59"/>
  <c r="DJ3" i="59"/>
  <c r="DH3" i="59"/>
  <c r="DF3" i="59"/>
  <c r="DE3" i="59"/>
  <c r="DI3" i="59" s="1"/>
  <c r="DD3" i="59"/>
  <c r="G2" i="59" s="1"/>
  <c r="DB3" i="59"/>
  <c r="DA3" i="59"/>
  <c r="DA4" i="59" s="1"/>
  <c r="E2" i="59"/>
  <c r="DK3" i="55"/>
  <c r="DJ3" i="55"/>
  <c r="DG3" i="55"/>
  <c r="DF3" i="55"/>
  <c r="DE3" i="55"/>
  <c r="DI3" i="55" s="1"/>
  <c r="DD3" i="55"/>
  <c r="G2" i="55" s="1"/>
  <c r="DB3" i="55"/>
  <c r="DH3" i="55" s="1"/>
  <c r="DA3" i="55"/>
  <c r="DA4" i="55" s="1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E2" i="46"/>
  <c r="DK3" i="53"/>
  <c r="DJ3" i="53"/>
  <c r="DH3" i="53"/>
  <c r="DG3" i="53"/>
  <c r="DF3" i="53"/>
  <c r="DE3" i="53"/>
  <c r="DI3" i="53" s="1"/>
  <c r="DD3" i="53"/>
  <c r="G2" i="53" s="1"/>
  <c r="DB3" i="53"/>
  <c r="DA3" i="53"/>
  <c r="DA4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G2" i="28" s="1"/>
  <c r="DB3" i="28"/>
  <c r="DH3" i="28" s="1"/>
  <c r="DA3" i="28"/>
  <c r="DA4" i="28" s="1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E2" i="47"/>
  <c r="DK3" i="49"/>
  <c r="DJ3" i="49"/>
  <c r="DH3" i="49"/>
  <c r="DF3" i="49"/>
  <c r="DE3" i="49"/>
  <c r="DI3" i="49" s="1"/>
  <c r="DD3" i="49"/>
  <c r="G2" i="49" s="1"/>
  <c r="DB3" i="49"/>
  <c r="DA2" i="49"/>
  <c r="DA3" i="49" s="1"/>
  <c r="DA4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E2" i="48"/>
  <c r="DK3" i="45"/>
  <c r="DJ3" i="45"/>
  <c r="DH3" i="45"/>
  <c r="DF3" i="45"/>
  <c r="DE3" i="45"/>
  <c r="DD3" i="45"/>
  <c r="G2" i="45" s="1"/>
  <c r="DB3" i="45"/>
  <c r="DA2" i="45"/>
  <c r="DA3" i="45" s="1"/>
  <c r="DA4" i="45" s="1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E2" i="44"/>
  <c r="DK3" i="50"/>
  <c r="DJ3" i="50"/>
  <c r="DF3" i="50"/>
  <c r="DE3" i="50"/>
  <c r="DI3" i="50" s="1"/>
  <c r="DD3" i="50"/>
  <c r="G2" i="50" s="1"/>
  <c r="DB3" i="50"/>
  <c r="DA2" i="50"/>
  <c r="DA3" i="50" s="1"/>
  <c r="DA4" i="50" s="1"/>
  <c r="E2" i="50"/>
  <c r="DK3" i="43"/>
  <c r="DJ3" i="43"/>
  <c r="DG3" i="43" s="1"/>
  <c r="DF3" i="43"/>
  <c r="DE3" i="43"/>
  <c r="F2" i="43" s="1"/>
  <c r="DD3" i="43"/>
  <c r="G2" i="43" s="1"/>
  <c r="DB3" i="43"/>
  <c r="DH3" i="43" s="1"/>
  <c r="DA3" i="43"/>
  <c r="DA4" i="43" s="1"/>
  <c r="E2" i="43"/>
  <c r="DK3" i="57"/>
  <c r="DJ3" i="57"/>
  <c r="DF3" i="57"/>
  <c r="DE3" i="57"/>
  <c r="DI3" i="57" s="1"/>
  <c r="DD3" i="57"/>
  <c r="G2" i="57" s="1"/>
  <c r="DB3" i="57"/>
  <c r="DH3" i="57" s="1"/>
  <c r="DA3" i="57"/>
  <c r="DA4" i="57" s="1"/>
  <c r="E2" i="57"/>
  <c r="DK3" i="41"/>
  <c r="DJ3" i="41"/>
  <c r="DH3" i="41"/>
  <c r="DG3" i="41"/>
  <c r="DF3" i="41"/>
  <c r="DE3" i="41"/>
  <c r="DI3" i="41" s="1"/>
  <c r="DD3" i="41"/>
  <c r="G2" i="41" s="1"/>
  <c r="DB3" i="41"/>
  <c r="DA3" i="41"/>
  <c r="DA4" i="41" s="1"/>
  <c r="E2" i="41"/>
  <c r="DK3" i="42"/>
  <c r="DJ3" i="42"/>
  <c r="DH3" i="42"/>
  <c r="DG3" i="42"/>
  <c r="DF3" i="42"/>
  <c r="DE3" i="42"/>
  <c r="DI3" i="42" s="1"/>
  <c r="DD3" i="42"/>
  <c r="G2" i="42" s="1"/>
  <c r="DB3" i="42"/>
  <c r="DA2" i="42"/>
  <c r="DA3" i="42" s="1"/>
  <c r="DA4" i="42" s="1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G2" i="56" s="1"/>
  <c r="DB3" i="56"/>
  <c r="DA3" i="56"/>
  <c r="DA4" i="56" s="1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38"/>
  <c r="DG3" i="61"/>
  <c r="DG3" i="49"/>
  <c r="DG3" i="6"/>
  <c r="DG3" i="58"/>
  <c r="DG3" i="56"/>
  <c r="DG3" i="23"/>
  <c r="DG3" i="63"/>
  <c r="DG3" i="31"/>
  <c r="DG3" i="59"/>
  <c r="DG3" i="44"/>
  <c r="DG3" i="57"/>
  <c r="DG3" i="50"/>
  <c r="DG3" i="29"/>
  <c r="DG3" i="32"/>
  <c r="DH3" i="40"/>
  <c r="DG3" i="34"/>
  <c r="DG3" i="51"/>
  <c r="DG3" i="45"/>
  <c r="DG3" i="28"/>
  <c r="H2" i="69" l="1"/>
  <c r="I2" i="69" s="1"/>
  <c r="F2" i="20"/>
  <c r="H2" i="20" s="1"/>
  <c r="I2" i="20" s="1"/>
  <c r="F2" i="15"/>
  <c r="H2" i="15" s="1"/>
  <c r="I2" i="15" s="1"/>
  <c r="F2" i="24"/>
  <c r="H2" i="24" s="1"/>
  <c r="I2" i="24" s="1"/>
  <c r="F2" i="29"/>
  <c r="H2" i="29" s="1"/>
  <c r="I2" i="29" s="1"/>
  <c r="F2" i="34"/>
  <c r="H2" i="34" s="1"/>
  <c r="I2" i="34" s="1"/>
  <c r="F2" i="37"/>
  <c r="H2" i="37" s="1"/>
  <c r="I2" i="37" s="1"/>
  <c r="F2" i="53"/>
  <c r="H2" i="53" s="1"/>
  <c r="I2" i="53" s="1"/>
  <c r="F2" i="47"/>
  <c r="H2" i="47" s="1"/>
  <c r="I2" i="47" s="1"/>
  <c r="F2" i="3"/>
  <c r="H2" i="3" s="1"/>
  <c r="I2" i="3" s="1"/>
  <c r="F2" i="31"/>
  <c r="H2" i="31" s="1"/>
  <c r="I2" i="31" s="1"/>
  <c r="F2" i="11"/>
  <c r="H2" i="11" s="1"/>
  <c r="I2" i="11" s="1"/>
  <c r="F2" i="5"/>
  <c r="H2" i="5" s="1"/>
  <c r="I2" i="5" s="1"/>
  <c r="F2" i="55"/>
  <c r="H2" i="55" s="1"/>
  <c r="I2" i="55" s="1"/>
  <c r="F2" i="2"/>
  <c r="H2" i="2" s="1"/>
  <c r="I2" i="2" s="1"/>
  <c r="F2" i="54"/>
  <c r="H2" i="54" s="1"/>
  <c r="I2" i="54" s="1"/>
  <c r="F2" i="16"/>
  <c r="H2" i="16" s="1"/>
  <c r="I2" i="16" s="1"/>
  <c r="F2" i="62"/>
  <c r="H2" i="62" s="1"/>
  <c r="I2" i="62" s="1"/>
  <c r="F2" i="63"/>
  <c r="H2" i="63" s="1"/>
  <c r="I2" i="63" s="1"/>
  <c r="F2" i="57"/>
  <c r="H2" i="57" s="1"/>
  <c r="I2" i="57" s="1"/>
  <c r="F2" i="25"/>
  <c r="H2" i="25" s="1"/>
  <c r="I2" i="25" s="1"/>
  <c r="F2" i="44"/>
  <c r="H2" i="44" s="1"/>
  <c r="I2" i="44" s="1"/>
  <c r="F2" i="27"/>
  <c r="H2" i="27" s="1"/>
  <c r="I2" i="27" s="1"/>
  <c r="F2" i="49"/>
  <c r="H2" i="49" s="1"/>
  <c r="I2" i="49" s="1"/>
  <c r="F2" i="1"/>
  <c r="H2" i="1" s="1"/>
  <c r="I2" i="1" s="1"/>
  <c r="DC3" i="41"/>
  <c r="F2" i="46"/>
  <c r="H2" i="46" s="1"/>
  <c r="I2" i="46" s="1"/>
  <c r="F2" i="23"/>
  <c r="H2" i="23" s="1"/>
  <c r="I2" i="23" s="1"/>
  <c r="F2" i="48"/>
  <c r="H2" i="48" s="1"/>
  <c r="I2" i="48" s="1"/>
  <c r="DC3" i="13"/>
  <c r="G2" i="38"/>
  <c r="DC3" i="34"/>
  <c r="DI3" i="43"/>
  <c r="DC3" i="14"/>
  <c r="DC3" i="33"/>
  <c r="DC3" i="49"/>
  <c r="DC3" i="9"/>
  <c r="DC3" i="50"/>
  <c r="F2" i="50"/>
  <c r="H2" i="50" s="1"/>
  <c r="I2" i="50" s="1"/>
  <c r="DC3" i="26"/>
  <c r="H2" i="4"/>
  <c r="I2" i="4" s="1"/>
  <c r="DC3" i="22"/>
  <c r="DC3" i="36"/>
  <c r="DC3" i="53"/>
  <c r="DC3" i="6"/>
  <c r="DC3" i="10"/>
  <c r="DC3" i="32"/>
  <c r="H2" i="67"/>
  <c r="I2" i="67" s="1"/>
  <c r="DC3" i="5"/>
  <c r="DC3" i="16"/>
  <c r="DC3" i="25"/>
  <c r="H2" i="43"/>
  <c r="I2" i="43" s="1"/>
  <c r="DC3" i="44"/>
  <c r="F2" i="28"/>
  <c r="H2" i="28" s="1"/>
  <c r="I2" i="28" s="1"/>
  <c r="DC3" i="55"/>
  <c r="DC3" i="59"/>
  <c r="DC3" i="4"/>
  <c r="F2" i="19"/>
  <c r="DC3" i="54"/>
  <c r="DC3" i="1"/>
  <c r="DC3" i="29"/>
  <c r="DC3" i="42"/>
  <c r="DC3" i="45"/>
  <c r="DC3" i="62"/>
  <c r="F2" i="59"/>
  <c r="H2" i="59" s="1"/>
  <c r="I2" i="59" s="1"/>
  <c r="DC3" i="7"/>
  <c r="F2" i="61"/>
  <c r="H2" i="61" s="1"/>
  <c r="I2" i="61" s="1"/>
  <c r="DC3" i="20"/>
  <c r="F2" i="8"/>
  <c r="DC3" i="28"/>
  <c r="F2" i="40"/>
  <c r="H2" i="40" s="1"/>
  <c r="I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DC3" i="27"/>
  <c r="F2" i="6"/>
  <c r="H2" i="6" s="1"/>
  <c r="I2" i="6" s="1"/>
  <c r="F2" i="22"/>
  <c r="H2" i="22" s="1"/>
  <c r="I2" i="22" s="1"/>
  <c r="DC3" i="15"/>
  <c r="G2" i="19"/>
  <c r="F2" i="33"/>
  <c r="H2" i="33" s="1"/>
  <c r="I2" i="33" s="1"/>
  <c r="DC3" i="38"/>
  <c r="H2" i="64"/>
  <c r="I2" i="64" s="1"/>
  <c r="DC3" i="24"/>
  <c r="DC3" i="37"/>
  <c r="F2" i="38"/>
  <c r="DC3" i="40"/>
  <c r="DC3" i="56"/>
  <c r="DC3" i="60"/>
  <c r="F2" i="42"/>
  <c r="H2" i="42" s="1"/>
  <c r="I2" i="42" s="1"/>
  <c r="F2" i="51"/>
  <c r="H2" i="51" s="1"/>
  <c r="I2" i="51" s="1"/>
  <c r="DC3" i="58"/>
  <c r="DC3" i="3"/>
  <c r="H2" i="14"/>
  <c r="I2" i="14" s="1"/>
  <c r="F2" i="32"/>
  <c r="H2" i="32" s="1"/>
  <c r="I2" i="32" s="1"/>
  <c r="DC3" i="31"/>
  <c r="DC3" i="61"/>
  <c r="DC3" i="64"/>
  <c r="H2" i="66"/>
  <c r="I2" i="66" s="1"/>
  <c r="DI3" i="66"/>
  <c r="DH3" i="60"/>
  <c r="DI3" i="4"/>
  <c r="DC3" i="43"/>
  <c r="DC3" i="63"/>
  <c r="DI3" i="45"/>
  <c r="F2" i="45"/>
  <c r="H2" i="45" s="1"/>
  <c r="I2" i="45" s="1"/>
  <c r="DC3" i="47"/>
  <c r="DC3" i="46"/>
  <c r="DH3" i="46"/>
  <c r="DC3" i="19"/>
  <c r="DI3" i="14"/>
  <c r="DH3" i="11"/>
  <c r="DC3" i="11"/>
  <c r="F2" i="10"/>
  <c r="H2" i="10" s="1"/>
  <c r="I2" i="10" s="1"/>
  <c r="DH3" i="23"/>
  <c r="DC3" i="23"/>
  <c r="DC3" i="57"/>
  <c r="DC3" i="48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  <c r="H2" i="38" l="1"/>
  <c r="I2" i="38" s="1"/>
  <c r="H2" i="19"/>
  <c r="I2" i="19" s="1"/>
</calcChain>
</file>

<file path=xl/sharedStrings.xml><?xml version="1.0" encoding="utf-8"?>
<sst xmlns="http://schemas.openxmlformats.org/spreadsheetml/2006/main" count="5621" uniqueCount="1311">
  <si>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</si>
  <si>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</si>
  <si>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</si>
  <si>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</si>
  <si>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</si>
  <si>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</si>
  <si>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</si>
  <si>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</si>
  <si>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</si>
  <si>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</si>
  <si>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</si>
  <si>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</si>
  <si>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</si>
  <si>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</si>
  <si>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</si>
  <si>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</si>
  <si>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</si>
  <si>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</si>
  <si>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</si>
  <si>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</si>
  <si>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</si>
  <si>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</si>
  <si>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</si>
  <si>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</si>
  <si>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</si>
  <si>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</si>
  <si>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</si>
  <si>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</si>
  <si>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</si>
  <si>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</si>
  <si>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</si>
  <si>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</si>
  <si>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</si>
  <si>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</si>
  <si>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</si>
  <si>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</si>
  <si>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</si>
  <si>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</si>
  <si>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</si>
  <si>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</si>
  <si>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</si>
  <si>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</si>
  <si>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</si>
  <si>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</si>
  <si>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</si>
  <si>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</si>
  <si>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</si>
  <si>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</si>
  <si>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</si>
  <si>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</si>
  <si>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</si>
  <si>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</si>
  <si>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</si>
  <si>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</si>
  <si>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</si>
  <si>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</si>
  <si>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</si>
  <si>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</si>
  <si>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</si>
  <si>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</si>
  <si>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</si>
  <si>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</si>
  <si>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</si>
  <si>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</si>
  <si>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</si>
  <si>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</si>
  <si>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</si>
  <si>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</si>
  <si>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</si>
  <si>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</si>
  <si>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</si>
  <si>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</si>
  <si>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</si>
  <si>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</si>
  <si>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</si>
  <si>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</si>
  <si>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</si>
  <si>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</si>
  <si>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</si>
  <si>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</si>
  <si>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</si>
  <si>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</si>
  <si>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</si>
  <si>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</si>
  <si>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</si>
  <si>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</si>
  <si>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</si>
  <si>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</si>
  <si>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</si>
  <si>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</si>
  <si>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</si>
  <si>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</si>
  <si>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</si>
  <si>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</si>
  <si>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</si>
  <si>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</si>
  <si>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</si>
  <si>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</si>
  <si>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</si>
  <si>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</si>
  <si>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</si>
  <si>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</si>
  <si>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</si>
  <si>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</si>
  <si>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</si>
  <si>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</si>
  <si>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</si>
  <si>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</si>
  <si>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</si>
  <si>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</si>
  <si>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</si>
  <si>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</si>
  <si>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</si>
  <si>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</si>
  <si>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</si>
  <si>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</si>
  <si>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</si>
  <si>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</si>
  <si>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</si>
  <si>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</si>
  <si>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</si>
  <si>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</si>
  <si>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</si>
  <si>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</si>
  <si>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</si>
  <si>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</si>
  <si>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ZZSDG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</si>
  <si>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</si>
  <si>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</si>
  <si>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</si>
  <si>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</si>
  <si>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</si>
  <si>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</si>
  <si>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</si>
  <si>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</si>
  <si>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</si>
  <si>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</si>
  <si>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</si>
  <si>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</si>
  <si>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</si>
  <si>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</si>
  <si>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</si>
  <si>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</si>
  <si>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</si>
  <si>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</si>
  <si>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</si>
  <si>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</si>
  <si>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</si>
  <si>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</si>
  <si>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</si>
  <si>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</si>
  <si>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</si>
  <si>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</si>
  <si>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</si>
  <si>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</si>
  <si>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</si>
  <si>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</si>
  <si>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</si>
  <si>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</si>
  <si>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</si>
  <si>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</si>
  <si>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</si>
  <si>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</si>
  <si>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</si>
  <si>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</si>
  <si>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</si>
  <si>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</si>
  <si>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</si>
  <si>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</si>
  <si>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</si>
  <si>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</si>
  <si>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</si>
  <si>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</si>
  <si>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</si>
  <si>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</si>
  <si>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</si>
  <si>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</si>
  <si>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</si>
  <si>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</si>
  <si>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</si>
  <si>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</si>
  <si>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</si>
  <si>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</si>
  <si>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</si>
  <si>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</si>
  <si>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</si>
  <si>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</si>
  <si>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</si>
  <si>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</si>
  <si>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</si>
  <si>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</si>
  <si>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</si>
  <si>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</si>
  <si>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</si>
  <si>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</si>
  <si>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</si>
  <si>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</si>
  <si>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</si>
  <si>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</si>
  <si>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</si>
  <si>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</si>
  <si>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</si>
  <si>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</si>
  <si>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</si>
  <si>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</si>
  <si>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</si>
  <si>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</si>
  <si>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</si>
  <si>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</si>
  <si>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</si>
  <si>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</si>
  <si>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</si>
  <si>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</si>
  <si>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</si>
  <si>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</si>
  <si>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</si>
  <si>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</si>
  <si>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</si>
  <si>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</si>
  <si>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</si>
  <si>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</si>
  <si>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</si>
  <si>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</si>
  <si>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</si>
  <si>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</si>
  <si>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</si>
  <si>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</si>
  <si>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</si>
  <si>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</si>
  <si>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</si>
  <si>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</si>
  <si>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</si>
  <si>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</si>
  <si>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</si>
  <si>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</si>
  <si>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</si>
  <si>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</si>
  <si>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</si>
  <si>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</si>
  <si>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</si>
  <si>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</si>
  <si>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</si>
  <si>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</si>
  <si>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</si>
  <si>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</si>
  <si>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</si>
  <si>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</si>
  <si>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</si>
  <si>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</si>
  <si>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</si>
  <si>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</si>
  <si>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</si>
  <si>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</si>
  <si>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</si>
  <si>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</si>
  <si>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</si>
  <si>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</si>
  <si>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</si>
  <si>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</si>
  <si>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</si>
  <si>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</si>
  <si>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</si>
  <si>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</si>
  <si>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</si>
  <si>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</si>
  <si>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</si>
  <si>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</si>
  <si>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</si>
  <si>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</si>
  <si>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</si>
  <si>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</si>
  <si>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</si>
  <si>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</si>
  <si>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</si>
  <si>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</si>
  <si>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</si>
  <si>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</si>
  <si>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</si>
  <si>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</si>
  <si>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</si>
  <si>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</si>
  <si>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</si>
  <si>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</si>
  <si>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</si>
  <si>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</si>
  <si>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</si>
  <si>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</si>
  <si>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</si>
  <si>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</si>
  <si>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</si>
  <si>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</si>
  <si>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</si>
  <si>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</si>
  <si>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</si>
  <si>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</si>
  <si>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</si>
  <si>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</si>
  <si>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</si>
  <si>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</si>
  <si>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</si>
  <si>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</si>
  <si>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</si>
  <si>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</si>
  <si>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</si>
  <si>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</si>
  <si>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</si>
  <si>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</si>
  <si>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</si>
  <si>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</si>
  <si>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</si>
  <si>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</si>
  <si>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</si>
  <si>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</si>
  <si>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</si>
  <si>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</si>
  <si>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</si>
  <si>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</si>
  <si>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</si>
  <si>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</si>
  <si>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</si>
  <si>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</si>
  <si>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</si>
  <si>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</si>
  <si>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</si>
  <si>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</si>
  <si>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</si>
  <si>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</si>
  <si>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</si>
  <si>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</si>
  <si>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</si>
  <si>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</si>
  <si>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</si>
  <si>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</si>
  <si>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</si>
  <si>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</si>
  <si>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</si>
  <si>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</si>
  <si>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</si>
  <si>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</si>
  <si>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</si>
  <si>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</si>
  <si>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</si>
  <si>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</si>
  <si>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</si>
  <si>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</si>
  <si>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</si>
  <si>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</si>
  <si>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</si>
  <si>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</si>
  <si>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</si>
  <si>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</si>
  <si>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</si>
  <si>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</si>
  <si>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</si>
  <si>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</si>
  <si>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</si>
  <si>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</si>
  <si>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</si>
  <si>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</si>
  <si>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</si>
  <si>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</si>
  <si>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</si>
  <si>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</si>
  <si>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</si>
  <si>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</si>
  <si>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</si>
  <si>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</si>
  <si>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</si>
  <si>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</si>
  <si>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</si>
  <si>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</si>
  <si>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</si>
  <si>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</si>
  <si>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</si>
  <si>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</si>
  <si>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</si>
  <si>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</si>
  <si>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</si>
  <si>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</si>
  <si>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</si>
  <si>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</si>
  <si>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</si>
  <si>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</si>
  <si>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</si>
  <si>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</si>
  <si>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</si>
  <si>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</si>
  <si>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</si>
  <si>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</si>
  <si>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</si>
  <si>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</si>
  <si>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</si>
  <si>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</si>
  <si>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</si>
  <si>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</si>
  <si>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</si>
  <si>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</si>
  <si>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</si>
  <si>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</si>
  <si>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</si>
  <si>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</si>
  <si>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</si>
  <si>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</si>
  <si>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</si>
  <si>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</si>
  <si>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</si>
  <si>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</si>
  <si>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</si>
  <si>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</si>
  <si>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ADITYA TECHNOLOGIES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</si>
  <si>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</si>
  <si>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</si>
  <si>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</si>
  <si>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</si>
  <si>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</si>
  <si>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</si>
  <si>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</si>
  <si>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</si>
  <si>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</si>
  <si>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</si>
  <si>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</si>
  <si>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</si>
  <si>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3107/0/1</t>
  </si>
  <si>
    <t>87735668940</t>
  </si>
  <si>
    <t>BIL/000877356689/ICICI BANK CREDIT CA/403562069555</t>
  </si>
  <si>
    <t>3009/0/2</t>
  </si>
  <si>
    <t>13870150957</t>
  </si>
  <si>
    <t>138701509571:Int.Pd:30-06-2024 to 29-09-2024</t>
  </si>
  <si>
    <t>JISHA ENTERPRISE PRIVATE LIMITED</t>
  </si>
  <si>
    <t>24AAFCJ9230K1ZF</t>
  </si>
  <si>
    <t>Canara Bank</t>
  </si>
  <si>
    <t>Trasnaction ID</t>
  </si>
  <si>
    <t>Canara</t>
  </si>
  <si>
    <t>\\ADITYA-TECH\All Sharing\Ecom Setup\Devlop\ecomm statment\bank statement\canarabank .xls</t>
  </si>
  <si>
    <t>225 - KETAN JOGANI</t>
  </si>
  <si>
    <r>
      <rPr>
        <b/>
        <sz val="11"/>
        <rFont val="Arial"/>
        <family val="2"/>
      </rPr>
      <t>Serial
No</t>
    </r>
  </si>
  <si>
    <r>
      <rPr>
        <b/>
        <sz val="11"/>
        <rFont val="Arial"/>
        <family val="2"/>
      </rPr>
      <t>Transaction
Date</t>
    </r>
  </si>
  <si>
    <r>
      <rPr>
        <b/>
        <sz val="11"/>
        <rFont val="Arial"/>
        <family val="2"/>
      </rPr>
      <t>Value
Date</t>
    </r>
  </si>
  <si>
    <r>
      <rPr>
        <b/>
        <sz val="11"/>
        <rFont val="Arial"/>
        <family val="2"/>
      </rPr>
      <t>Description                                                                       Cheque
Number</t>
    </r>
  </si>
  <si>
    <t>New India Co-Op. Bank Ltd</t>
  </si>
  <si>
    <t>Tran. Date</t>
  </si>
  <si>
    <t>Inst. No.</t>
  </si>
  <si>
    <t>Transaction Particular</t>
  </si>
  <si>
    <t>BOB(P)</t>
  </si>
  <si>
    <t>NEWINDIA(P)</t>
  </si>
  <si>
    <t>31/01/2025</t>
  </si>
  <si>
    <t>02332</t>
  </si>
  <si>
    <t>000910</t>
  </si>
  <si>
    <t>BY CLEARING / CHEQUE/SHREE RADHE KRISHNA SARE  BANK OF BARODA(BOB)/PRATIKSHA ART                           0000201293</t>
  </si>
  <si>
    <t xml:space="preserve">            </t>
  </si>
  <si>
    <t xml:space="preserve">            30451.00</t>
  </si>
  <si>
    <t xml:space="preserve">             217889.70 CR</t>
  </si>
  <si>
    <t>30/01/2025</t>
  </si>
  <si>
    <t>02684</t>
  </si>
  <si>
    <t xml:space="preserve"> </t>
  </si>
  <si>
    <t>BY TRANSFER/NEFT SOS FASHIONS       /XUTR/ICIN403051329856</t>
  </si>
  <si>
    <t xml:space="preserve">            36190.00</t>
  </si>
  <si>
    <t xml:space="preserve">             187438.70 CR</t>
  </si>
  <si>
    <t>04946</t>
  </si>
  <si>
    <t>ATM WDL/ATM|Q04M49461S| SARTHANA SURAT GJIN</t>
  </si>
  <si>
    <t xml:space="preserve">            10000.00</t>
  </si>
  <si>
    <t xml:space="preserve">             151248.70 CR</t>
  </si>
  <si>
    <t xml:space="preserve">             1100.00</t>
  </si>
  <si>
    <t xml:space="preserve">             161248.70 CR</t>
  </si>
  <si>
    <t>037326</t>
  </si>
  <si>
    <t>BY CLEARING / CHEQUE/RAVI                      ICICI BANKING CORPN LTD./PRATIKSHA ART                           0000500702</t>
  </si>
  <si>
    <t xml:space="preserve">            49710.00</t>
  </si>
  <si>
    <t xml:space="preserve">             162348.70 CR</t>
  </si>
  <si>
    <t>28/01/2025</t>
  </si>
  <si>
    <t>04947</t>
  </si>
  <si>
    <t>ATM WDL/ATM|TCDN494711| DUMBHAL SURAT GJIN</t>
  </si>
  <si>
    <t xml:space="preserve">            20000.00</t>
  </si>
  <si>
    <t xml:space="preserve">             112638.70 CR</t>
  </si>
  <si>
    <t>26/01/2025</t>
  </si>
  <si>
    <t xml:space="preserve">             132638.70 CR</t>
  </si>
  <si>
    <t>24/01/2025</t>
  </si>
  <si>
    <t>BY TRANSFER/NEFT SOS FASHIONS       /XUTR/ICIN402456336838</t>
  </si>
  <si>
    <t xml:space="preserve">            35000.00</t>
  </si>
  <si>
    <t xml:space="preserve">             152638.70 CR</t>
  </si>
  <si>
    <t>23/01/2025</t>
  </si>
  <si>
    <t>TO TRANSFER/PC:SMS CHARGES+GST:DEC 2024</t>
  </si>
  <si>
    <t xml:space="preserve">               23.60</t>
  </si>
  <si>
    <t xml:space="preserve">             117638.70 CR</t>
  </si>
  <si>
    <t>22/01/2025</t>
  </si>
  <si>
    <t>BY TRANSFER/NEFT SHALIMAR FASHIONS  /XUTR/HDFCH00018779194</t>
  </si>
  <si>
    <t xml:space="preserve">            50000.00</t>
  </si>
  <si>
    <t xml:space="preserve">             117662.30 CR</t>
  </si>
  <si>
    <t>255420</t>
  </si>
  <si>
    <t>CASH CHEQUE/Paid to self</t>
  </si>
  <si>
    <t xml:space="preserve">              67662.30 CR</t>
  </si>
  <si>
    <t>BY TRANSFER/NEFT SHALIMAR FASHIONS  /XUTR/HDFCH00017418353</t>
  </si>
  <si>
    <t xml:space="preserve">             102662.30 CR</t>
  </si>
  <si>
    <t>21/01/2025</t>
  </si>
  <si>
    <t xml:space="preserve">            15000.00</t>
  </si>
  <si>
    <t xml:space="preserve">              52662.30 CR</t>
  </si>
  <si>
    <t>BY TRANSFER/NEFT RAVI FASHION       /XUTR/ICIN402155291052</t>
  </si>
  <si>
    <t>16/01/2025</t>
  </si>
  <si>
    <t>05002</t>
  </si>
  <si>
    <t>ATM WDL/ATM|BSUBH144|SMC Sarthana Surat Gujarat GJIN</t>
  </si>
  <si>
    <t xml:space="preserve">              17662.30 CR</t>
  </si>
  <si>
    <t xml:space="preserve">              27662.30 CR</t>
  </si>
  <si>
    <t xml:space="preserve">              37662.30 CR</t>
  </si>
  <si>
    <t>14/01/2025</t>
  </si>
  <si>
    <t>ATM WDL/ATM|CN206201| MAHINDA NAGAR LASKANA SURAT GJI</t>
  </si>
  <si>
    <t xml:space="preserve">             2000.00</t>
  </si>
  <si>
    <t xml:space="preserve">              47662.30 CR</t>
  </si>
  <si>
    <t>255410</t>
  </si>
  <si>
    <t>CAS PRES CHQ/255410GAURAV FABRICS      H D F C BANK LTD</t>
  </si>
  <si>
    <t xml:space="preserve">            72954.00</t>
  </si>
  <si>
    <t xml:space="preserve">              49662.30 CR</t>
  </si>
  <si>
    <t>13/01/2025</t>
  </si>
  <si>
    <t>255419</t>
  </si>
  <si>
    <t>CAS PRES CHQ/255419VAR LAXMI           KOTAK MAHINDRA BANK LTD</t>
  </si>
  <si>
    <t xml:space="preserve">            83475.00</t>
  </si>
  <si>
    <t xml:space="preserve">             122616.30 CR</t>
  </si>
  <si>
    <t>BY TRANSFER/NEFT RAVI FASHION       ICICN42025011351195568</t>
  </si>
  <si>
    <t xml:space="preserve">            30000.00</t>
  </si>
  <si>
    <t xml:space="preserve">             206091.30 CR</t>
  </si>
  <si>
    <t>000890</t>
  </si>
  <si>
    <t xml:space="preserve">           101850.00</t>
  </si>
  <si>
    <t xml:space="preserve">             176091.30 CR</t>
  </si>
  <si>
    <t>10/01/2025</t>
  </si>
  <si>
    <t>TO TRANSFER/HDFC BANK LTD        CBIN0000000010145712</t>
  </si>
  <si>
    <t xml:space="preserve">            30317.00</t>
  </si>
  <si>
    <t xml:space="preserve">              74241.30 CR</t>
  </si>
  <si>
    <t>06/01/2025</t>
  </si>
  <si>
    <t>04982</t>
  </si>
  <si>
    <t>BY TRANSFER/UPI/RRN 500604177305/AULT|Sent using Paytm UPI_PRA</t>
  </si>
  <si>
    <t xml:space="preserve">             104558.30 CR</t>
  </si>
  <si>
    <t>03/01/2025</t>
  </si>
  <si>
    <t>255417</t>
  </si>
  <si>
    <t>CAS PRES CHQ/255417S M ENTERPRISE      AXIS BANK LTD.</t>
  </si>
  <si>
    <t xml:space="preserve">            16205.00</t>
  </si>
  <si>
    <t xml:space="preserve">              74558.30 CR</t>
  </si>
  <si>
    <t>02/01/2025</t>
  </si>
  <si>
    <t>08103</t>
  </si>
  <si>
    <t>BY TRANSFER/IMPSP2A500221128740 KHUSBU TRADERS</t>
  </si>
  <si>
    <t xml:space="preserve">            27641.00</t>
  </si>
  <si>
    <t xml:space="preserve">              90763.30 CR</t>
  </si>
  <si>
    <t>255418</t>
  </si>
  <si>
    <t xml:space="preserve">            60000.00</t>
  </si>
  <si>
    <t xml:space="preserve">              63122.30 CR</t>
  </si>
  <si>
    <t>01/01/2025</t>
  </si>
  <si>
    <t>255416</t>
  </si>
  <si>
    <t>CAS PRES CHQ/255416PRATIKSHA FASHION   VAR THE VARACHHA CO- ADA</t>
  </si>
  <si>
    <t xml:space="preserve">             123122.30 CR</t>
  </si>
  <si>
    <t>000392</t>
  </si>
  <si>
    <t>BY CLEARING / CHEQUE/GURU KRIPA                KOTAK MAHINDRA BANK LTD./PRATIKSHA ART                           0000003474</t>
  </si>
  <si>
    <t xml:space="preserve">            38588.00</t>
  </si>
  <si>
    <t xml:space="preserve">             173122.30 CR</t>
  </si>
  <si>
    <t>255408</t>
  </si>
  <si>
    <t>CAS PRES CHQ/255408SIYA FASHION        H D F C BANK LTD</t>
  </si>
  <si>
    <t xml:space="preserve">             8269.00</t>
  </si>
  <si>
    <t xml:space="preserve">             134534.30 CR</t>
  </si>
  <si>
    <t>31/12/2024</t>
  </si>
  <si>
    <t>255415</t>
  </si>
  <si>
    <t>CAS PRES CHQ/255415PRATIKSHA FASHION   VAR THE VARACHHA CO- ADA</t>
  </si>
  <si>
    <t xml:space="preserve">           100000.00</t>
  </si>
  <si>
    <t xml:space="preserve">             142803.30 CR</t>
  </si>
  <si>
    <t>30/12/2024</t>
  </si>
  <si>
    <t>BY TRANSFER/NEFT SAGAR FABMARK      /XUTR/N365243479987168</t>
  </si>
  <si>
    <t xml:space="preserve">             242803.30 CR</t>
  </si>
  <si>
    <t>28/12/2024</t>
  </si>
  <si>
    <t xml:space="preserve">             7000.00</t>
  </si>
  <si>
    <t>27/12/2024</t>
  </si>
  <si>
    <t>255407</t>
  </si>
  <si>
    <t>CAS PRES CHQ/255407SHREE SYNTHETICS    KOTAK MAHINDRA BANK LTD</t>
  </si>
  <si>
    <t xml:space="preserve">            23514.00</t>
  </si>
  <si>
    <t xml:space="preserve">             149803.30 CR</t>
  </si>
  <si>
    <t>26/12/2024</t>
  </si>
  <si>
    <t>BY TRANSFER/NEFT SOS FASHIONS          38732356781DC</t>
  </si>
  <si>
    <t xml:space="preserve">            71016.00</t>
  </si>
  <si>
    <t xml:space="preserve">             173317.30 CR</t>
  </si>
  <si>
    <t>24/12/2024</t>
  </si>
  <si>
    <t>BY TRANSFER/NEFT SHALIMAR FASHIONS     N359243471649445</t>
  </si>
  <si>
    <t xml:space="preserve">            41700.00</t>
  </si>
  <si>
    <t xml:space="preserve">             102301.30 CR</t>
  </si>
  <si>
    <t>ATM WDL/ATM|6NPASODA|HINDUSTAN PETROLIUM SURAT GJIN</t>
  </si>
  <si>
    <t xml:space="preserve">             3000.00</t>
  </si>
  <si>
    <t xml:space="preserve">              60601.30 CR</t>
  </si>
  <si>
    <t>21/12/2024</t>
  </si>
  <si>
    <t xml:space="preserve">              63601.30 CR</t>
  </si>
  <si>
    <t>17/12/2024</t>
  </si>
  <si>
    <t>255406</t>
  </si>
  <si>
    <t>CAS PRES CHQ/255406KUSHAL TEX          ICICI</t>
  </si>
  <si>
    <t xml:space="preserve">             9555.00</t>
  </si>
  <si>
    <t xml:space="preserve">              66601.30 CR</t>
  </si>
  <si>
    <t>000900</t>
  </si>
  <si>
    <t>BY CLEARING / CHEQUE/SHREE RADHE  KRISHNA SAR  BANK OF BARODA(BOB)/PRATIKSHA ART                           0000201293</t>
  </si>
  <si>
    <t xml:space="preserve">            36015.00</t>
  </si>
  <si>
    <t xml:space="preserve">              76156.30 CR</t>
  </si>
  <si>
    <t>16/12/2024</t>
  </si>
  <si>
    <t>255405</t>
  </si>
  <si>
    <t>CHEQUE WDL/SHREE BRAHMANI PACKAGING</t>
  </si>
  <si>
    <t xml:space="preserve">            25079.00</t>
  </si>
  <si>
    <t xml:space="preserve">              40141.30 CR</t>
  </si>
  <si>
    <t>12/12/2024</t>
  </si>
  <si>
    <t>255402</t>
  </si>
  <si>
    <t>CAS PRES CHQ/255402SHREE AMBEY TEXTILE H D F C BANK LTD</t>
  </si>
  <si>
    <t xml:space="preserve">            44289.00</t>
  </si>
  <si>
    <t xml:space="preserve">              65220.30 CR</t>
  </si>
  <si>
    <t>11/12/2024</t>
  </si>
  <si>
    <t>255404</t>
  </si>
  <si>
    <t xml:space="preserve">            70000.00</t>
  </si>
  <si>
    <t xml:space="preserve">             109509.30 CR</t>
  </si>
  <si>
    <t>10/12/2024</t>
  </si>
  <si>
    <t>255403</t>
  </si>
  <si>
    <t xml:space="preserve">            54000.00</t>
  </si>
  <si>
    <t xml:space="preserve">             179509.30 CR</t>
  </si>
  <si>
    <t>BY TRANSFER/NEFT SOS FASHIONS          38565244541DC</t>
  </si>
  <si>
    <t xml:space="preserve">            40000.00</t>
  </si>
  <si>
    <t xml:space="preserve">             233509.30 CR</t>
  </si>
  <si>
    <t xml:space="preserve">             193509.30 CR</t>
  </si>
  <si>
    <t>07/12/2024</t>
  </si>
  <si>
    <t>000639</t>
  </si>
  <si>
    <t>BY CLEARING / CHEQUE/SIYA CREATION/PRATIKSHA ART                           0000007812</t>
  </si>
  <si>
    <t xml:space="preserve">            36855.00</t>
  </si>
  <si>
    <t xml:space="preserve">             223826.30 CR</t>
  </si>
  <si>
    <t>989152</t>
  </si>
  <si>
    <t>BY CLEARING / CHEQUE/JAI RAM SAREE             STATE BANK OF INDIA(SBI)/PRATIKSHA ART                           0000000666</t>
  </si>
  <si>
    <t xml:space="preserve">            43659.00</t>
  </si>
  <si>
    <t xml:space="preserve">             186971.30 CR</t>
  </si>
  <si>
    <t>000652</t>
  </si>
  <si>
    <t xml:space="preserve">            45360.00</t>
  </si>
  <si>
    <t xml:space="preserve">             143312.30 CR</t>
  </si>
  <si>
    <t>05/12/2024</t>
  </si>
  <si>
    <t>255401</t>
  </si>
  <si>
    <t>CAS PRES CHQ/255401RAMNIKBHAI CHHAGANB VAR THE VARACHHA CO- ADA</t>
  </si>
  <si>
    <t xml:space="preserve">              97952.30 CR</t>
  </si>
  <si>
    <t>03/12/2024</t>
  </si>
  <si>
    <t>BY TRANSFER/NEFT SHALIMAR FASHIONS     N338243430517898</t>
  </si>
  <si>
    <t xml:space="preserve">            27563.00</t>
  </si>
  <si>
    <t xml:space="preserve">             117952.30 CR</t>
  </si>
  <si>
    <t>30/11/2024</t>
  </si>
  <si>
    <t>246049</t>
  </si>
  <si>
    <t>CAS PRES CHQ/246049PRATIKSHA FASHION   VAR THE VARACHHA CO- ADA</t>
  </si>
  <si>
    <t xml:space="preserve">              90389.30 CR</t>
  </si>
  <si>
    <t>29/11/2024</t>
  </si>
  <si>
    <t>246050</t>
  </si>
  <si>
    <t xml:space="preserve">             190389.30 CR</t>
  </si>
  <si>
    <t>246048</t>
  </si>
  <si>
    <t>CAS PRES CHQ/246048RINZAI TRENDZ       ICICI</t>
  </si>
  <si>
    <t xml:space="preserve">            77420.00</t>
  </si>
  <si>
    <t xml:space="preserve">             200389.30 CR</t>
  </si>
  <si>
    <t>28/11/2024</t>
  </si>
  <si>
    <t>BY TRANSFER/NEFT SHARMA ODHANI PALACE  N333243420267457</t>
  </si>
  <si>
    <t xml:space="preserve">            37485.00</t>
  </si>
  <si>
    <t xml:space="preserve">             277809.30 CR</t>
  </si>
  <si>
    <t>BY TRANSFER/NEFT RAVI FASHION          38418140081DC</t>
  </si>
  <si>
    <t xml:space="preserve">            45560.00</t>
  </si>
  <si>
    <t xml:space="preserve">             240324.30 CR</t>
  </si>
  <si>
    <t>27/11/2024</t>
  </si>
  <si>
    <t>BY TRANSFER/NEFT SHALIMAR FASHIONS     N332243418639932</t>
  </si>
  <si>
    <t xml:space="preserve">            12700.00</t>
  </si>
  <si>
    <t xml:space="preserve">             194764.30 CR</t>
  </si>
  <si>
    <t>26/11/2024</t>
  </si>
  <si>
    <t>000894</t>
  </si>
  <si>
    <t xml:space="preserve">            51850.00</t>
  </si>
  <si>
    <t xml:space="preserve">             182064.30 CR</t>
  </si>
  <si>
    <t>21/11/2024</t>
  </si>
  <si>
    <t>DR BATCH/TRICKLE FEE/DR:ATM CARD ISSUNACE FEE      PC 87</t>
  </si>
  <si>
    <t xml:space="preserve">              354.00</t>
  </si>
  <si>
    <t xml:space="preserve">             130214.30 CR</t>
  </si>
  <si>
    <t>19/11/2024</t>
  </si>
  <si>
    <t>246047</t>
  </si>
  <si>
    <t xml:space="preserve">            49000.00</t>
  </si>
  <si>
    <t xml:space="preserve">             130568.30 CR</t>
  </si>
  <si>
    <t>14/11/2024</t>
  </si>
  <si>
    <t>246046</t>
  </si>
  <si>
    <t>CASH CHEQUE/Paid to ASHOKBHAI GAJERA</t>
  </si>
  <si>
    <t xml:space="preserve">             179568.30 CR</t>
  </si>
  <si>
    <t>13/11/2024</t>
  </si>
  <si>
    <t>BY TRANSFER/NEFT SOS FASHIONS          38274949401DC</t>
  </si>
  <si>
    <t xml:space="preserve">             199568.30 CR</t>
  </si>
  <si>
    <t>12/11/2024</t>
  </si>
  <si>
    <t>246045</t>
  </si>
  <si>
    <t>CASH CHEQUE/Paid to SELF</t>
  </si>
  <si>
    <t xml:space="preserve">             149568.30 CR</t>
  </si>
  <si>
    <t>000374</t>
  </si>
  <si>
    <t xml:space="preserve">            41895.00</t>
  </si>
  <si>
    <t xml:space="preserve">             198568.30 CR</t>
  </si>
  <si>
    <t>10/11/2024</t>
  </si>
  <si>
    <t xml:space="preserve">             156673.30 CR</t>
  </si>
  <si>
    <t>30/10/2024</t>
  </si>
  <si>
    <t>BY TRANSFER/NEFT SAGAR FABMARK         N304243364879181</t>
  </si>
  <si>
    <t xml:space="preserve">             186990.30 CR</t>
  </si>
  <si>
    <t>246044</t>
  </si>
  <si>
    <t xml:space="preserve">             136990.30 CR</t>
  </si>
  <si>
    <t>29/10/2024</t>
  </si>
  <si>
    <t>BY TRANSFER/NEFT SHALIMAR FASHIONS     N303243361708033</t>
  </si>
  <si>
    <t xml:space="preserve">             185990.30 CR</t>
  </si>
  <si>
    <t>28/10/2024</t>
  </si>
  <si>
    <t>05500</t>
  </si>
  <si>
    <t>BY TRANSFER/NEFT SOS FASHIONS          38094950791DC</t>
  </si>
  <si>
    <t xml:space="preserve">             150990.30 CR</t>
  </si>
  <si>
    <t>BY TRANSFER/NEFT SOS FASHIONS          38094866281DC</t>
  </si>
  <si>
    <t xml:space="preserve">            12770.00</t>
  </si>
  <si>
    <t xml:space="preserve">             120990.30 CR</t>
  </si>
  <si>
    <t>246042</t>
  </si>
  <si>
    <t>CASH CHEQUE/Paid to SELRF</t>
  </si>
  <si>
    <t xml:space="preserve">           200000.00</t>
  </si>
  <si>
    <t xml:space="preserve">             108220.30 CR</t>
  </si>
  <si>
    <t>26/10/2024</t>
  </si>
  <si>
    <t>BY TRANSFER/NEFT SOS FASHIONS          38073168411DC</t>
  </si>
  <si>
    <t xml:space="preserve">             308220.30 CR</t>
  </si>
  <si>
    <t>25/10/2024</t>
  </si>
  <si>
    <t>676556</t>
  </si>
  <si>
    <t>BY CLEARING / CHEQUE/JAI RAM                   STATE BANK OF INDIA(SBI)/PRATIKSHA ART                           0000000666</t>
  </si>
  <si>
    <t xml:space="preserve">            58354.00</t>
  </si>
  <si>
    <t xml:space="preserve">             258220.30 CR</t>
  </si>
  <si>
    <t>676555</t>
  </si>
  <si>
    <t xml:space="preserve">            36225.00</t>
  </si>
  <si>
    <t xml:space="preserve">             199866.30 CR</t>
  </si>
  <si>
    <t>24/10/2024</t>
  </si>
  <si>
    <t>000891</t>
  </si>
  <si>
    <t>BY CLEARING / CHEQUE/SHREE RADHA               BANK OF BARODA(BOB)/PRATIKSHA ART                           0000201293</t>
  </si>
  <si>
    <t xml:space="preserve">             163641.30 CR</t>
  </si>
  <si>
    <t>22/10/2024</t>
  </si>
  <si>
    <t>246040</t>
  </si>
  <si>
    <t>CAS PRES CHQ/246040VAR LAXMI           KOTAK MAHINDRA BANK LTD</t>
  </si>
  <si>
    <t xml:space="preserve">            55646.00</t>
  </si>
  <si>
    <t xml:space="preserve">             113641.30 CR</t>
  </si>
  <si>
    <t>246041</t>
  </si>
  <si>
    <t>CAS PRES CHQ/246041PRATIKSHA FASHION   VAR THE VARACHHA CO- ADA</t>
  </si>
  <si>
    <t xml:space="preserve">             169287.30 CR</t>
  </si>
  <si>
    <t>21/10/2024</t>
  </si>
  <si>
    <t>TO TRANSFER/PC:SMS CHARGES+GST:Jul_Sep 202</t>
  </si>
  <si>
    <t xml:space="preserve">             369287.30 CR</t>
  </si>
  <si>
    <t>19/10/2024</t>
  </si>
  <si>
    <t>BY TRANSFER/NEFT SOS FASHIONS          37997928881DC</t>
  </si>
  <si>
    <t xml:space="preserve">             369310.90 CR</t>
  </si>
  <si>
    <t>GST</t>
  </si>
  <si>
    <t xml:space="preserve">               72.00</t>
  </si>
  <si>
    <t xml:space="preserve">             319310.90 CR</t>
  </si>
  <si>
    <t>CHQ BK ISSUE CHGS</t>
  </si>
  <si>
    <t xml:space="preserve">              400.00</t>
  </si>
  <si>
    <t xml:space="preserve">             319382.90 CR</t>
  </si>
  <si>
    <t>246039</t>
  </si>
  <si>
    <t xml:space="preserve">             319782.90 CR</t>
  </si>
  <si>
    <t>246038</t>
  </si>
  <si>
    <t>CAS PRES CHQ/246038SAVALIYA JITUBEN HA BANK OF BARODA (BOB)</t>
  </si>
  <si>
    <t xml:space="preserve">             4788.00</t>
  </si>
  <si>
    <t xml:space="preserve">             359782.90 CR</t>
  </si>
  <si>
    <t>17/10/2024</t>
  </si>
  <si>
    <t>BY TRANSFER/NEFT SHALIMAR FASHION      N291241030539721</t>
  </si>
  <si>
    <t xml:space="preserve">             364570.90 CR</t>
  </si>
  <si>
    <t>246037</t>
  </si>
  <si>
    <t xml:space="preserve">             334570.90 CR</t>
  </si>
  <si>
    <t>246035</t>
  </si>
  <si>
    <t>CAS PRES CHQ/246035SAI CREATION        KOTAK MAHINDRA BANK LTD</t>
  </si>
  <si>
    <t xml:space="preserve">            10800.00</t>
  </si>
  <si>
    <t xml:space="preserve">             383570.90 CR</t>
  </si>
  <si>
    <t>16/10/2024</t>
  </si>
  <si>
    <t>000474</t>
  </si>
  <si>
    <t>BY CLEARING / CHEQUE/PRIY TANUSHREE            ICICI BANKING CORPN LTD./PRATIKSHA ART                           0000758121</t>
  </si>
  <si>
    <t xml:space="preserve">           150000.00</t>
  </si>
  <si>
    <t xml:space="preserve">             394370.90 CR</t>
  </si>
  <si>
    <t>246036</t>
  </si>
  <si>
    <t>CAS PRES CHQ/246036PRATIKSHA FASHION   VAR THE VARACHHA CO- ADA</t>
  </si>
  <si>
    <t xml:space="preserve">             244370.90 CR</t>
  </si>
  <si>
    <t>3101/217889.70/1</t>
  </si>
  <si>
    <t>217889.70</t>
  </si>
  <si>
    <t>Suspance Receipt</t>
  </si>
  <si>
    <t>3001/187438.70/2</t>
  </si>
  <si>
    <t>187438.70</t>
  </si>
  <si>
    <t>3001/151248.70/3</t>
  </si>
  <si>
    <t>151248.70</t>
  </si>
  <si>
    <t>Suspance Payment</t>
  </si>
  <si>
    <t>3001/161248.70/4</t>
  </si>
  <si>
    <t>161248.70</t>
  </si>
  <si>
    <t>3001/162348.70/5</t>
  </si>
  <si>
    <t>162348.70</t>
  </si>
  <si>
    <t>2801/112638.70/6</t>
  </si>
  <si>
    <t>112638.70</t>
  </si>
  <si>
    <t>2601/132638.70/7</t>
  </si>
  <si>
    <t>132638.70</t>
  </si>
  <si>
    <t>2401/152638.70/8</t>
  </si>
  <si>
    <t>152638.70</t>
  </si>
  <si>
    <t>2301/117638.70/9</t>
  </si>
  <si>
    <t>117638.70</t>
  </si>
  <si>
    <t>2201/117662.30/10</t>
  </si>
  <si>
    <t>117662.30</t>
  </si>
  <si>
    <t>2201/67662.30/11</t>
  </si>
  <si>
    <t>67662.30</t>
  </si>
  <si>
    <t>2201/102662.30/12</t>
  </si>
  <si>
    <t>102662.30</t>
  </si>
  <si>
    <t>2101/52662.30/13</t>
  </si>
  <si>
    <t>52662.30</t>
  </si>
  <si>
    <t>2101/67662.30/14</t>
  </si>
  <si>
    <t>1601/17662.30/15</t>
  </si>
  <si>
    <t>17662.30</t>
  </si>
  <si>
    <t>1601/27662.30/16</t>
  </si>
  <si>
    <t>27662.30</t>
  </si>
  <si>
    <t>1601/37662.30/17</t>
  </si>
  <si>
    <t>37662.30</t>
  </si>
  <si>
    <t>1401/47662.30/18</t>
  </si>
  <si>
    <t>47662.30</t>
  </si>
  <si>
    <t>1401/49662.30/19</t>
  </si>
  <si>
    <t>49662.30</t>
  </si>
  <si>
    <t>1301/122616.30/20</t>
  </si>
  <si>
    <t>122616.30</t>
  </si>
  <si>
    <t>1301/206091.30/21</t>
  </si>
  <si>
    <t>206091.30</t>
  </si>
  <si>
    <t>1301/176091.30/22</t>
  </si>
  <si>
    <t>176091.30</t>
  </si>
  <si>
    <t>1001/74241.30/23</t>
  </si>
  <si>
    <t>74241.30</t>
  </si>
  <si>
    <t>601/104558.30/24</t>
  </si>
  <si>
    <t>104558.30</t>
  </si>
  <si>
    <t>301/74558.30/25</t>
  </si>
  <si>
    <t>74558.30</t>
  </si>
  <si>
    <t>201/90763.30/26</t>
  </si>
  <si>
    <t>90763.30</t>
  </si>
  <si>
    <t>201/63122.30/27</t>
  </si>
  <si>
    <t>63122.30</t>
  </si>
  <si>
    <t>101/123122.30/28</t>
  </si>
  <si>
    <t>123122.30</t>
  </si>
  <si>
    <t>101/173122.30/29</t>
  </si>
  <si>
    <t>173122.30</t>
  </si>
  <si>
    <t>101/134534.30/30</t>
  </si>
  <si>
    <t>134534.30</t>
  </si>
  <si>
    <t>3112/142803.30/31</t>
  </si>
  <si>
    <t>142803.30</t>
  </si>
  <si>
    <t>3012/242803.30/32</t>
  </si>
  <si>
    <t>242803.30</t>
  </si>
  <si>
    <t>2812/142803.30/33</t>
  </si>
  <si>
    <t>2712/149803.30/34</t>
  </si>
  <si>
    <t>149803.30</t>
  </si>
  <si>
    <t>2612/173317.30/35</t>
  </si>
  <si>
    <t>173317.30</t>
  </si>
  <si>
    <t>2412/102301.30/36</t>
  </si>
  <si>
    <t>102301.30</t>
  </si>
  <si>
    <t>2412/60601.30/37</t>
  </si>
  <si>
    <t>60601.30</t>
  </si>
  <si>
    <t>2112/63601.30/38</t>
  </si>
  <si>
    <t>63601.30</t>
  </si>
  <si>
    <t>1712/66601.30/39</t>
  </si>
  <si>
    <t>66601.30</t>
  </si>
  <si>
    <t>1712/76156.30/40</t>
  </si>
  <si>
    <t>76156.30</t>
  </si>
  <si>
    <t>1612/40141.30/41</t>
  </si>
  <si>
    <t>40141.30</t>
  </si>
  <si>
    <t>1212/65220.30/42</t>
  </si>
  <si>
    <t>65220.30</t>
  </si>
  <si>
    <t>1112/109509.30/43</t>
  </si>
  <si>
    <t>109509.30</t>
  </si>
  <si>
    <t>1012/179509.30/44</t>
  </si>
  <si>
    <t>179509.30</t>
  </si>
  <si>
    <t>1012/233509.30/45</t>
  </si>
  <si>
    <t>233509.30</t>
  </si>
  <si>
    <t>1012/193509.30/46</t>
  </si>
  <si>
    <t>193509.30</t>
  </si>
  <si>
    <t>712/223826.30/47</t>
  </si>
  <si>
    <t>223826.30</t>
  </si>
  <si>
    <t>712/186971.30/48</t>
  </si>
  <si>
    <t>186971.30</t>
  </si>
  <si>
    <t>712/143312.30/49</t>
  </si>
  <si>
    <t>143312.30</t>
  </si>
  <si>
    <t>512/97952.30/50</t>
  </si>
  <si>
    <t>97952.30</t>
  </si>
  <si>
    <t>312/117952.30/51</t>
  </si>
  <si>
    <t>117952.30</t>
  </si>
  <si>
    <t>3011/90389.30/52</t>
  </si>
  <si>
    <t>90389.30</t>
  </si>
  <si>
    <t>2911/190389.30/53</t>
  </si>
  <si>
    <t>190389.30</t>
  </si>
  <si>
    <t>2911/200389.30/54</t>
  </si>
  <si>
    <t>200389.30</t>
  </si>
  <si>
    <t>2811/277809.30/55</t>
  </si>
  <si>
    <t>277809.30</t>
  </si>
  <si>
    <t>2811/240324.30/56</t>
  </si>
  <si>
    <t>240324.30</t>
  </si>
  <si>
    <t>2711/194764.30/57</t>
  </si>
  <si>
    <t>194764.30</t>
  </si>
  <si>
    <t>2611/182064.30/58</t>
  </si>
  <si>
    <t>182064.30</t>
  </si>
  <si>
    <t>2111/130214.30/59</t>
  </si>
  <si>
    <t>130214.30</t>
  </si>
  <si>
    <t>1911/130568.30/60</t>
  </si>
  <si>
    <t>130568.30</t>
  </si>
  <si>
    <t>1411/179568.30/61</t>
  </si>
  <si>
    <t>179568.30</t>
  </si>
  <si>
    <t>1311/199568.30/62</t>
  </si>
  <si>
    <t>199568.30</t>
  </si>
  <si>
    <t>1211/149568.30/63</t>
  </si>
  <si>
    <t>149568.30</t>
  </si>
  <si>
    <t>1211/198568.30/64</t>
  </si>
  <si>
    <t>198568.30</t>
  </si>
  <si>
    <t>1011/156673.30/65</t>
  </si>
  <si>
    <t>156673.30</t>
  </si>
  <si>
    <t>3010/186990.30/66</t>
  </si>
  <si>
    <t>186990.30</t>
  </si>
  <si>
    <t>3010/136990.30/67</t>
  </si>
  <si>
    <t>136990.30</t>
  </si>
  <si>
    <t>2910/185990.30/68</t>
  </si>
  <si>
    <t>185990.30</t>
  </si>
  <si>
    <t>2910/150990.30/69</t>
  </si>
  <si>
    <t>150990.30</t>
  </si>
  <si>
    <t>2910/120990.30/70</t>
  </si>
  <si>
    <t>120990.30</t>
  </si>
  <si>
    <t>2810/108220.30/71</t>
  </si>
  <si>
    <t>108220.30</t>
  </si>
  <si>
    <t>2610/308220.30/72</t>
  </si>
  <si>
    <t>308220.30</t>
  </si>
  <si>
    <t>2510/258220.30/73</t>
  </si>
  <si>
    <t>258220.30</t>
  </si>
  <si>
    <t>2510/199866.30/74</t>
  </si>
  <si>
    <t>199866.30</t>
  </si>
  <si>
    <t>2410/163641.30/75</t>
  </si>
  <si>
    <t>163641.30</t>
  </si>
  <si>
    <t>2210/113641.30/76</t>
  </si>
  <si>
    <t>113641.30</t>
  </si>
  <si>
    <t>2210/169287.30/77</t>
  </si>
  <si>
    <t>169287.30</t>
  </si>
  <si>
    <t>2110/369287.30/78</t>
  </si>
  <si>
    <t>369287.30</t>
  </si>
  <si>
    <t>1910/369310.90/79</t>
  </si>
  <si>
    <t>369310.90</t>
  </si>
  <si>
    <t>1910/319310.90/80</t>
  </si>
  <si>
    <t>319310.90</t>
  </si>
  <si>
    <t>1910/319382.90/81</t>
  </si>
  <si>
    <t>319382.90</t>
  </si>
  <si>
    <t>1910/319782.90/82</t>
  </si>
  <si>
    <t>319782.90</t>
  </si>
  <si>
    <t>1910/359782.90/83</t>
  </si>
  <si>
    <t>359782.90</t>
  </si>
  <si>
    <t>1710/364570.90/84</t>
  </si>
  <si>
    <t>364570.90</t>
  </si>
  <si>
    <t>1710/334570.90/85</t>
  </si>
  <si>
    <t>334570.90</t>
  </si>
  <si>
    <t>1710/383570.90/86</t>
  </si>
  <si>
    <t>383570.90</t>
  </si>
  <si>
    <t>1610/394370.90/87</t>
  </si>
  <si>
    <t>394370.90</t>
  </si>
  <si>
    <t>1610/244370.90/88</t>
  </si>
  <si>
    <t>244370.90</t>
  </si>
  <si>
    <t>0000201293</t>
  </si>
  <si>
    <t>NEFT ICIN403051329856</t>
  </si>
  <si>
    <t>ATM Q04M49461S</t>
  </si>
  <si>
    <t>0000500702</t>
  </si>
  <si>
    <t>ATM TCDN494711</t>
  </si>
  <si>
    <t>NEFT ICIN402456336838</t>
  </si>
  <si>
    <t>CHARGES 2024</t>
  </si>
  <si>
    <t>NEFT HDFCH00018779194</t>
  </si>
  <si>
    <t>CASH</t>
  </si>
  <si>
    <t>NEFT HDFCH00017418353</t>
  </si>
  <si>
    <t>NEFT ICIN402155291052</t>
  </si>
  <si>
    <t>ATM BSUBH144</t>
  </si>
  <si>
    <t>ATM CN206201</t>
  </si>
  <si>
    <t>CHQ 255410GAURAV</t>
  </si>
  <si>
    <t>CHQ 255419VAR</t>
  </si>
  <si>
    <t>NEFT ICICN42025011351195568</t>
  </si>
  <si>
    <t>CBIN0000000010145712</t>
  </si>
  <si>
    <t>UPI 500604177305</t>
  </si>
  <si>
    <t>CHQ 255417S</t>
  </si>
  <si>
    <t>IMPS IMPSP2A500221128740</t>
  </si>
  <si>
    <t>CHQ 255416PRATIKSHA</t>
  </si>
  <si>
    <t>0000003474</t>
  </si>
  <si>
    <t>CHQ 255408SIYA</t>
  </si>
  <si>
    <t>CHQ 255415PRATIKSHA</t>
  </si>
  <si>
    <t>NEFT N365243479987168</t>
  </si>
  <si>
    <t>CHQ 255407SHREE</t>
  </si>
  <si>
    <t>NEFT 38732356781DC</t>
  </si>
  <si>
    <t>NEFT N359243471649445</t>
  </si>
  <si>
    <t>ATM</t>
  </si>
  <si>
    <t>CHQ 255406KUSHAL</t>
  </si>
  <si>
    <t>CHQ 255402SHREE</t>
  </si>
  <si>
    <t>NEFT 38565244541DC</t>
  </si>
  <si>
    <t>0000007812</t>
  </si>
  <si>
    <t>0000000666</t>
  </si>
  <si>
    <t>CHQ 255401RAMNIKBHAI</t>
  </si>
  <si>
    <t>NEFT N338243430517898</t>
  </si>
  <si>
    <t>CHQ 246049PRATIKSHA</t>
  </si>
  <si>
    <t>CHQ 246048RINZAI</t>
  </si>
  <si>
    <t>NEFT N333243420267457</t>
  </si>
  <si>
    <t>NEFT 38418140081DC</t>
  </si>
  <si>
    <t>NEFT N332243418639932</t>
  </si>
  <si>
    <t>NEFT 38274949401DC</t>
  </si>
  <si>
    <t>NEFT N304243364879181</t>
  </si>
  <si>
    <t>NEFT N303243361708033</t>
  </si>
  <si>
    <t>NEFT 38094950791DC</t>
  </si>
  <si>
    <t>NEFT 38094866281DC</t>
  </si>
  <si>
    <t>NEFT 38073168411DC</t>
  </si>
  <si>
    <t>CHQ 246040VAR</t>
  </si>
  <si>
    <t>CHQ 246041PRATIKSHA</t>
  </si>
  <si>
    <t>CHARGES 202</t>
  </si>
  <si>
    <t>NEFT 37997928881DC</t>
  </si>
  <si>
    <t>CHQ</t>
  </si>
  <si>
    <t>CHQ 246038SAVALIYA</t>
  </si>
  <si>
    <t>NEFT N291241030539721</t>
  </si>
  <si>
    <t>CHQ 246035SAI</t>
  </si>
  <si>
    <t>0000758121</t>
  </si>
  <si>
    <t>CHQ 246036PRATIKSHA</t>
  </si>
  <si>
    <t>3101/217889.7/1</t>
  </si>
  <si>
    <t>3001/187438.7/2</t>
  </si>
  <si>
    <t>3001/151248.7/3</t>
  </si>
  <si>
    <t>3001/161248.7/4</t>
  </si>
  <si>
    <t>3001/162348.7/5</t>
  </si>
  <si>
    <t>2801/112638.7/6</t>
  </si>
  <si>
    <t>2601/132638.7/7</t>
  </si>
  <si>
    <t>2401/152638.7/8</t>
  </si>
  <si>
    <t>2301/117638.7/9</t>
  </si>
  <si>
    <t>2201/117662.3/10</t>
  </si>
  <si>
    <t>2201/67662.3/11</t>
  </si>
  <si>
    <t>2201/102662.3/12</t>
  </si>
  <si>
    <t>2101/52662.3/13</t>
  </si>
  <si>
    <t>2101/67662.3/14</t>
  </si>
  <si>
    <t>1601/17662.3/15</t>
  </si>
  <si>
    <t>1601/27662.3/16</t>
  </si>
  <si>
    <t>1601/37662.3/17</t>
  </si>
  <si>
    <t>1401/47662.3/18</t>
  </si>
  <si>
    <t>1401/49662.3/19</t>
  </si>
  <si>
    <t>1301/122616.3/20</t>
  </si>
  <si>
    <t>1301/206091.3/21</t>
  </si>
  <si>
    <t>1301/176091.3/22</t>
  </si>
  <si>
    <t>1001/74241.3/23</t>
  </si>
  <si>
    <t>601/104558.3/24</t>
  </si>
  <si>
    <t>301/74558.3/25</t>
  </si>
  <si>
    <t>201/90763.3/26</t>
  </si>
  <si>
    <t>201/63122.3/27</t>
  </si>
  <si>
    <t>101/123122.3/28</t>
  </si>
  <si>
    <t>101/173122.3/29</t>
  </si>
  <si>
    <t>101/134534.3/30</t>
  </si>
  <si>
    <t>3112/142803.3/31</t>
  </si>
  <si>
    <t>3012/242803.3/32</t>
  </si>
  <si>
    <t>2812/142803.3/33</t>
  </si>
  <si>
    <t>2712/149803.3/34</t>
  </si>
  <si>
    <t>2612/173317.3/35</t>
  </si>
  <si>
    <t>2412/102301.3/36</t>
  </si>
  <si>
    <t>2412/60601.3/37</t>
  </si>
  <si>
    <t>2112/63601.3/38</t>
  </si>
  <si>
    <t>1712/66601.3/39</t>
  </si>
  <si>
    <t>1712/76156.3/40</t>
  </si>
  <si>
    <t>1612/40141.3/41</t>
  </si>
  <si>
    <t>1212/65220.3/42</t>
  </si>
  <si>
    <t>1112/109509.3/43</t>
  </si>
  <si>
    <t>1012/179509.3/44</t>
  </si>
  <si>
    <t>1012/233509.3/45</t>
  </si>
  <si>
    <t>1012/193509.3/46</t>
  </si>
  <si>
    <t>712/223826.3/47</t>
  </si>
  <si>
    <t>712/186971.3/48</t>
  </si>
  <si>
    <t>712/143312.3/49</t>
  </si>
  <si>
    <t>512/97952.3/50</t>
  </si>
  <si>
    <t>312/117952.3/51</t>
  </si>
  <si>
    <t>3011/90389.3/52</t>
  </si>
  <si>
    <t>2911/190389.3/53</t>
  </si>
  <si>
    <t>2911/200389.3/54</t>
  </si>
  <si>
    <t>2811/277809.3/55</t>
  </si>
  <si>
    <t>2811/240324.3/56</t>
  </si>
  <si>
    <t>2711/194764.3/57</t>
  </si>
  <si>
    <t>2611/182064.3/58</t>
  </si>
  <si>
    <t>2111/130214.3/59</t>
  </si>
  <si>
    <t>1911/130568.3/60</t>
  </si>
  <si>
    <t>1411/179568.3/61</t>
  </si>
  <si>
    <t>1311/199568.3/62</t>
  </si>
  <si>
    <t>1211/149568.3/63</t>
  </si>
  <si>
    <t>1211/198568.3/64</t>
  </si>
  <si>
    <t>1011/156673.3/65</t>
  </si>
  <si>
    <t>3010/186990.3/66</t>
  </si>
  <si>
    <t>3010/136990.3/67</t>
  </si>
  <si>
    <t>2910/185990.3/68</t>
  </si>
  <si>
    <t>2810/150990.3/69</t>
  </si>
  <si>
    <t>2810/120990.3/70</t>
  </si>
  <si>
    <t>2810/108220.3/71</t>
  </si>
  <si>
    <t>2610/308220.3/72</t>
  </si>
  <si>
    <t>2510/258220.3/73</t>
  </si>
  <si>
    <t>2510/199866.3/74</t>
  </si>
  <si>
    <t>2410/163641.3/75</t>
  </si>
  <si>
    <t>2210/113641.3/76</t>
  </si>
  <si>
    <t>2210/169287.3/77</t>
  </si>
  <si>
    <t>2110/369287.3/78</t>
  </si>
  <si>
    <t>1910/369310.9/79</t>
  </si>
  <si>
    <t>1910/319310.9/80</t>
  </si>
  <si>
    <t>1910/319382.9/81</t>
  </si>
  <si>
    <t>1910/319782.9/82</t>
  </si>
  <si>
    <t>1910/359782.9/83</t>
  </si>
  <si>
    <t>1710/364570.9/84</t>
  </si>
  <si>
    <t>1710/334570.9/85</t>
  </si>
  <si>
    <t>1710/383570.9/86</t>
  </si>
  <si>
    <t>1610/394370.9/87</t>
  </si>
  <si>
    <t>1610/244370.9/88</t>
  </si>
  <si>
    <t>10:E7:C6:30:87:63</t>
  </si>
  <si>
    <t>KETAN</t>
  </si>
  <si>
    <t>C:\Users\AT\Downloads\DetailedStatement(1).xlsx</t>
  </si>
  <si>
    <t>The Sutex Co-op. Bank A/c.</t>
  </si>
  <si>
    <t>295 - KETAN JOGANI</t>
  </si>
  <si>
    <t>BOI (P)</t>
  </si>
  <si>
    <t>SCOPB (P)</t>
  </si>
  <si>
    <r>
      <rPr>
        <b/>
        <sz val="11"/>
        <rFont val="Arial MT"/>
        <family val="2"/>
      </rPr>
      <t>Sr No</t>
    </r>
  </si>
  <si>
    <r>
      <rPr>
        <b/>
        <sz val="11"/>
        <rFont val="Arial MT"/>
        <family val="2"/>
      </rPr>
      <t>Date</t>
    </r>
  </si>
  <si>
    <r>
      <rPr>
        <b/>
        <sz val="11"/>
        <rFont val="Arial MT"/>
        <family val="2"/>
      </rPr>
      <t>Remarks</t>
    </r>
  </si>
  <si>
    <r>
      <rPr>
        <b/>
        <sz val="11"/>
        <rFont val="Arial MT"/>
        <family val="2"/>
      </rPr>
      <t>Debit</t>
    </r>
  </si>
  <si>
    <r>
      <rPr>
        <b/>
        <sz val="11"/>
        <rFont val="Arial MT"/>
        <family val="2"/>
      </rPr>
      <t>Credit</t>
    </r>
  </si>
  <si>
    <r>
      <rPr>
        <b/>
        <sz val="11"/>
        <rFont val="Arial MT"/>
        <family val="2"/>
      </rPr>
      <t>Balance</t>
    </r>
  </si>
  <si>
    <t xml:space="preserve">Bank of India </t>
  </si>
  <si>
    <r>
      <rPr>
        <sz val="9.5"/>
        <rFont val="Times New Roman"/>
        <family val="1"/>
      </rPr>
      <t>Tran Date</t>
    </r>
  </si>
  <si>
    <r>
      <rPr>
        <sz val="9.5"/>
        <rFont val="Times New Roman"/>
        <family val="1"/>
      </rPr>
      <t>Chq No</t>
    </r>
  </si>
  <si>
    <r>
      <rPr>
        <b/>
        <sz val="9.5"/>
        <rFont val="Times New Roman"/>
        <family val="1"/>
      </rPr>
      <t>Particulars</t>
    </r>
  </si>
  <si>
    <r>
      <rPr>
        <b/>
        <sz val="9.5"/>
        <rFont val="Times New Roman"/>
        <family val="1"/>
      </rPr>
      <t>Debit</t>
    </r>
  </si>
  <si>
    <r>
      <rPr>
        <sz val="9.5"/>
        <rFont val="Times New Roman"/>
        <family val="1"/>
      </rPr>
      <t>Credit</t>
    </r>
  </si>
  <si>
    <r>
      <rPr>
        <b/>
        <sz val="9.5"/>
        <rFont val="Times New Roman"/>
        <family val="1"/>
      </rPr>
      <t>Balance</t>
    </r>
  </si>
  <si>
    <r>
      <rPr>
        <b/>
        <sz val="9.5"/>
        <rFont val="Times New Roman"/>
        <family val="1"/>
      </rPr>
      <t xml:space="preserve">Init.
</t>
    </r>
    <r>
      <rPr>
        <sz val="9.5"/>
        <rFont val="Times New Roman"/>
        <family val="1"/>
      </rPr>
      <t>Br</t>
    </r>
  </si>
  <si>
    <t>Axis (P)</t>
  </si>
  <si>
    <t>Axis (P) : 135</t>
  </si>
  <si>
    <r>
      <rPr>
        <b/>
        <sz val="10"/>
        <color rgb="FFFFFFFF"/>
        <rFont val="Arial"/>
        <family val="2"/>
      </rPr>
      <t>TRAN DATE</t>
    </r>
  </si>
  <si>
    <r>
      <rPr>
        <b/>
        <sz val="10"/>
        <color rgb="FFFFFFFF"/>
        <rFont val="Arial"/>
        <family val="2"/>
      </rPr>
      <t>VALUE DATE</t>
    </r>
  </si>
  <si>
    <r>
      <rPr>
        <b/>
        <sz val="10"/>
        <color rgb="FFFFFFFF"/>
        <rFont val="Arial"/>
        <family val="2"/>
      </rPr>
      <t>NARRATION</t>
    </r>
  </si>
  <si>
    <r>
      <rPr>
        <b/>
        <sz val="10"/>
        <color rgb="FFFFFFFF"/>
        <rFont val="Arial"/>
        <family val="2"/>
      </rPr>
      <t>CHQ.NO.</t>
    </r>
  </si>
  <si>
    <r>
      <rPr>
        <b/>
        <sz val="10"/>
        <color rgb="FFFFFFFF"/>
        <rFont val="Arial"/>
        <family val="2"/>
      </rPr>
      <t>WITHDRAWAL(DR)</t>
    </r>
  </si>
  <si>
    <r>
      <rPr>
        <b/>
        <sz val="10"/>
        <color rgb="FFFFFFFF"/>
        <rFont val="Arial"/>
        <family val="2"/>
      </rPr>
      <t>DEPOSIT(CR)</t>
    </r>
  </si>
  <si>
    <r>
      <rPr>
        <b/>
        <sz val="10"/>
        <color rgb="FFFFFFFF"/>
        <rFont val="Arial"/>
        <family val="2"/>
      </rPr>
      <t>BALANCE(INR)</t>
    </r>
  </si>
  <si>
    <r>
      <rPr>
        <sz val="10"/>
        <rFont val="Arial MT"/>
        <family val="2"/>
      </rPr>
      <t xml:space="preserve">UPI/102373336247/19:07:21/UPI/paytmqr5
</t>
    </r>
    <r>
      <rPr>
        <sz val="10"/>
        <rFont val="Arial MT"/>
        <family val="2"/>
      </rPr>
      <t>ch4nv@ptys/</t>
    </r>
  </si>
  <si>
    <r>
      <rPr>
        <sz val="10"/>
        <rFont val="Arial MT"/>
        <family val="2"/>
      </rPr>
      <t>73,075.65Cr</t>
    </r>
  </si>
  <si>
    <r>
      <rPr>
        <sz val="10"/>
        <rFont val="Arial MT"/>
        <family val="2"/>
      </rPr>
      <t xml:space="preserve">UPI/102352383394/12:31:32/UPI/paytmqr2
</t>
    </r>
    <r>
      <rPr>
        <sz val="10"/>
        <rFont val="Arial MT"/>
        <family val="2"/>
      </rPr>
      <t>81005050101</t>
    </r>
  </si>
  <si>
    <r>
      <rPr>
        <sz val="10"/>
        <rFont val="Arial MT"/>
        <family val="2"/>
      </rPr>
      <t>73,125.65Cr</t>
    </r>
  </si>
  <si>
    <r>
      <rPr>
        <sz val="10"/>
        <rFont val="Arial MT"/>
        <family val="2"/>
      </rPr>
      <t xml:space="preserve">UPI/102338471121/06:23:34/UPI/paytm.d1
</t>
    </r>
    <r>
      <rPr>
        <sz val="10"/>
        <rFont val="Arial MT"/>
        <family val="2"/>
      </rPr>
      <t>0860324079@</t>
    </r>
  </si>
  <si>
    <r>
      <rPr>
        <sz val="10"/>
        <rFont val="Arial MT"/>
        <family val="2"/>
      </rPr>
      <t>73,925.65Cr</t>
    </r>
  </si>
  <si>
    <r>
      <rPr>
        <sz val="10"/>
        <rFont val="Arial MT"/>
        <family val="2"/>
      </rPr>
      <t xml:space="preserve">UPI/102331944858/22:03:09/UPI/msshivsh
</t>
    </r>
    <r>
      <rPr>
        <sz val="10"/>
        <rFont val="Arial MT"/>
        <family val="2"/>
      </rPr>
      <t>aktitexfeb.</t>
    </r>
  </si>
  <si>
    <r>
      <rPr>
        <sz val="10"/>
        <rFont val="Arial MT"/>
        <family val="2"/>
      </rPr>
      <t>74,025.65Cr</t>
    </r>
  </si>
  <si>
    <r>
      <rPr>
        <sz val="10"/>
        <rFont val="Arial MT"/>
        <family val="2"/>
      </rPr>
      <t xml:space="preserve">CHARGES FOR
</t>
    </r>
    <r>
      <rPr>
        <sz val="10"/>
        <rFont val="Arial MT"/>
        <family val="2"/>
      </rPr>
      <t>:IMPS/P2A/508819942538/XXXXXXXX</t>
    </r>
  </si>
  <si>
    <r>
      <rPr>
        <sz val="10"/>
        <rFont val="Arial MT"/>
        <family val="2"/>
      </rPr>
      <t>1,49,025.65Cr</t>
    </r>
  </si>
  <si>
    <r>
      <rPr>
        <sz val="10"/>
        <rFont val="Arial MT"/>
        <family val="2"/>
      </rPr>
      <t xml:space="preserve">IMPS/P2A/508819942538/XXXXXXXXXX0
</t>
    </r>
    <r>
      <rPr>
        <sz val="10"/>
        <rFont val="Arial MT"/>
        <family val="2"/>
      </rPr>
      <t>609/SHIVSHAKTIfa</t>
    </r>
  </si>
  <si>
    <r>
      <rPr>
        <sz val="10"/>
        <rFont val="Arial MT"/>
        <family val="2"/>
      </rPr>
      <t>1,00,000.00</t>
    </r>
  </si>
  <si>
    <r>
      <rPr>
        <sz val="10"/>
        <rFont val="Arial MT"/>
        <family val="2"/>
      </rPr>
      <t>1,49,034.50Cr</t>
    </r>
  </si>
  <si>
    <r>
      <rPr>
        <sz val="10"/>
        <rFont val="Arial MT"/>
        <family val="2"/>
      </rPr>
      <t xml:space="preserve">UPI/508803228383/19:42:02/UPI/msshivsh
</t>
    </r>
    <r>
      <rPr>
        <sz val="10"/>
        <rFont val="Arial MT"/>
        <family val="2"/>
      </rPr>
      <t>aktitexfeb.</t>
    </r>
  </si>
  <si>
    <r>
      <rPr>
        <sz val="10"/>
        <rFont val="Arial MT"/>
        <family val="2"/>
      </rPr>
      <t>2,49,034.50Cr</t>
    </r>
  </si>
  <si>
    <r>
      <rPr>
        <sz val="10"/>
        <rFont val="Arial MT"/>
        <family val="2"/>
      </rPr>
      <t>SURANI FASHION PRIVATE LIMITED</t>
    </r>
  </si>
  <si>
    <r>
      <rPr>
        <sz val="10"/>
        <rFont val="Arial MT"/>
        <family val="2"/>
      </rPr>
      <t>2,25,000.00</t>
    </r>
  </si>
  <si>
    <r>
      <rPr>
        <sz val="10"/>
        <rFont val="Arial MT"/>
        <family val="2"/>
      </rPr>
      <t>2,99,034.50Cr</t>
    </r>
  </si>
  <si>
    <r>
      <rPr>
        <sz val="10"/>
        <rFont val="Arial MT"/>
        <family val="2"/>
      </rPr>
      <t xml:space="preserve">UPI/102249589546/16:56:11/UPI/98795955
</t>
    </r>
    <r>
      <rPr>
        <sz val="10"/>
        <rFont val="Arial MT"/>
        <family val="2"/>
      </rPr>
      <t>68@okbizaxi</t>
    </r>
  </si>
  <si>
    <r>
      <rPr>
        <sz val="10"/>
        <rFont val="Arial MT"/>
        <family val="2"/>
      </rPr>
      <t>74,034.50Cr</t>
    </r>
  </si>
  <si>
    <r>
      <rPr>
        <sz val="10"/>
        <rFont val="Arial MT"/>
        <family val="2"/>
      </rPr>
      <t xml:space="preserve">UPI/100253884590/12:30:38/UPI/gspc.billd
</t>
    </r>
    <r>
      <rPr>
        <sz val="10"/>
        <rFont val="Arial MT"/>
        <family val="2"/>
      </rPr>
      <t>esk@hdfcb</t>
    </r>
  </si>
  <si>
    <r>
      <rPr>
        <sz val="10"/>
        <rFont val="Arial MT"/>
        <family val="2"/>
      </rPr>
      <t>74,409.50Cr</t>
    </r>
  </si>
  <si>
    <r>
      <rPr>
        <sz val="10"/>
        <rFont val="Arial MT"/>
        <family val="2"/>
      </rPr>
      <t xml:space="preserve">UPI/102227262601/10:12:10/UPI/sc972787
</t>
    </r>
    <r>
      <rPr>
        <sz val="10"/>
        <rFont val="Arial MT"/>
        <family val="2"/>
      </rPr>
      <t>7851-1@okhd</t>
    </r>
  </si>
  <si>
    <r>
      <rPr>
        <sz val="10"/>
        <rFont val="Arial MT"/>
        <family val="2"/>
      </rPr>
      <t>77,124.50Cr</t>
    </r>
  </si>
  <si>
    <r>
      <rPr>
        <sz val="10"/>
        <rFont val="Arial MT"/>
        <family val="2"/>
      </rPr>
      <t xml:space="preserve">UPI/102146557555/18:15:13/UPI/kakadiya
</t>
    </r>
    <r>
      <rPr>
        <sz val="10"/>
        <rFont val="Arial MT"/>
        <family val="2"/>
      </rPr>
      <t>mayur2550-1</t>
    </r>
  </si>
  <si>
    <r>
      <rPr>
        <sz val="10"/>
        <rFont val="Arial MT"/>
        <family val="2"/>
      </rPr>
      <t>82,124.50Cr</t>
    </r>
  </si>
  <si>
    <r>
      <rPr>
        <sz val="10"/>
        <rFont val="Arial MT"/>
        <family val="2"/>
      </rPr>
      <t xml:space="preserve">UPI/074965328905/16:14:57/UPI/97642875
</t>
    </r>
    <r>
      <rPr>
        <sz val="10"/>
        <rFont val="Arial MT"/>
        <family val="2"/>
      </rPr>
      <t>28@ybl/Paym</t>
    </r>
  </si>
  <si>
    <r>
      <rPr>
        <sz val="10"/>
        <rFont val="Arial MT"/>
        <family val="2"/>
      </rPr>
      <t>1,00,124.50Cr</t>
    </r>
  </si>
  <si>
    <r>
      <rPr>
        <sz val="10"/>
        <rFont val="Arial MT"/>
        <family val="2"/>
      </rPr>
      <t xml:space="preserve">UPI/102138601794/15:45:46/UPI/sp042207
</t>
    </r>
    <r>
      <rPr>
        <sz val="10"/>
        <rFont val="Arial MT"/>
        <family val="2"/>
      </rPr>
      <t>7-1@oksbi/U</t>
    </r>
  </si>
  <si>
    <r>
      <rPr>
        <sz val="10"/>
        <rFont val="Arial MT"/>
        <family val="2"/>
      </rPr>
      <t xml:space="preserve">UPI/102093496532/18:34:41/UPI/q1961106
</t>
    </r>
    <r>
      <rPr>
        <sz val="10"/>
        <rFont val="Arial MT"/>
        <family val="2"/>
      </rPr>
      <t>46@ybl/UPI</t>
    </r>
  </si>
  <si>
    <r>
      <rPr>
        <sz val="10"/>
        <rFont val="Arial MT"/>
        <family val="2"/>
      </rPr>
      <t>82,574.50Cr</t>
    </r>
  </si>
  <si>
    <r>
      <rPr>
        <sz val="10"/>
        <rFont val="Arial MT"/>
        <family val="2"/>
      </rPr>
      <t xml:space="preserve">UPI/102079919059/14:14:09/UPI/mahavir0
</t>
    </r>
    <r>
      <rPr>
        <sz val="10"/>
        <rFont val="Arial MT"/>
        <family val="2"/>
      </rPr>
      <t>zala@okaxis</t>
    </r>
  </si>
  <si>
    <r>
      <rPr>
        <sz val="10"/>
        <rFont val="Arial MT"/>
        <family val="2"/>
      </rPr>
      <t>84,074.50Cr</t>
    </r>
  </si>
  <si>
    <r>
      <rPr>
        <sz val="10"/>
        <rFont val="Arial MT"/>
        <family val="2"/>
      </rPr>
      <t xml:space="preserve">UPI/102036964916/17:12:58/UPI/bharatbir
</t>
    </r>
    <r>
      <rPr>
        <sz val="10"/>
        <rFont val="Arial MT"/>
        <family val="2"/>
      </rPr>
      <t>ajdar1984@</t>
    </r>
  </si>
  <si>
    <r>
      <rPr>
        <sz val="10"/>
        <rFont val="Arial MT"/>
        <family val="2"/>
      </rPr>
      <t>84,724.50Cr</t>
    </r>
  </si>
  <si>
    <r>
      <rPr>
        <sz val="10"/>
        <rFont val="Arial MT"/>
        <family val="2"/>
      </rPr>
      <t xml:space="preserve">UPI/102005853851/22:48:11/UPI/q9093398
</t>
    </r>
    <r>
      <rPr>
        <sz val="10"/>
        <rFont val="Arial MT"/>
        <family val="2"/>
      </rPr>
      <t>55@ybl/UPI</t>
    </r>
  </si>
  <si>
    <r>
      <rPr>
        <sz val="10"/>
        <rFont val="Arial MT"/>
        <family val="2"/>
      </rPr>
      <t>83,724.50Cr</t>
    </r>
  </si>
  <si>
    <r>
      <rPr>
        <sz val="10"/>
        <rFont val="Arial MT"/>
        <family val="2"/>
      </rPr>
      <t xml:space="preserve">UPI/102002151557/21:27:30/UPI/paytm-
</t>
    </r>
    <r>
      <rPr>
        <sz val="10"/>
        <rFont val="Arial MT"/>
        <family val="2"/>
      </rPr>
      <t>8943346@ptys/</t>
    </r>
  </si>
  <si>
    <r>
      <rPr>
        <sz val="10"/>
        <rFont val="Arial MT"/>
        <family val="2"/>
      </rPr>
      <t>84,964.50Cr</t>
    </r>
  </si>
  <si>
    <r>
      <rPr>
        <sz val="10"/>
        <rFont val="Arial MT"/>
        <family val="2"/>
      </rPr>
      <t xml:space="preserve">UPI/101988788787/18:38:02/UPI/paytm-
</t>
    </r>
    <r>
      <rPr>
        <sz val="10"/>
        <rFont val="Arial MT"/>
        <family val="2"/>
      </rPr>
      <t>8742914@ptys/</t>
    </r>
  </si>
  <si>
    <r>
      <rPr>
        <sz val="10"/>
        <rFont val="Arial MT"/>
        <family val="2"/>
      </rPr>
      <t>85,539.50Cr</t>
    </r>
  </si>
  <si>
    <r>
      <rPr>
        <sz val="10"/>
        <rFont val="Arial MT"/>
        <family val="2"/>
      </rPr>
      <t xml:space="preserve">UPI/101971205164/12:30:46/UPI/q2418215
</t>
    </r>
    <r>
      <rPr>
        <sz val="10"/>
        <rFont val="Arial MT"/>
        <family val="2"/>
      </rPr>
      <t>33@ybl/UPI</t>
    </r>
  </si>
  <si>
    <r>
      <rPr>
        <sz val="10"/>
        <rFont val="Arial MT"/>
        <family val="2"/>
      </rPr>
      <t>86,057.50Cr</t>
    </r>
  </si>
  <si>
    <r>
      <rPr>
        <sz val="10"/>
        <rFont val="Arial MT"/>
        <family val="2"/>
      </rPr>
      <t xml:space="preserve">UPI/101962618122/09:27:31/UPI/q7671196
</t>
    </r>
    <r>
      <rPr>
        <sz val="10"/>
        <rFont val="Arial MT"/>
        <family val="2"/>
      </rPr>
      <t>96@ybl/UPI</t>
    </r>
  </si>
  <si>
    <r>
      <rPr>
        <sz val="10"/>
        <rFont val="Arial MT"/>
        <family val="2"/>
      </rPr>
      <t>87,657.50Cr</t>
    </r>
  </si>
  <si>
    <r>
      <rPr>
        <sz val="10"/>
        <rFont val="Arial MT"/>
        <family val="2"/>
      </rPr>
      <t xml:space="preserve">UPI/101962520388/09:25:07/UPI/q2024800
</t>
    </r>
    <r>
      <rPr>
        <sz val="10"/>
        <rFont val="Arial MT"/>
        <family val="2"/>
      </rPr>
      <t>55@ybl/UPI</t>
    </r>
  </si>
  <si>
    <r>
      <rPr>
        <sz val="10"/>
        <rFont val="Arial MT"/>
        <family val="2"/>
      </rPr>
      <t>88,157.50Cr</t>
    </r>
  </si>
  <si>
    <r>
      <rPr>
        <sz val="10"/>
        <rFont val="Arial MT"/>
        <family val="2"/>
      </rPr>
      <t xml:space="preserve">UPI/101959966103/08:13:27/UPI/gpayrech
</t>
    </r>
    <r>
      <rPr>
        <sz val="10"/>
        <rFont val="Arial MT"/>
        <family val="2"/>
      </rPr>
      <t>arge@okpaya</t>
    </r>
  </si>
  <si>
    <r>
      <rPr>
        <sz val="10"/>
        <rFont val="Arial MT"/>
        <family val="2"/>
      </rPr>
      <t>88,529.50Cr</t>
    </r>
  </si>
  <si>
    <r>
      <rPr>
        <sz val="10"/>
        <rFont val="Arial MT"/>
        <family val="2"/>
      </rPr>
      <t xml:space="preserve">UPI/101958409723/06:57:34/UPI/paytmqr6
</t>
    </r>
    <r>
      <rPr>
        <sz val="10"/>
        <rFont val="Arial MT"/>
        <family val="2"/>
      </rPr>
      <t>0ft6r@ptys/</t>
    </r>
  </si>
  <si>
    <r>
      <rPr>
        <sz val="10"/>
        <rFont val="Arial MT"/>
        <family val="2"/>
      </rPr>
      <t>88,830.40Cr</t>
    </r>
  </si>
  <si>
    <r>
      <rPr>
        <sz val="10"/>
        <rFont val="Arial MT"/>
        <family val="2"/>
      </rPr>
      <t xml:space="preserve">UPI/101833151918/18:46:37/UPI/paytmqr2
</t>
    </r>
    <r>
      <rPr>
        <sz val="10"/>
        <rFont val="Arial MT"/>
        <family val="2"/>
      </rPr>
      <t>81005050101</t>
    </r>
  </si>
  <si>
    <r>
      <rPr>
        <sz val="10"/>
        <rFont val="Arial MT"/>
        <family val="2"/>
      </rPr>
      <t>89,348.40Cr</t>
    </r>
  </si>
  <si>
    <r>
      <rPr>
        <sz val="10"/>
        <rFont val="Arial MT"/>
        <family val="2"/>
      </rPr>
      <t>Loan Recovery For34670600002627</t>
    </r>
  </si>
  <si>
    <r>
      <rPr>
        <sz val="10"/>
        <rFont val="Arial MT"/>
        <family val="2"/>
      </rPr>
      <t>90,268.40Cr</t>
    </r>
  </si>
  <si>
    <t>2903/225000/8</t>
  </si>
  <si>
    <t>2703/18000/13</t>
  </si>
  <si>
    <t>2503/1000/17</t>
  </si>
  <si>
    <t>SURANI FASHION PRIVATE LIMITED</t>
  </si>
  <si>
    <t>UPI 102373336247</t>
  </si>
  <si>
    <t>19:07:21 / UPI / paytmqr5
ch4nv@ptys /</t>
  </si>
  <si>
    <t>UPI 102352383394</t>
  </si>
  <si>
    <t>12:31:32 / UPI / paytmqr2
81005050101</t>
  </si>
  <si>
    <t>UPI 102338471121</t>
  </si>
  <si>
    <t>06:23:34 / UPI / paytm.d1
0860324079@</t>
  </si>
  <si>
    <t>UPI 102331944858</t>
  </si>
  <si>
    <t>22:03:09 / UPI / msshivsh
aktitexfeb.</t>
  </si>
  <si>
    <t>IMPS 508819942538</t>
  </si>
  <si>
    <t>FOR
:IMPS / P2A / 508819942538 / XXXXXXXX</t>
  </si>
  <si>
    <t>P2A / 508819942538 / XXXXXXXXXX0
609 / SHIVSHAKTIfa</t>
  </si>
  <si>
    <t>UPI 508803228383</t>
  </si>
  <si>
    <t>19:42:02 / UPI / msshivsh
aktitexfeb.</t>
  </si>
  <si>
    <t>UPI 102249589546</t>
  </si>
  <si>
    <t>16:56:11 / UPI / 98795955
68@okbizaxi</t>
  </si>
  <si>
    <t>UPI 100253884590</t>
  </si>
  <si>
    <t>12:30:38 / UPI / gspc.billd
esk@hdfcb</t>
  </si>
  <si>
    <t>UPI 102227262601</t>
  </si>
  <si>
    <t>10:12:10 / UPI / sc972787
7851-1@okhd</t>
  </si>
  <si>
    <t>UPI 102146557555</t>
  </si>
  <si>
    <t>18:15:13 / UPI / kakadiya
mayur2550-1</t>
  </si>
  <si>
    <t>UPI 074965328905</t>
  </si>
  <si>
    <t>16:14:57 / UPI / 97642875
28@ybl / Paym</t>
  </si>
  <si>
    <t>UPI 102138601794</t>
  </si>
  <si>
    <t>15:45:46 / UPI / sp042207
7-1@oksbi / U</t>
  </si>
  <si>
    <t>UPI 102093496532</t>
  </si>
  <si>
    <t>18:34:41 / UPI / q1961106
46@ybl / UPI</t>
  </si>
  <si>
    <t>UPI 102079919059</t>
  </si>
  <si>
    <t>14:14:09 / UPI / mahavir0
zala@okaxis</t>
  </si>
  <si>
    <t>UPI 102036964916</t>
  </si>
  <si>
    <t>17:12:58 / UPI / bharatbir
ajdar1984@</t>
  </si>
  <si>
    <t>UPI 102005853851</t>
  </si>
  <si>
    <t>22:48:11 / UPI / q9093398
55@ybl / UPI</t>
  </si>
  <si>
    <t>UPI 102002151557</t>
  </si>
  <si>
    <t>21:27:30 / UPI / paytm-
8943346@ptys /</t>
  </si>
  <si>
    <t>UPI 101988788787</t>
  </si>
  <si>
    <t>18:38:02 / UPI / paytm-
8742914@ptys /</t>
  </si>
  <si>
    <t>UPI 101971205164</t>
  </si>
  <si>
    <t>12:30:46 / UPI / q2418215
33@ybl / UPI</t>
  </si>
  <si>
    <t>UPI 101962618122</t>
  </si>
  <si>
    <t>09:27:31 / UPI / q7671196
96@ybl / UPI</t>
  </si>
  <si>
    <t>UPI 101962520388</t>
  </si>
  <si>
    <t>09:25:07 / UPI / q2024800
55@ybl / UPI</t>
  </si>
  <si>
    <t>UPI 101959966103</t>
  </si>
  <si>
    <t>08:13:27 / UPI / gpayrech
arge@okpaya</t>
  </si>
  <si>
    <t>UPI 101958409723</t>
  </si>
  <si>
    <t>06:57:34 / UPI / paytmqr6
0ft6r@ptys /</t>
  </si>
  <si>
    <t>UPI 101833151918</t>
  </si>
  <si>
    <t>18:46:37 / UPI / paytmqr2
81005050101</t>
  </si>
  <si>
    <t>Loan Loan Recovery For34670600002627</t>
  </si>
  <si>
    <t>Recovery For34670600002627</t>
  </si>
  <si>
    <t>BOB(P) (2)</t>
  </si>
  <si>
    <t>Transactio n ID</t>
  </si>
  <si>
    <t>Txn Posted Date</t>
  </si>
  <si>
    <t>Transaction Amount(INR)</t>
  </si>
  <si>
    <r>
      <rPr>
        <b/>
        <sz val="12"/>
        <rFont val="Arial"/>
        <family val="2"/>
      </rPr>
      <t>Available Balance(INR
)</t>
    </r>
  </si>
  <si>
    <t>ICICI 3 (P)</t>
  </si>
  <si>
    <r>
      <rPr>
        <b/>
        <sz val="7.5"/>
        <rFont val="Times New Roman"/>
        <family val="1"/>
      </rPr>
      <t>Value Date</t>
    </r>
  </si>
  <si>
    <r>
      <rPr>
        <b/>
        <sz val="7.5"/>
        <rFont val="Times New Roman"/>
        <family val="1"/>
      </rPr>
      <t>Particulars</t>
    </r>
  </si>
  <si>
    <r>
      <rPr>
        <b/>
        <sz val="7.5"/>
        <rFont val="Times New Roman"/>
        <family val="1"/>
      </rPr>
      <t>Tran Type</t>
    </r>
  </si>
  <si>
    <r>
      <rPr>
        <b/>
        <sz val="7.5"/>
        <rFont val="Times New Roman"/>
        <family val="1"/>
      </rPr>
      <t>Tran ID</t>
    </r>
  </si>
  <si>
    <r>
      <rPr>
        <b/>
        <sz val="7.5"/>
        <rFont val="Times New Roman"/>
        <family val="1"/>
      </rPr>
      <t>Cheque Details</t>
    </r>
  </si>
  <si>
    <r>
      <rPr>
        <b/>
        <sz val="7.5"/>
        <rFont val="Times New Roman"/>
        <family val="1"/>
      </rPr>
      <t>Withdrawals</t>
    </r>
  </si>
  <si>
    <r>
      <rPr>
        <b/>
        <sz val="7.5"/>
        <rFont val="Times New Roman"/>
        <family val="1"/>
      </rPr>
      <t>Deposits</t>
    </r>
  </si>
  <si>
    <r>
      <rPr>
        <b/>
        <sz val="7.5"/>
        <rFont val="Times New Roman"/>
        <family val="1"/>
      </rPr>
      <t>Balance</t>
    </r>
  </si>
  <si>
    <r>
      <rPr>
        <b/>
        <sz val="7.5"/>
        <rFont val="Times New Roman"/>
        <family val="1"/>
      </rPr>
      <t xml:space="preserve">DR
</t>
    </r>
    <r>
      <rPr>
        <b/>
        <sz val="7.5"/>
        <rFont val="Times New Roman"/>
        <family val="1"/>
      </rPr>
      <t>/CR</t>
    </r>
  </si>
  <si>
    <r>
      <rPr>
        <sz val="7.5"/>
        <rFont val="Times New Roman"/>
        <family val="1"/>
      </rPr>
      <t>CASH:SELF</t>
    </r>
  </si>
  <si>
    <r>
      <rPr>
        <sz val="7.5"/>
        <rFont val="Times New Roman"/>
        <family val="1"/>
      </rPr>
      <t>CASH</t>
    </r>
  </si>
  <si>
    <r>
      <rPr>
        <sz val="7.5"/>
        <rFont val="Times New Roman"/>
        <family val="1"/>
      </rPr>
      <t>FB65224</t>
    </r>
  </si>
  <si>
    <r>
      <rPr>
        <sz val="7.5"/>
        <rFont val="Times New Roman"/>
        <family val="1"/>
      </rPr>
      <t>Cr</t>
    </r>
  </si>
  <si>
    <r>
      <rPr>
        <sz val="7.5"/>
        <rFont val="Times New Roman"/>
        <family val="1"/>
      </rPr>
      <t xml:space="preserve">NFT/PATIDAR CO
</t>
    </r>
    <r>
      <rPr>
        <sz val="7.5"/>
        <rFont val="Times New Roman"/>
        <family val="1"/>
      </rPr>
      <t>/FDRLH24093545808/HDFC BANK</t>
    </r>
  </si>
  <si>
    <r>
      <rPr>
        <sz val="7.5"/>
        <rFont val="Times New Roman"/>
        <family val="1"/>
      </rPr>
      <t>FT</t>
    </r>
  </si>
  <si>
    <r>
      <rPr>
        <sz val="7.5"/>
        <rFont val="Times New Roman"/>
        <family val="1"/>
      </rPr>
      <t>S46553665</t>
    </r>
  </si>
  <si>
    <r>
      <rPr>
        <sz val="7.5"/>
        <rFont val="Times New Roman"/>
        <family val="1"/>
      </rPr>
      <t xml:space="preserve">NFT/BHAGYODAY E
</t>
    </r>
    <r>
      <rPr>
        <sz val="7.5"/>
        <rFont val="Times New Roman"/>
        <family val="1"/>
      </rPr>
      <t>/FDRLH24093555271/HDFC BANK</t>
    </r>
  </si>
  <si>
    <r>
      <rPr>
        <sz val="7.5"/>
        <rFont val="Times New Roman"/>
        <family val="1"/>
      </rPr>
      <t>S46965211</t>
    </r>
  </si>
  <si>
    <r>
      <rPr>
        <sz val="7.5"/>
        <rFont val="Times New Roman"/>
        <family val="1"/>
      </rPr>
      <t>S K FAN PARTS ELECTRICAL</t>
    </r>
  </si>
  <si>
    <r>
      <rPr>
        <sz val="7.5"/>
        <rFont val="Times New Roman"/>
        <family val="1"/>
      </rPr>
      <t>CLG</t>
    </r>
  </si>
  <si>
    <r>
      <rPr>
        <sz val="7.5"/>
        <rFont val="Times New Roman"/>
        <family val="1"/>
      </rPr>
      <t>S10254250</t>
    </r>
  </si>
  <si>
    <r>
      <rPr>
        <sz val="7.5"/>
        <rFont val="Times New Roman"/>
        <family val="1"/>
      </rPr>
      <t>DHARA EL DHARA ELECTRICAL</t>
    </r>
  </si>
  <si>
    <r>
      <rPr>
        <sz val="7.5"/>
        <rFont val="Times New Roman"/>
        <family val="1"/>
      </rPr>
      <t>KESHAVKANT ENTERPRISE</t>
    </r>
  </si>
  <si>
    <r>
      <rPr>
        <sz val="7.5"/>
        <rFont val="Times New Roman"/>
        <family val="1"/>
      </rPr>
      <t>S64360479</t>
    </r>
  </si>
  <si>
    <r>
      <rPr>
        <sz val="7.5"/>
        <rFont val="Times New Roman"/>
        <family val="1"/>
      </rPr>
      <t>CLG/CLG/2452/23-04-24/HDFC BANK</t>
    </r>
  </si>
  <si>
    <r>
      <rPr>
        <sz val="7.5"/>
        <rFont val="Times New Roman"/>
        <family val="1"/>
      </rPr>
      <t>S31286990</t>
    </r>
  </si>
  <si>
    <r>
      <rPr>
        <sz val="7.5"/>
        <rFont val="Times New Roman"/>
        <family val="1"/>
      </rPr>
      <t>FB37129</t>
    </r>
  </si>
  <si>
    <r>
      <rPr>
        <sz val="7.5"/>
        <rFont val="Times New Roman"/>
        <family val="1"/>
      </rPr>
      <t>S81185944</t>
    </r>
  </si>
  <si>
    <r>
      <rPr>
        <sz val="7.5"/>
        <rFont val="Times New Roman"/>
        <family val="1"/>
      </rPr>
      <t xml:space="preserve">NFT/BHAGYODAY E
</t>
    </r>
    <r>
      <rPr>
        <sz val="7.5"/>
        <rFont val="Times New Roman"/>
        <family val="1"/>
      </rPr>
      <t>/FDRLH24120398165/HDFC BANK</t>
    </r>
  </si>
  <si>
    <r>
      <rPr>
        <sz val="7.5"/>
        <rFont val="Times New Roman"/>
        <family val="1"/>
      </rPr>
      <t>S42337889</t>
    </r>
  </si>
  <si>
    <r>
      <rPr>
        <sz val="7.5"/>
        <rFont val="Times New Roman"/>
        <family val="1"/>
      </rPr>
      <t>SAVALIYA ENTERPRISE</t>
    </r>
  </si>
  <si>
    <r>
      <rPr>
        <sz val="7.5"/>
        <rFont val="Times New Roman"/>
        <family val="1"/>
      </rPr>
      <t>S66747959</t>
    </r>
  </si>
  <si>
    <r>
      <rPr>
        <sz val="7.5"/>
        <rFont val="Times New Roman"/>
        <family val="1"/>
      </rPr>
      <t>SAVALIYA ELECTRICALS</t>
    </r>
  </si>
  <si>
    <r>
      <rPr>
        <sz val="7.5"/>
        <rFont val="Times New Roman"/>
        <family val="1"/>
      </rPr>
      <t xml:space="preserve">NFT/SHUBHAM K MART
</t>
    </r>
    <r>
      <rPr>
        <sz val="7.5"/>
        <rFont val="Times New Roman"/>
        <family val="1"/>
      </rPr>
      <t>/N138243045010795/HDFC BANK</t>
    </r>
  </si>
  <si>
    <r>
      <rPr>
        <sz val="7.5"/>
        <rFont val="Times New Roman"/>
        <family val="1"/>
      </rPr>
      <t>S53512545</t>
    </r>
  </si>
  <si>
    <r>
      <rPr>
        <sz val="7.5"/>
        <rFont val="Times New Roman"/>
        <family val="1"/>
      </rPr>
      <t>TFR:RAHULBHAI HIRPARA</t>
    </r>
  </si>
  <si>
    <r>
      <rPr>
        <sz val="7.5"/>
        <rFont val="Times New Roman"/>
        <family val="1"/>
      </rPr>
      <t>TFR</t>
    </r>
  </si>
  <si>
    <r>
      <rPr>
        <sz val="7.5"/>
        <rFont val="Times New Roman"/>
        <family val="1"/>
      </rPr>
      <t>FB68290</t>
    </r>
  </si>
  <si>
    <r>
      <rPr>
        <sz val="7.5"/>
        <rFont val="Times New Roman"/>
        <family val="1"/>
      </rPr>
      <t xml:space="preserve">NFT/K Z INTERNA
</t>
    </r>
    <r>
      <rPr>
        <sz val="7.5"/>
        <rFont val="Times New Roman"/>
        <family val="1"/>
      </rPr>
      <t>/FDRLH24149943299/KALUPUR</t>
    </r>
  </si>
  <si>
    <r>
      <rPr>
        <sz val="7.5"/>
        <rFont val="Times New Roman"/>
        <family val="1"/>
      </rPr>
      <t>S79254774</t>
    </r>
  </si>
  <si>
    <r>
      <rPr>
        <sz val="7.5"/>
        <rFont val="Times New Roman"/>
        <family val="1"/>
      </rPr>
      <t xml:space="preserve">NFT/BHAGYALAXMI
</t>
    </r>
    <r>
      <rPr>
        <sz val="7.5"/>
        <rFont val="Times New Roman"/>
        <family val="1"/>
      </rPr>
      <t>/FDRLH24149943346/IDBI</t>
    </r>
  </si>
  <si>
    <r>
      <rPr>
        <sz val="7.5"/>
        <rFont val="Times New Roman"/>
        <family val="1"/>
      </rPr>
      <t>S79266192</t>
    </r>
  </si>
  <si>
    <r>
      <rPr>
        <sz val="7.5"/>
        <rFont val="Times New Roman"/>
        <family val="1"/>
      </rPr>
      <t>MADHAV CABLES</t>
    </r>
  </si>
  <si>
    <r>
      <rPr>
        <sz val="7.5"/>
        <rFont val="Times New Roman"/>
        <family val="1"/>
      </rPr>
      <t>S99890588</t>
    </r>
  </si>
  <si>
    <r>
      <rPr>
        <sz val="7.5"/>
        <rFont val="Times New Roman"/>
        <family val="1"/>
      </rPr>
      <t>S18860207</t>
    </r>
  </si>
  <si>
    <r>
      <rPr>
        <sz val="7.5"/>
        <rFont val="Times New Roman"/>
        <family val="1"/>
      </rPr>
      <t xml:space="preserve">NFT/SHREE YAMUNE FA
</t>
    </r>
    <r>
      <rPr>
        <sz val="7.5"/>
        <rFont val="Times New Roman"/>
        <family val="1"/>
      </rPr>
      <t>/36577545591DC/ICICI BANK</t>
    </r>
  </si>
  <si>
    <r>
      <rPr>
        <sz val="7.5"/>
        <rFont val="Times New Roman"/>
        <family val="1"/>
      </rPr>
      <t>S62663931</t>
    </r>
  </si>
  <si>
    <t>204/299986.05/1</t>
  </si>
  <si>
    <t>204/290769.05/2</t>
  </si>
  <si>
    <t>204/223661.05/3</t>
  </si>
  <si>
    <t>904/208961.05/4</t>
  </si>
  <si>
    <t>S K FAN PARTS ELECTRICAL</t>
  </si>
  <si>
    <t>904/181755.05/5</t>
  </si>
  <si>
    <t>DHARA EL DHARA ELECTRICAL</t>
  </si>
  <si>
    <t>1604/81755.05/6</t>
  </si>
  <si>
    <t>KESHAVKANT ENTERPRISE</t>
  </si>
  <si>
    <t>2404/139256.05/7</t>
  </si>
  <si>
    <t>2404/239256.05/8</t>
  </si>
  <si>
    <t>2604/139256.05/9</t>
  </si>
  <si>
    <t>2904/46228.05/10</t>
  </si>
  <si>
    <t>3004/24977.05/11</t>
  </si>
  <si>
    <t>SAVALIYA ENTERPRISE</t>
  </si>
  <si>
    <t>3004/20477.05/12</t>
  </si>
  <si>
    <t>SAVALIYA ELECTRICALS</t>
  </si>
  <si>
    <t>1705/60004.05/13</t>
  </si>
  <si>
    <t>2705/720004.05/14</t>
  </si>
  <si>
    <t>TFR:RAHULBHAI HIRPARA</t>
  </si>
  <si>
    <t>2805/651416.05/15</t>
  </si>
  <si>
    <t>2805/631144.05/16</t>
  </si>
  <si>
    <t>2905/93540.05/17</t>
  </si>
  <si>
    <t>MADHAV CABLES</t>
  </si>
  <si>
    <t>3005/9866.05/18</t>
  </si>
  <si>
    <t>1006/33372.05/19</t>
  </si>
  <si>
    <t>:SELF</t>
  </si>
  <si>
    <t>NFT / PATIDAR CO
 / FDRLH24093545808 / HDFC BANK</t>
  </si>
  <si>
    <t>NFT / BHAGYODAY E
 / FDRLH24093555271 / HDFC BANK</t>
  </si>
  <si>
    <t>CLG 2452</t>
  </si>
  <si>
    <t>23-04-24 / HDFC BANK</t>
  </si>
  <si>
    <t>NFT / BHAGYODAY E
 / FDRLH24120398165 / HDFC BANK</t>
  </si>
  <si>
    <t>NFT / SHUBHAM K MART
 / N138243045010795 / HDFC BANK</t>
  </si>
  <si>
    <t>NFT / K Z INTERNA
 / FDRLH24149943299 / KALUPUR</t>
  </si>
  <si>
    <t>NFT / BHAGYALAXMI
 / FDRLH24149943346 / IDBI</t>
  </si>
  <si>
    <t>NFT / SHREE YAMUNE FA
 / 36577545591DC / ICICI BANK</t>
  </si>
  <si>
    <t>Federal (P)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</si>
</sst>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;[Red]0.00"/>
    <numFmt numFmtId="165" formatCode="dd/mm/yyyy;@"/>
    <numFmt numFmtId="166" formatCode="mm/dd/yyyy"/>
    <numFmt numFmtId="167" formatCode="dd\-mmm\-yyyy;@"/>
  </numFmts>
  <fonts count="8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10"/>
      <name val="SansSerif"/>
    </font>
    <font>
      <sz val="7"/>
      <color indexed="72"/>
      <name val="Arial"/>
      <family val="2"/>
    </font>
    <font>
      <sz val="11"/>
      <color rgb="FF000000"/>
      <name val="Calibri"/>
      <family val="2"/>
    </font>
    <font>
      <b/>
      <sz val="11"/>
      <name val="Arial"/>
      <family val="2"/>
    </font>
    <font>
      <sz val="10"/>
      <name val="Roboto Lt"/>
    </font>
    <font>
      <b/>
      <sz val="11"/>
      <color indexed="8"/>
      <name val="Calibri"/>
      <family val="2"/>
    </font>
    <font>
      <b/>
      <sz val="11"/>
      <name val="Arial MT"/>
      <family val="2"/>
    </font>
    <font>
      <sz val="9.5"/>
      <name val="Times New Roman"/>
      <family val="1"/>
    </font>
    <font>
      <b/>
      <sz val="9.5"/>
      <name val="Times New Roman"/>
      <family val="1"/>
    </font>
    <font>
      <sz val="10"/>
      <color rgb="FF000000"/>
      <name val="Arial MT"/>
      <family val="2"/>
    </font>
    <font>
      <b/>
      <sz val="10"/>
      <color rgb="FFFFFFFF"/>
      <name val="Arial"/>
      <family val="2"/>
    </font>
    <font>
      <b/>
      <sz val="12"/>
      <name val="Arial"/>
      <family val="2"/>
    </font>
    <font>
      <b/>
      <sz val="7.5"/>
      <name val="Times New Roman"/>
      <family val="1"/>
    </font>
    <font>
      <sz val="7.5"/>
      <color rgb="FF000000"/>
      <name val="Times New Roman"/>
      <family val="2"/>
    </font>
    <font>
      <sz val="7.5"/>
      <name val="Times New Roman"/>
      <family val="1"/>
    </font>
    <font>
      <sz val="8"/>
      <name val="Segoe UI"/>
      <family val="2"/>
    </font>
  </fonts>
  <fills count="57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2B38C"/>
      </patternFill>
    </fill>
    <fill>
      <patternFill patternType="solid">
        <fgColor rgb="FFFFEDED"/>
      </patternFill>
    </fill>
    <fill>
      <patternFill patternType="solid">
        <fgColor rgb="FF98C5D9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57"/>
      </left>
      <right style="thin">
        <color indexed="57"/>
      </right>
      <top/>
      <bottom style="hair">
        <color indexed="57"/>
      </bottom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/>
      <bottom/>
      <diagonal/>
    </border>
    <border>
      <left/>
      <right/>
      <top/>
      <bottom style="thin">
        <color rgb="FFFFA500"/>
      </bottom>
      <diagonal/>
    </border>
    <border>
      <left style="thin">
        <color rgb="FFDFE0E1"/>
      </left>
      <right/>
      <top style="thin">
        <color rgb="FFDFE0E1"/>
      </top>
      <bottom style="thin">
        <color rgb="FFDFE0E1"/>
      </bottom>
      <diagonal/>
    </border>
    <border>
      <left/>
      <right/>
      <top style="thin">
        <color rgb="FFDFE0E1"/>
      </top>
      <bottom style="thin">
        <color rgb="FFDFE0E1"/>
      </bottom>
      <diagonal/>
    </border>
    <border>
      <left/>
      <right style="thin">
        <color rgb="FFDFE0E1"/>
      </right>
      <top style="thin">
        <color rgb="FFDFE0E1"/>
      </top>
      <bottom style="thin">
        <color rgb="FFDFE0E1"/>
      </bottom>
      <diagonal/>
    </border>
  </borders>
  <cellStyleXfs count="49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  <xf numFmtId="0" fontId="75" fillId="0" borderId="0"/>
  </cellStyleXfs>
  <cellXfs count="379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7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5" xfId="0" applyFill="1" applyBorder="1" applyProtection="1"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/>
      <protection locked="0"/>
    </xf>
    <xf numFmtId="165" fontId="0" fillId="11" borderId="15" xfId="0" applyNumberFormat="1" applyFill="1" applyBorder="1" applyAlignment="1" applyProtection="1">
      <alignment horizontal="right"/>
      <protection locked="0"/>
    </xf>
    <xf numFmtId="0" fontId="0" fillId="11" borderId="15" xfId="0" applyFill="1" applyBorder="1" applyAlignment="1" applyProtection="1">
      <alignment horizontal="right"/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19" xfId="0" applyFont="1" applyFill="1" applyBorder="1" applyAlignment="1">
      <alignment horizontal="center" vertical="center"/>
    </xf>
    <xf numFmtId="0" fontId="1" fillId="48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8" borderId="20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8" borderId="24" xfId="0" applyFont="1" applyFill="1" applyBorder="1" applyAlignment="1">
      <alignment horizontal="center" vertical="center"/>
    </xf>
    <xf numFmtId="0" fontId="12" fillId="48" borderId="25" xfId="0" applyFont="1" applyFill="1" applyBorder="1" applyAlignment="1">
      <alignment horizontal="center" vertical="center"/>
    </xf>
    <xf numFmtId="0" fontId="10" fillId="8" borderId="26" xfId="0" applyFont="1" applyFill="1" applyBorder="1" applyAlignment="1" applyProtection="1">
      <alignment horizontal="center" vertical="center"/>
      <protection hidden="1"/>
    </xf>
    <xf numFmtId="0" fontId="10" fillId="4" borderId="26" xfId="0" applyFont="1" applyFill="1" applyBorder="1" applyAlignment="1" applyProtection="1">
      <alignment horizontal="center" vertical="center"/>
      <protection hidden="1"/>
    </xf>
    <xf numFmtId="0" fontId="0" fillId="48" borderId="27" xfId="0" applyFill="1" applyBorder="1" applyProtection="1">
      <protection locked="0"/>
    </xf>
    <xf numFmtId="0" fontId="41" fillId="48" borderId="28" xfId="0" applyFont="1" applyFill="1" applyBorder="1" applyAlignment="1">
      <alignment vertical="center" wrapText="1"/>
    </xf>
    <xf numFmtId="0" fontId="41" fillId="48" borderId="0" xfId="0" applyFont="1" applyFill="1" applyAlignment="1">
      <alignment horizontal="left" vertical="center"/>
    </xf>
    <xf numFmtId="0" fontId="41" fillId="48" borderId="0" xfId="0" applyFont="1" applyFill="1" applyAlignment="1">
      <alignment vertical="center" wrapText="1"/>
    </xf>
    <xf numFmtId="0" fontId="0" fillId="48" borderId="29" xfId="0" applyFill="1" applyBorder="1" applyProtection="1">
      <protection locked="0"/>
    </xf>
    <xf numFmtId="0" fontId="12" fillId="48" borderId="28" xfId="0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42" fillId="13" borderId="22" xfId="0" applyFont="1" applyFill="1" applyBorder="1" applyAlignment="1">
      <alignment vertical="center" wrapText="1"/>
    </xf>
    <xf numFmtId="0" fontId="42" fillId="13" borderId="23" xfId="0" applyFont="1" applyFill="1" applyBorder="1" applyAlignment="1">
      <alignment vertical="center" wrapText="1"/>
    </xf>
    <xf numFmtId="0" fontId="42" fillId="13" borderId="21" xfId="0" applyFont="1" applyFill="1" applyBorder="1" applyAlignment="1">
      <alignment vertical="center" wrapText="1"/>
    </xf>
    <xf numFmtId="0" fontId="43" fillId="7" borderId="23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49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49" borderId="1" xfId="0" quotePrefix="1" applyFill="1" applyBorder="1" applyAlignment="1" applyProtection="1">
      <alignment horizontal="center" vertical="center"/>
      <protection hidden="1"/>
    </xf>
    <xf numFmtId="0" fontId="0" fillId="7" borderId="21" xfId="0" applyFill="1" applyBorder="1" applyProtection="1">
      <protection locked="0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7" fillId="7" borderId="21" xfId="0" applyFont="1" applyFill="1" applyBorder="1" applyAlignment="1" applyProtection="1">
      <alignment horizontal="center" vertical="center" wrapText="1"/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1" xfId="0" applyFont="1" applyFill="1" applyBorder="1" applyAlignment="1">
      <alignment horizontal="left" vertical="top" wrapText="1"/>
    </xf>
    <xf numFmtId="0" fontId="46" fillId="7" borderId="22" xfId="0" applyFont="1" applyFill="1" applyBorder="1" applyAlignment="1">
      <alignment vertical="top" wrapText="1"/>
    </xf>
    <xf numFmtId="0" fontId="0" fillId="7" borderId="22" xfId="0" applyFill="1" applyBorder="1"/>
    <xf numFmtId="0" fontId="46" fillId="7" borderId="22" xfId="0" applyFont="1" applyFill="1" applyBorder="1" applyAlignment="1">
      <alignment horizontal="left" vertical="top" wrapText="1"/>
    </xf>
    <xf numFmtId="0" fontId="40" fillId="7" borderId="21" xfId="0" applyFont="1" applyFill="1" applyBorder="1" applyAlignment="1">
      <alignment horizontal="center" vertical="center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34" fillId="7" borderId="21" xfId="0" applyFont="1" applyFill="1" applyBorder="1" applyProtection="1">
      <protection locked="0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28" fillId="7" borderId="21" xfId="0" applyFont="1" applyFill="1" applyBorder="1" applyAlignment="1">
      <alignment wrapText="1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8" fillId="7" borderId="21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center" wrapText="1"/>
    </xf>
    <xf numFmtId="0" fontId="35" fillId="7" borderId="21" xfId="0" applyFont="1" applyFill="1" applyBorder="1" applyAlignment="1" applyProtection="1">
      <alignment horizontal="center" vertical="center"/>
      <protection locked="0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6" xfId="0" applyFont="1" applyFill="1" applyBorder="1" applyAlignment="1" applyProtection="1">
      <alignment horizontal="center" vertical="center"/>
      <protection hidden="1"/>
    </xf>
    <xf numFmtId="0" fontId="11" fillId="48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0" borderId="21" xfId="0" applyFill="1" applyBorder="1" applyAlignment="1" applyProtection="1">
      <alignment horizontal="center"/>
      <protection locked="0"/>
    </xf>
    <xf numFmtId="0" fontId="0" fillId="50" borderId="22" xfId="0" applyFill="1" applyBorder="1" applyAlignment="1" applyProtection="1">
      <alignment horizontal="center"/>
      <protection locked="0"/>
    </xf>
    <xf numFmtId="0" fontId="0" fillId="50" borderId="23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2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1" xfId="0" applyFont="1" applyFill="1" applyBorder="1" applyAlignment="1">
      <alignment horizontal="center" vertical="top" wrapText="1"/>
    </xf>
    <xf numFmtId="0" fontId="54" fillId="7" borderId="31" xfId="0" applyFont="1" applyFill="1" applyBorder="1" applyAlignment="1">
      <alignment horizontal="left" vertical="top" wrapText="1" indent="6"/>
    </xf>
    <xf numFmtId="0" fontId="54" fillId="7" borderId="31" xfId="0" applyFont="1" applyFill="1" applyBorder="1" applyAlignment="1">
      <alignment horizontal="left" vertical="top" wrapText="1" indent="2"/>
    </xf>
    <xf numFmtId="0" fontId="54" fillId="7" borderId="31" xfId="0" applyFont="1" applyFill="1" applyBorder="1" applyAlignment="1">
      <alignment horizontal="left" vertical="top" wrapText="1" indent="3"/>
    </xf>
    <xf numFmtId="0" fontId="55" fillId="7" borderId="16" xfId="0" applyFont="1" applyFill="1" applyBorder="1" applyAlignment="1">
      <alignment horizontal="left" vertical="center" wrapText="1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0" xfId="0" applyFont="1" applyFill="1" applyBorder="1" applyAlignment="1">
      <alignment horizontal="left" vertical="top" wrapText="1"/>
    </xf>
    <xf numFmtId="0" fontId="54" fillId="7" borderId="30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2" xfId="0" applyFont="1" applyFill="1" applyBorder="1" applyAlignment="1">
      <alignment horizontal="center" vertical="top" wrapText="1"/>
    </xf>
    <xf numFmtId="0" fontId="58" fillId="13" borderId="33" xfId="0" applyFont="1" applyFill="1" applyBorder="1" applyAlignment="1">
      <alignment horizontal="left" vertical="top" wrapText="1" indent="2"/>
    </xf>
    <xf numFmtId="0" fontId="0" fillId="13" borderId="33" xfId="0" applyFill="1" applyBorder="1" applyAlignment="1">
      <alignment horizontal="left" vertical="center" wrapText="1"/>
    </xf>
    <xf numFmtId="0" fontId="58" fillId="13" borderId="33" xfId="0" applyFont="1" applyFill="1" applyBorder="1" applyAlignment="1">
      <alignment horizontal="left" vertical="top" wrapText="1" indent="3"/>
    </xf>
    <xf numFmtId="0" fontId="58" fillId="13" borderId="33" xfId="0" applyFont="1" applyFill="1" applyBorder="1" applyAlignment="1">
      <alignment horizontal="left" vertical="top" wrapText="1" indent="5"/>
    </xf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right" vertical="top" wrapText="1" indent="3"/>
    </xf>
    <xf numFmtId="0" fontId="60" fillId="7" borderId="35" xfId="0" applyFont="1" applyFill="1" applyBorder="1" applyAlignment="1">
      <alignment horizontal="center" vertical="top" wrapText="1"/>
    </xf>
    <xf numFmtId="0" fontId="60" fillId="7" borderId="35" xfId="0" applyFont="1" applyFill="1" applyBorder="1" applyAlignment="1">
      <alignment horizontal="left" vertical="top" wrapText="1" indent="1"/>
    </xf>
    <xf numFmtId="0" fontId="60" fillId="7" borderId="35" xfId="0" applyFont="1" applyFill="1" applyBorder="1" applyAlignment="1">
      <alignment horizontal="left" vertical="top" wrapText="1" indent="2"/>
    </xf>
    <xf numFmtId="0" fontId="61" fillId="51" borderId="1" xfId="0" applyFont="1" applyFill="1" applyBorder="1" applyAlignment="1">
      <alignment horizontal="center" vertical="top" wrapText="1"/>
    </xf>
    <xf numFmtId="0" fontId="61" fillId="51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5" xfId="0" applyNumberFormat="1" applyFill="1" applyBorder="1" applyAlignment="1" applyProtection="1">
      <alignment horizontal="center" vertical="center"/>
      <protection locked="0"/>
    </xf>
    <xf numFmtId="14" fontId="61" fillId="51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6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1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66" fillId="7" borderId="22" xfId="0" applyFont="1" applyFill="1" applyBorder="1" applyAlignment="1">
      <alignment horizontal="right" vertical="center" wrapText="1" indent="1"/>
    </xf>
    <xf numFmtId="0" fontId="66" fillId="7" borderId="22" xfId="0" applyFont="1" applyFill="1" applyBorder="1" applyAlignment="1">
      <alignment horizontal="righ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0" fillId="11" borderId="15" xfId="0" applyFill="1" applyBorder="1" applyAlignment="1" applyProtection="1">
      <alignment horizontal="left"/>
      <protection locked="0"/>
    </xf>
    <xf numFmtId="0" fontId="0" fillId="11" borderId="15" xfId="0" applyFill="1" applyBorder="1" applyAlignment="1" applyProtection="1">
      <alignment horizontal="left" vertical="center"/>
      <protection locked="0"/>
    </xf>
    <xf numFmtId="0" fontId="67" fillId="52" borderId="21" xfId="0" applyFont="1" applyFill="1" applyBorder="1" applyAlignment="1">
      <alignment horizontal="center" vertical="center" wrapText="1"/>
    </xf>
    <xf numFmtId="0" fontId="67" fillId="52" borderId="22" xfId="0" applyFont="1" applyFill="1" applyBorder="1" applyAlignment="1">
      <alignment horizontal="center" vertical="center" wrapText="1"/>
    </xf>
    <xf numFmtId="0" fontId="67" fillId="52" borderId="23" xfId="0" applyFont="1" applyFill="1" applyBorder="1" applyAlignment="1">
      <alignment horizontal="center" vertical="center" wrapText="1"/>
    </xf>
    <xf numFmtId="0" fontId="60" fillId="13" borderId="21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8" fillId="13" borderId="21" xfId="0" applyFont="1" applyFill="1" applyBorder="1" applyAlignment="1">
      <alignment horizontal="center" vertical="top"/>
    </xf>
    <xf numFmtId="0" fontId="68" fillId="13" borderId="22" xfId="0" applyFont="1" applyFill="1" applyBorder="1" applyAlignment="1">
      <alignment horizontal="left" vertical="top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54" fillId="13" borderId="21" xfId="0" applyFont="1" applyFill="1" applyBorder="1" applyAlignment="1">
      <alignment horizontal="center" vertical="center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8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2" xfId="0" applyFont="1" applyFill="1" applyBorder="1" applyAlignment="1">
      <alignment horizontal="center" vertical="center" wrapText="1"/>
    </xf>
    <xf numFmtId="0" fontId="70" fillId="7" borderId="22" xfId="0" applyFont="1" applyFill="1" applyBorder="1" applyAlignment="1">
      <alignment horizontal="left" vertical="center" wrapText="1"/>
    </xf>
    <xf numFmtId="0" fontId="70" fillId="7" borderId="23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5" xfId="0" applyNumberFormat="1" applyFill="1" applyBorder="1" applyProtection="1">
      <protection locked="0"/>
    </xf>
    <xf numFmtId="166" fontId="70" fillId="7" borderId="21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1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29" xfId="0" applyFill="1" applyBorder="1"/>
    <xf numFmtId="0" fontId="0" fillId="8" borderId="40" xfId="0" applyFill="1" applyBorder="1" applyAlignment="1" applyProtection="1">
      <alignment vertical="center"/>
      <protection locked="0" hidden="1"/>
    </xf>
    <xf numFmtId="0" fontId="0" fillId="53" borderId="41" xfId="0" applyFill="1" applyBorder="1" applyAlignment="1" applyProtection="1">
      <alignment horizontal="center" vertical="center"/>
      <protection locked="0"/>
    </xf>
    <xf numFmtId="14" fontId="0" fillId="53" borderId="41" xfId="0" applyNumberFormat="1" applyFill="1" applyBorder="1" applyAlignment="1" applyProtection="1">
      <alignment horizontal="center" vertical="center"/>
      <protection locked="0"/>
    </xf>
    <xf numFmtId="0" fontId="0" fillId="15" borderId="24" xfId="0" applyFill="1" applyBorder="1"/>
    <xf numFmtId="0" fontId="0" fillId="15" borderId="25" xfId="0" applyFill="1" applyBorder="1"/>
    <xf numFmtId="0" fontId="0" fillId="15" borderId="27" xfId="0" applyFill="1" applyBorder="1"/>
    <xf numFmtId="0" fontId="0" fillId="15" borderId="28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29" xfId="0" applyFill="1" applyBorder="1" applyProtection="1">
      <protection locked="0"/>
    </xf>
    <xf numFmtId="0" fontId="54" fillId="7" borderId="30" xfId="44" applyFont="1" applyFill="1" applyBorder="1" applyAlignment="1">
      <alignment horizontal="center" vertical="center" wrapText="1"/>
    </xf>
    <xf numFmtId="0" fontId="54" fillId="7" borderId="32" xfId="44" applyFont="1" applyFill="1" applyBorder="1" applyAlignment="1">
      <alignment horizontal="center" vertical="center" wrapText="1"/>
    </xf>
    <xf numFmtId="0" fontId="54" fillId="7" borderId="34" xfId="44" applyFont="1" applyFill="1" applyBorder="1" applyAlignment="1">
      <alignment horizontal="center" vertical="center" wrapText="1"/>
    </xf>
    <xf numFmtId="0" fontId="10" fillId="48" borderId="46" xfId="0" applyFont="1" applyFill="1" applyBorder="1" applyAlignment="1">
      <alignment wrapText="1"/>
    </xf>
    <xf numFmtId="0" fontId="10" fillId="48" borderId="43" xfId="0" applyFont="1" applyFill="1" applyBorder="1" applyAlignment="1">
      <alignment vertical="top"/>
    </xf>
    <xf numFmtId="0" fontId="10" fillId="48" borderId="43" xfId="0" applyFont="1" applyFill="1" applyBorder="1" applyAlignment="1">
      <alignment horizontal="left" vertical="center"/>
    </xf>
    <xf numFmtId="0" fontId="41" fillId="7" borderId="49" xfId="0" applyFont="1" applyFill="1" applyBorder="1" applyAlignment="1">
      <alignment wrapText="1"/>
    </xf>
    <xf numFmtId="0" fontId="41" fillId="7" borderId="50" xfId="0" applyFont="1" applyFill="1" applyBorder="1" applyAlignment="1">
      <alignment vertical="top" wrapText="1"/>
    </xf>
    <xf numFmtId="0" fontId="0" fillId="15" borderId="42" xfId="0" applyFill="1" applyBorder="1" applyProtection="1">
      <protection locked="0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29" fillId="52" borderId="21" xfId="0" applyFont="1" applyFill="1" applyBorder="1" applyAlignment="1" applyProtection="1">
      <alignment horizontal="center" vertical="center"/>
      <protection locked="0"/>
    </xf>
    <xf numFmtId="0" fontId="29" fillId="52" borderId="22" xfId="0" applyFont="1" applyFill="1" applyBorder="1" applyAlignment="1" applyProtection="1">
      <alignment horizontal="center" vertical="center"/>
      <protection locked="0"/>
    </xf>
    <xf numFmtId="0" fontId="29" fillId="52" borderId="51" xfId="0" applyFont="1" applyFill="1" applyBorder="1" applyAlignment="1" applyProtection="1">
      <alignment horizontal="center" vertical="center"/>
      <protection locked="0"/>
    </xf>
    <xf numFmtId="164" fontId="29" fillId="52" borderId="51" xfId="0" applyNumberFormat="1" applyFont="1" applyFill="1" applyBorder="1" applyAlignment="1" applyProtection="1">
      <alignment horizontal="center" vertical="center"/>
      <protection locked="0"/>
    </xf>
    <xf numFmtId="164" fontId="29" fillId="52" borderId="22" xfId="0" applyNumberFormat="1" applyFont="1" applyFill="1" applyBorder="1" applyAlignment="1" applyProtection="1">
      <alignment horizontal="center" vertical="center"/>
      <protection locked="0"/>
    </xf>
    <xf numFmtId="0" fontId="29" fillId="52" borderId="23" xfId="0" quotePrefix="1" applyFont="1" applyFill="1" applyBorder="1" applyAlignment="1" applyProtection="1">
      <alignment horizontal="center" vertical="center"/>
      <protection locked="0"/>
    </xf>
    <xf numFmtId="14" fontId="0" fillId="11" borderId="15" xfId="0" applyNumberFormat="1" applyFill="1" applyBorder="1" applyProtection="1">
      <protection locked="0"/>
    </xf>
    <xf numFmtId="14" fontId="34" fillId="7" borderId="21" xfId="0" applyNumberFormat="1" applyFont="1" applyFill="1" applyBorder="1" applyProtection="1">
      <protection locked="0"/>
    </xf>
    <xf numFmtId="0" fontId="41" fillId="7" borderId="46" xfId="0" applyFont="1" applyFill="1" applyBorder="1" applyAlignment="1" applyProtection="1">
      <alignment horizontal="left"/>
      <protection locked="0"/>
    </xf>
    <xf numFmtId="0" fontId="41" fillId="7" borderId="48" xfId="0" applyFont="1" applyFill="1" applyBorder="1" applyAlignment="1" applyProtection="1">
      <alignment horizontal="left" vertical="top"/>
      <protection locked="0"/>
    </xf>
    <xf numFmtId="0" fontId="41" fillId="13" borderId="45" xfId="0" applyFont="1" applyFill="1" applyBorder="1" applyAlignment="1">
      <alignment wrapText="1"/>
    </xf>
    <xf numFmtId="0" fontId="41" fillId="13" borderId="47" xfId="0" applyFont="1" applyFill="1" applyBorder="1" applyAlignment="1">
      <alignment vertical="top" wrapText="1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3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horizontal="center" vertical="center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32" fillId="13" borderId="21" xfId="0" applyFont="1" applyFill="1" applyBorder="1" applyAlignment="1">
      <alignment horizontal="center" vertical="center"/>
    </xf>
    <xf numFmtId="0" fontId="32" fillId="13" borderId="22" xfId="0" applyFont="1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1" fontId="49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4" fillId="0" borderId="52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  <xf numFmtId="0" fontId="60" fillId="13" borderId="22" xfId="0" applyFont="1" applyFill="1" applyBorder="1" applyAlignment="1">
      <alignment vertical="center" wrapText="1"/>
    </xf>
    <xf numFmtId="0" fontId="0" fillId="13" borderId="53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6" fillId="13" borderId="0" xfId="0" applyFont="1" applyFill="1" applyAlignment="1">
      <alignment horizontal="center" vertical="center"/>
    </xf>
    <xf numFmtId="0" fontId="76" fillId="13" borderId="54" xfId="0" applyFont="1" applyFill="1" applyBorder="1" applyAlignment="1">
      <alignment horizontal="center" vertical="center"/>
    </xf>
    <xf numFmtId="1" fontId="6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7" fillId="13" borderId="55" xfId="0" applyFont="1" applyFill="1" applyBorder="1" applyAlignment="1">
      <alignment horizontal="center" vertical="center" wrapText="1"/>
    </xf>
    <xf numFmtId="0" fontId="77" fillId="13" borderId="55" xfId="0" applyFont="1" applyFill="1" applyBorder="1" applyAlignment="1">
      <alignment vertical="center" wrapText="1"/>
    </xf>
    <xf numFmtId="0" fontId="4" fillId="0" borderId="0" xfId="47" applyProtection="1">
      <protection locked="0"/>
    </xf>
    <xf numFmtId="1" fontId="73" fillId="0" borderId="1" xfId="1" quotePrefix="1" applyNumberFormat="1" applyFont="1" applyFill="1" applyBorder="1" applyAlignment="1" applyProtection="1">
      <alignment horizontal="center" vertical="center" wrapText="1"/>
      <protection locked="0" hidden="1"/>
    </xf>
    <xf numFmtId="0" fontId="34" fillId="13" borderId="1" xfId="0" applyFont="1" applyFill="1" applyBorder="1" applyProtection="1">
      <protection locked="0"/>
    </xf>
    <xf numFmtId="0" fontId="0" fillId="13" borderId="1" xfId="0" applyFill="1" applyBorder="1" applyProtection="1">
      <protection locked="0"/>
    </xf>
    <xf numFmtId="0" fontId="31" fillId="0" borderId="1" xfId="0" applyFont="1" applyBorder="1" applyAlignment="1" applyProtection="1">
      <alignment horizontal="left" vertical="center"/>
      <protection locked="0" hidden="1"/>
    </xf>
    <xf numFmtId="0" fontId="31" fillId="0" borderId="1" xfId="0" applyFont="1" applyBorder="1" applyAlignment="1" applyProtection="1">
      <alignment horizontal="left" vertical="center" wrapText="1"/>
      <protection locked="0" hidden="1"/>
    </xf>
    <xf numFmtId="0" fontId="78" fillId="13" borderId="1" xfId="0" applyFont="1" applyFill="1" applyBorder="1" applyProtection="1">
      <protection locked="0"/>
    </xf>
    <xf numFmtId="0" fontId="1" fillId="13" borderId="1" xfId="0" applyFont="1" applyFill="1" applyBorder="1" applyProtection="1">
      <protection locked="0"/>
    </xf>
    <xf numFmtId="0" fontId="80" fillId="13" borderId="1" xfId="44" applyFont="1" applyFill="1" applyBorder="1" applyAlignment="1">
      <alignment horizontal="center" vertical="center" wrapText="1"/>
    </xf>
    <xf numFmtId="0" fontId="81" fillId="13" borderId="1" xfId="44" applyFont="1" applyFill="1" applyBorder="1" applyAlignment="1">
      <alignment horizontal="center" vertical="center" wrapText="1"/>
    </xf>
    <xf numFmtId="0" fontId="81" fillId="13" borderId="1" xfId="44" applyFont="1" applyFill="1" applyBorder="1" applyAlignment="1">
      <alignment horizontal="left" vertical="center" wrapText="1"/>
    </xf>
    <xf numFmtId="0" fontId="33" fillId="13" borderId="1" xfId="44" applyFill="1" applyBorder="1" applyAlignment="1">
      <alignment horizontal="left" vertical="center" wrapText="1"/>
    </xf>
    <xf numFmtId="0" fontId="29" fillId="54" borderId="57" xfId="44" applyFont="1" applyFill="1" applyBorder="1" applyAlignment="1">
      <alignment horizontal="right" vertical="top" wrapText="1" indent="3"/>
    </xf>
    <xf numFmtId="0" fontId="29" fillId="54" borderId="56" xfId="44" applyFont="1" applyFill="1" applyBorder="1" applyAlignment="1">
      <alignment horizontal="right" vertical="top" wrapText="1" indent="1"/>
    </xf>
    <xf numFmtId="0" fontId="29" fillId="54" borderId="57" xfId="44" applyFont="1" applyFill="1" applyBorder="1" applyAlignment="1">
      <alignment horizontal="center" vertical="top" wrapText="1"/>
    </xf>
    <xf numFmtId="0" fontId="29" fillId="54" borderId="58" xfId="44" applyFont="1" applyFill="1" applyBorder="1" applyAlignment="1">
      <alignment horizontal="right" vertical="top" wrapText="1" indent="1"/>
    </xf>
    <xf numFmtId="165" fontId="82" fillId="0" borderId="56" xfId="44" applyNumberFormat="1" applyFont="1" applyBorder="1" applyAlignment="1" applyProtection="1">
      <alignment horizontal="right" vertical="top" shrinkToFit="1"/>
      <protection locked="0"/>
    </xf>
    <xf numFmtId="165" fontId="82" fillId="0" borderId="57" xfId="44" applyNumberFormat="1" applyFont="1" applyBorder="1" applyAlignment="1" applyProtection="1">
      <alignment horizontal="center" vertical="top" shrinkToFit="1"/>
      <protection locked="0"/>
    </xf>
    <xf numFmtId="0" fontId="33" fillId="0" borderId="57" xfId="44" applyBorder="1" applyAlignment="1" applyProtection="1">
      <alignment horizontal="left" vertical="top"/>
      <protection locked="0"/>
    </xf>
    <xf numFmtId="0" fontId="33" fillId="0" borderId="57" xfId="44" applyBorder="1" applyAlignment="1" applyProtection="1">
      <alignment horizontal="left" vertical="center"/>
      <protection locked="0"/>
    </xf>
    <xf numFmtId="2" fontId="82" fillId="0" borderId="57" xfId="44" applyNumberFormat="1" applyFont="1" applyBorder="1" applyAlignment="1" applyProtection="1">
      <alignment horizontal="right" vertical="top" shrinkToFit="1"/>
      <protection locked="0"/>
    </xf>
    <xf numFmtId="0" fontId="55" fillId="0" borderId="58" xfId="44" applyFont="1" applyBorder="1" applyAlignment="1" applyProtection="1">
      <alignment horizontal="right" vertical="top"/>
      <protection locked="0"/>
    </xf>
    <xf numFmtId="165" fontId="82" fillId="55" borderId="56" xfId="44" applyNumberFormat="1" applyFont="1" applyFill="1" applyBorder="1" applyAlignment="1" applyProtection="1">
      <alignment horizontal="right" vertical="top" shrinkToFit="1"/>
      <protection locked="0"/>
    </xf>
    <xf numFmtId="165" fontId="82" fillId="55" borderId="57" xfId="44" applyNumberFormat="1" applyFont="1" applyFill="1" applyBorder="1" applyAlignment="1" applyProtection="1">
      <alignment horizontal="center" vertical="top" shrinkToFit="1"/>
      <protection locked="0"/>
    </xf>
    <xf numFmtId="0" fontId="33" fillId="55" borderId="57" xfId="44" applyFill="1" applyBorder="1" applyAlignment="1" applyProtection="1">
      <alignment horizontal="left" vertical="top"/>
      <protection locked="0"/>
    </xf>
    <xf numFmtId="0" fontId="33" fillId="55" borderId="57" xfId="44" applyFill="1" applyBorder="1" applyAlignment="1" applyProtection="1">
      <alignment horizontal="left" vertical="center"/>
      <protection locked="0"/>
    </xf>
    <xf numFmtId="2" fontId="82" fillId="55" borderId="57" xfId="44" applyNumberFormat="1" applyFont="1" applyFill="1" applyBorder="1" applyAlignment="1" applyProtection="1">
      <alignment horizontal="right" vertical="top" shrinkToFit="1"/>
      <protection locked="0"/>
    </xf>
    <xf numFmtId="0" fontId="55" fillId="55" borderId="58" xfId="44" applyFont="1" applyFill="1" applyBorder="1" applyAlignment="1" applyProtection="1">
      <alignment horizontal="right" vertical="top"/>
      <protection locked="0"/>
    </xf>
    <xf numFmtId="4" fontId="82" fillId="55" borderId="57" xfId="44" applyNumberFormat="1" applyFont="1" applyFill="1" applyBorder="1" applyAlignment="1" applyProtection="1">
      <alignment horizontal="right" vertical="top" shrinkToFit="1"/>
      <protection locked="0"/>
    </xf>
    <xf numFmtId="0" fontId="55" fillId="55" borderId="57" xfId="44" applyFont="1" applyFill="1" applyBorder="1" applyAlignment="1" applyProtection="1">
      <alignment horizontal="left" vertical="top"/>
      <protection locked="0"/>
    </xf>
    <xf numFmtId="4" fontId="82" fillId="0" borderId="57" xfId="44" applyNumberFormat="1" applyFont="1" applyBorder="1" applyAlignment="1" applyProtection="1">
      <alignment horizontal="right" vertical="top" shrinkToFit="1"/>
      <protection locked="0"/>
    </xf>
    <xf numFmtId="0" fontId="33" fillId="55" borderId="57" xfId="44" applyFill="1" applyBorder="1" applyAlignment="1" applyProtection="1">
      <alignment horizontal="left"/>
      <protection locked="0"/>
    </xf>
    <xf numFmtId="4" fontId="82" fillId="0" borderId="57" xfId="44" applyNumberFormat="1" applyFont="1" applyBorder="1" applyAlignment="1" applyProtection="1">
      <alignment horizontal="left" vertical="top" shrinkToFit="1"/>
      <protection locked="0"/>
    </xf>
    <xf numFmtId="0" fontId="55" fillId="0" borderId="57" xfId="44" applyFont="1" applyBorder="1" applyAlignment="1" applyProtection="1">
      <alignment horizontal="left" vertical="top"/>
      <protection locked="0"/>
    </xf>
    <xf numFmtId="0" fontId="33" fillId="0" borderId="57" xfId="44" applyBorder="1" applyAlignment="1" applyProtection="1">
      <alignment horizontal="left"/>
      <protection locked="0"/>
    </xf>
    <xf numFmtId="0" fontId="84" fillId="7" borderId="30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 wrapText="1"/>
    </xf>
    <xf numFmtId="0" fontId="0" fillId="13" borderId="46" xfId="0" applyFill="1" applyBorder="1" applyAlignment="1">
      <alignment horizontal="center" vertical="center"/>
    </xf>
    <xf numFmtId="0" fontId="29" fillId="54" borderId="57" xfId="44" applyFont="1" applyFill="1" applyBorder="1" applyAlignment="1">
      <alignment horizontal="left" vertical="top" wrapText="1" indent="1"/>
    </xf>
    <xf numFmtId="0" fontId="29" fillId="54" borderId="57" xfId="44" applyFont="1" applyFill="1" applyBorder="1" applyAlignment="1">
      <alignment horizontal="left" vertical="top" wrapText="1"/>
    </xf>
    <xf numFmtId="0" fontId="29" fillId="54" borderId="57" xfId="44" applyFont="1" applyFill="1" applyBorder="1" applyAlignment="1">
      <alignment horizontal="right" vertical="top" wrapText="1" indent="3"/>
    </xf>
    <xf numFmtId="0" fontId="81" fillId="13" borderId="1" xfId="44" applyFont="1" applyFill="1" applyBorder="1" applyAlignment="1">
      <alignment horizontal="left" vertical="center" wrapText="1"/>
    </xf>
    <xf numFmtId="0" fontId="80" fillId="13" borderId="1" xfId="44" applyFont="1" applyFill="1" applyBorder="1" applyAlignment="1">
      <alignment horizontal="left" vertical="center" wrapText="1"/>
    </xf>
    <xf numFmtId="0" fontId="60" fillId="7" borderId="36" xfId="0" applyFont="1" applyFill="1" applyBorder="1" applyAlignment="1">
      <alignment horizontal="left" vertical="top" wrapText="1" indent="5"/>
    </xf>
    <xf numFmtId="0" fontId="60" fillId="7" borderId="37" xfId="0" applyFont="1" applyFill="1" applyBorder="1" applyAlignment="1">
      <alignment horizontal="left" vertical="top" wrapText="1" indent="5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64" fillId="7" borderId="38" xfId="0" applyFont="1" applyFill="1" applyBorder="1" applyAlignment="1">
      <alignment horizontal="center" vertical="top" wrapText="1"/>
    </xf>
    <xf numFmtId="0" fontId="64" fillId="7" borderId="39" xfId="0" applyFont="1" applyFill="1" applyBorder="1" applyAlignment="1">
      <alignment horizontal="center" vertical="top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2" xfId="0" applyFont="1" applyFill="1" applyBorder="1" applyAlignment="1">
      <alignment horizontal="center" vertical="center" wrapText="1"/>
    </xf>
    <xf numFmtId="0" fontId="72" fillId="4" borderId="24" xfId="0" applyFont="1" applyFill="1" applyBorder="1" applyAlignment="1" applyProtection="1">
      <alignment horizontal="center" vertical="center"/>
      <protection locked="0"/>
    </xf>
    <xf numFmtId="0" fontId="72" fillId="4" borderId="27" xfId="0" applyFont="1" applyFill="1" applyBorder="1" applyAlignment="1" applyProtection="1">
      <alignment horizontal="center" vertical="center"/>
      <protection locked="0"/>
    </xf>
    <xf numFmtId="0" fontId="85" fillId="56" borderId="30" xfId="0" applyFont="1" applyFill="1" applyBorder="1" applyAlignment="1">
      <alignment horizontal="center" vertical="center" wrapText="1"/>
    </xf>
    <xf numFmtId="0" fontId="85" fillId="56" borderId="32" xfId="0" applyFont="1" applyFill="1" applyBorder="1" applyAlignment="1">
      <alignment horizontal="center" vertical="center" wrapText="1"/>
    </xf>
    <xf numFmtId="0" fontId="85" fillId="56" borderId="34" xfId="0" applyFont="1" applyFill="1" applyBorder="1" applyAlignment="1">
      <alignment horizontal="center" vertical="center" wrapText="1"/>
    </xf>
    <xf numFmtId="0" fontId="0" fillId="56" borderId="30" xfId="0" applyFill="1" applyBorder="1" applyAlignment="1">
      <alignment horizontal="center" vertical="center" wrapText="1"/>
    </xf>
    <xf numFmtId="0" fontId="0" fillId="0" borderId="0" xfId="0" applyAlignment="1" applyProtection="1">
      <protection locked="0"/>
    </xf>
    <xf numFmtId="167" fontId="86" fillId="0" borderId="30" xfId="0" applyNumberFormat="1" applyFont="1" applyBorder="1" applyAlignment="1" applyProtection="1">
      <alignment horizontal="center" vertical="top" shrinkToFit="1"/>
      <protection locked="0"/>
    </xf>
    <xf numFmtId="167" fontId="86" fillId="0" borderId="32" xfId="0" applyNumberFormat="1" applyFont="1" applyBorder="1" applyAlignment="1" applyProtection="1">
      <alignment horizontal="left" vertical="top" shrinkToFit="1"/>
      <protection locked="0"/>
    </xf>
    <xf numFmtId="167" fontId="86" fillId="0" borderId="34" xfId="0" applyNumberFormat="1" applyFont="1" applyBorder="1" applyAlignment="1" applyProtection="1">
      <alignment horizontal="left" vertical="top" shrinkToFit="1"/>
      <protection locked="0"/>
    </xf>
    <xf numFmtId="0" fontId="87" fillId="0" borderId="30" xfId="0" applyFont="1" applyBorder="1" applyAlignment="1" applyProtection="1">
      <alignment horizontal="left" vertical="top"/>
      <protection locked="0"/>
    </xf>
    <xf numFmtId="0" fontId="87" fillId="0" borderId="30" xfId="0" applyFont="1" applyBorder="1" applyAlignment="1" applyProtection="1">
      <alignment horizontal="right" vertical="top"/>
      <protection locked="0"/>
    </xf>
    <xf numFmtId="0" fontId="0" fillId="0" borderId="30" xfId="0" applyBorder="1" applyAlignment="1" applyProtection="1">
      <alignment horizontal="left" vertical="center"/>
      <protection locked="0"/>
    </xf>
    <xf numFmtId="0" fontId="0" fillId="0" borderId="32" xfId="0" applyBorder="1" applyAlignment="1" applyProtection="1">
      <alignment horizontal="left" vertical="center"/>
      <protection locked="0"/>
    </xf>
    <xf numFmtId="0" fontId="0" fillId="0" borderId="34" xfId="0" applyBorder="1" applyAlignment="1" applyProtection="1">
      <alignment horizontal="left" vertical="center"/>
      <protection locked="0"/>
    </xf>
    <xf numFmtId="2" fontId="86" fillId="0" borderId="30" xfId="0" applyNumberFormat="1" applyFont="1" applyBorder="1" applyAlignment="1" applyProtection="1">
      <alignment horizontal="center" vertical="top" shrinkToFit="1"/>
      <protection locked="0"/>
    </xf>
    <xf numFmtId="2" fontId="86" fillId="0" borderId="32" xfId="0" applyNumberFormat="1" applyFont="1" applyBorder="1" applyAlignment="1" applyProtection="1">
      <alignment horizontal="right" vertical="top" shrinkToFit="1"/>
      <protection locked="0"/>
    </xf>
    <xf numFmtId="2" fontId="86" fillId="0" borderId="34" xfId="0" applyNumberFormat="1" applyFont="1" applyBorder="1" applyAlignment="1" applyProtection="1">
      <alignment horizontal="right" vertical="top" shrinkToFit="1"/>
      <protection locked="0"/>
    </xf>
    <xf numFmtId="0" fontId="0" fillId="0" borderId="30" xfId="0" applyBorder="1" applyAlignment="1" applyProtection="1">
      <alignment horizontal="left" vertical="top"/>
      <protection locked="0"/>
    </xf>
    <xf numFmtId="165" fontId="26" fillId="0" borderId="0" xfId="0" applyNumberFormat="1" applyFont="1" applyAlignment="1" applyProtection="1">
      <alignment horizontal="left" vertical="center"/>
      <protection hidden="1"/>
    </xf>
    <xf numFmtId="165" fontId="31" fillId="0" borderId="1" xfId="0" applyNumberFormat="1" applyFont="1" applyBorder="1" applyAlignment="1" applyProtection="1">
      <alignment horizontal="left" vertical="center" wrapText="1"/>
      <protection locked="0" hidden="1"/>
    </xf>
  </cellXfs>
  <cellStyles count="4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rmal 8" xfId="48" xr:uid="{F1107232-2FF0-4D89-8B3D-A99B4406BABF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7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checked="Checked" fmlaLink="M11" lockText="1" noThreeD="1"/>
</file>

<file path=xl/ctrlProps/ctrlProp4.xml><?xml version="1.0" encoding="utf-8"?>
<formControlPr xmlns="http://schemas.microsoft.com/office/spreadsheetml/2009/9/main" objectType="CheckBox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checked="Checked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checked="Checked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checked="Checked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checked="Checked" fmlaLink="M37" lockText="1" noThreeD="1"/>
</file>

<file path=xl/ctrlProps/ctrlProp30.xml><?xml version="1.0" encoding="utf-8"?>
<formControlPr xmlns="http://schemas.microsoft.com/office/spreadsheetml/2009/9/main" objectType="CheckBox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fmlaLink="M55" lockText="1" noThreeD="1"/>
</file>

<file path=xl/ctrlProps/ctrlProp48.xml><?xml version="1.0" encoding="utf-8"?>
<formControlPr xmlns="http://schemas.microsoft.com/office/spreadsheetml/2009/9/main" objectType="CheckBox" fmlaLink="M56" lockText="1" noThreeD="1"/>
</file>

<file path=xl/ctrlProps/ctrlProp49.xml><?xml version="1.0" encoding="utf-8"?>
<formControlPr xmlns="http://schemas.microsoft.com/office/spreadsheetml/2009/9/main" objectType="CheckBox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fmlaLink="M65" lockText="1" noThreeD="1"/>
</file>

<file path=xl/ctrlProps/ctrlProp58.xml><?xml version="1.0" encoding="utf-8"?>
<formControlPr xmlns="http://schemas.microsoft.com/office/spreadsheetml/2009/9/main" objectType="CheckBox" fmlaLink="M66" lockText="1" noThreeD="1"/>
</file>

<file path=xl/ctrlProps/ctrlProp59.xml><?xml version="1.0" encoding="utf-8"?>
<formControlPr xmlns="http://schemas.microsoft.com/office/spreadsheetml/2009/9/main" objectType="CheckBox" fmlaLink="M67" lockText="1" noThreeD="1"/>
</file>

<file path=xl/ctrlProps/ctrlProp60.xml><?xml version="1.0" encoding="utf-8"?>
<formControlPr xmlns="http://schemas.microsoft.com/office/spreadsheetml/2009/9/main" objectType="CheckBox" fmlaLink="M68" lockText="1" noThreeD="1"/>
</file>

<file path=xl/ctrlProps/ctrlProp61.xml><?xml version="1.0" encoding="utf-8"?>
<formControlPr xmlns="http://schemas.microsoft.com/office/spreadsheetml/2009/9/main" objectType="CheckBox" fmlaLink="M69" lockText="1" noThreeD="1"/>
</file>

<file path=xl/ctrlProps/ctrlProp62.xml><?xml version="1.0" encoding="utf-8"?>
<formControlPr xmlns="http://schemas.microsoft.com/office/spreadsheetml/2009/9/main" objectType="CheckBox" fmlaLink="M70" lockText="1" noThreeD="1"/>
</file>

<file path=xl/ctrlProps/ctrlProp63.xml><?xml version="1.0" encoding="utf-8"?>
<formControlPr xmlns="http://schemas.microsoft.com/office/spreadsheetml/2009/9/main" objectType="CheckBox" fmlaLink="M71" lockText="1" noThreeD="1"/>
</file>

<file path=xl/ctrlProps/ctrlProp64.xml><?xml version="1.0" encoding="utf-8"?>
<formControlPr xmlns="http://schemas.microsoft.com/office/spreadsheetml/2009/9/main" objectType="CheckBox" fmlaLink="M72" lockText="1" noThreeD="1"/>
</file>

<file path=xl/ctrlProps/ctrlProp65.xml><?xml version="1.0" encoding="utf-8"?>
<formControlPr xmlns="http://schemas.microsoft.com/office/spreadsheetml/2009/9/main" objectType="CheckBox" fmlaLink="M73" lockText="1" noThreeD="1"/>
</file>

<file path=xl/ctrlProps/ctrlProp66.xml><?xml version="1.0" encoding="utf-8"?>
<formControlPr xmlns="http://schemas.microsoft.com/office/spreadsheetml/2009/9/main" objectType="CheckBox" fmlaLink="M74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3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64DDDB7-9A1D-49B3-853C-CAEB51CF11D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4C92EF1-248B-49A7-A6FE-BB14CE5D18EF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91DE4EA-21ED-4E39-B9E0-34DAC582B779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C752A76-8753-4D7C-BF2D-D5B08CE5740B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4150F50-853D-4ED7-A476-D328F8B20C0F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308E978-DF76-4345-9E64-35A800AEAF8D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21A3EB4-A26C-42CD-840F-FCFFA9DB0215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68C27F4-3FF6-412C-8E00-E4C29F21E5FC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2B6634F-A77D-46CA-90E7-B6020D10AB2F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0B41BF5-C90E-4565-AD1D-4C1B1F0A43DC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8E86E3A-B3E8-42E0-8235-174E74D9B8FE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0B65C2E-9A1A-44C5-B7D4-195005617B61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4D43EFD-1933-48B6-B4F7-B892DF4FE72E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5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5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35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2F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2F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2F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2F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73E3D5-371E-4660-8FA2-FF5197EE9CFC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773B6E4-BE92-446B-BC28-C75617C82F85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80028B1-8652-4927-BEF9-942E910C7B1C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349E9AC-AF30-44F0-9711-AD1184702E71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1D32F9D4-E990-42D9-86AB-3A93C2E645E9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0618A9E-F26B-4816-9BE9-5A1A203EB84E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4F9039B-A3FB-4053-8B75-FF3F527CC02C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F76AF31-92EF-48AE-9674-13968D13EFB3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43588C9-EC29-49E9-B3F6-034F4244DB7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E36A2E1-EA01-4401-B737-62F17AB979E4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A6322C65-6821-4BEB-898D-EA795C9776F6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6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04FA545-C046-436F-9CF0-A5C3A449869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A87087D-D8CE-445B-BAB4-A9D6C2084B39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DB8B46C7-E98B-43CB-A87B-79AEB9B06B4C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6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0C424D1-F63D-4BDF-9B97-368B2E6826CD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E280995-AA3D-4AFC-81AE-8DED8B7C1D9A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87494" name="AU_CheckBox" hidden="1">
              <a:extLst>
                <a:ext uri="{63B3BB69-23CF-44E3-9099-C40C66FF867C}">
                  <a14:compatExt spid="_x0000_s87494"/>
                </a:ext>
                <a:ext uri="{FF2B5EF4-FFF2-40B4-BE49-F238E27FC236}">
                  <a16:creationId xmlns:a16="http://schemas.microsoft.com/office/drawing/2014/main" id="{9D838798-3153-5FF6-08ED-D0002859A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87495" name="AU (P)_CheckBox" hidden="1">
              <a:extLst>
                <a:ext uri="{63B3BB69-23CF-44E3-9099-C40C66FF867C}">
                  <a14:compatExt spid="_x0000_s87495"/>
                </a:ext>
                <a:ext uri="{FF2B5EF4-FFF2-40B4-BE49-F238E27FC236}">
                  <a16:creationId xmlns:a16="http://schemas.microsoft.com/office/drawing/2014/main" id="{F2608218-001E-C65D-7217-32BBF3E84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87496" name="Axis (P)_CheckBox" hidden="1">
              <a:extLst>
                <a:ext uri="{63B3BB69-23CF-44E3-9099-C40C66FF867C}">
                  <a14:compatExt spid="_x0000_s87496"/>
                </a:ext>
                <a:ext uri="{FF2B5EF4-FFF2-40B4-BE49-F238E27FC236}">
                  <a16:creationId xmlns:a16="http://schemas.microsoft.com/office/drawing/2014/main" id="{53ECE93A-38FB-0201-96C5-6D359C934E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87497" name="Axis(C)_CheckBox" hidden="1">
              <a:extLst>
                <a:ext uri="{63B3BB69-23CF-44E3-9099-C40C66FF867C}">
                  <a14:compatExt spid="_x0000_s87497"/>
                </a:ext>
                <a:ext uri="{FF2B5EF4-FFF2-40B4-BE49-F238E27FC236}">
                  <a16:creationId xmlns:a16="http://schemas.microsoft.com/office/drawing/2014/main" id="{1F8169E2-1940-1ABF-DC4F-A0FA2481F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87498" name="Axis(C) (P)_CheckBox" hidden="1">
              <a:extLst>
                <a:ext uri="{63B3BB69-23CF-44E3-9099-C40C66FF867C}">
                  <a14:compatExt spid="_x0000_s87498"/>
                </a:ext>
                <a:ext uri="{FF2B5EF4-FFF2-40B4-BE49-F238E27FC236}">
                  <a16:creationId xmlns:a16="http://schemas.microsoft.com/office/drawing/2014/main" id="{500BE904-B416-8A2B-5A08-AD55B148EF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87499" name="Axis(S)_CheckBox" hidden="1">
              <a:extLst>
                <a:ext uri="{63B3BB69-23CF-44E3-9099-C40C66FF867C}">
                  <a14:compatExt spid="_x0000_s87499"/>
                </a:ext>
                <a:ext uri="{FF2B5EF4-FFF2-40B4-BE49-F238E27FC236}">
                  <a16:creationId xmlns:a16="http://schemas.microsoft.com/office/drawing/2014/main" id="{3ECD428A-60BD-0AAB-7D13-953819B807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87500" name="Axis(S) (2)_CheckBox" hidden="1">
              <a:extLst>
                <a:ext uri="{63B3BB69-23CF-44E3-9099-C40C66FF867C}">
                  <a14:compatExt spid="_x0000_s87500"/>
                </a:ext>
                <a:ext uri="{FF2B5EF4-FFF2-40B4-BE49-F238E27FC236}">
                  <a16:creationId xmlns:a16="http://schemas.microsoft.com/office/drawing/2014/main" id="{43381126-1976-0A2B-8DF7-EA08CAD55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87501" name="Axis(S) (P)_CheckBox" hidden="1">
              <a:extLst>
                <a:ext uri="{63B3BB69-23CF-44E3-9099-C40C66FF867C}">
                  <a14:compatExt spid="_x0000_s87501"/>
                </a:ext>
                <a:ext uri="{FF2B5EF4-FFF2-40B4-BE49-F238E27FC236}">
                  <a16:creationId xmlns:a16="http://schemas.microsoft.com/office/drawing/2014/main" id="{34988875-59A8-6177-7409-CEC045E332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87502" name="Bandhan_CheckBox" hidden="1">
              <a:extLst>
                <a:ext uri="{63B3BB69-23CF-44E3-9099-C40C66FF867C}">
                  <a14:compatExt spid="_x0000_s87502"/>
                </a:ext>
                <a:ext uri="{FF2B5EF4-FFF2-40B4-BE49-F238E27FC236}">
                  <a16:creationId xmlns:a16="http://schemas.microsoft.com/office/drawing/2014/main" id="{36DD2469-140E-44BF-DF78-0D0C7619F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87503" name="BOB(C)_CheckBox" hidden="1">
              <a:extLst>
                <a:ext uri="{63B3BB69-23CF-44E3-9099-C40C66FF867C}">
                  <a14:compatExt spid="_x0000_s87503"/>
                </a:ext>
                <a:ext uri="{FF2B5EF4-FFF2-40B4-BE49-F238E27FC236}">
                  <a16:creationId xmlns:a16="http://schemas.microsoft.com/office/drawing/2014/main" id="{FA859964-DF6D-0627-1AF1-48F0516747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87504" name="BOB(P)_CheckBox" hidden="1">
              <a:extLst>
                <a:ext uri="{63B3BB69-23CF-44E3-9099-C40C66FF867C}">
                  <a14:compatExt spid="_x0000_s87504"/>
                </a:ext>
                <a:ext uri="{FF2B5EF4-FFF2-40B4-BE49-F238E27FC236}">
                  <a16:creationId xmlns:a16="http://schemas.microsoft.com/office/drawing/2014/main" id="{044FE1D4-C742-1C06-0676-ECDDBCB11A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87505" name="BOB(P) (2)_CheckBox" hidden="1">
              <a:extLst>
                <a:ext uri="{63B3BB69-23CF-44E3-9099-C40C66FF867C}">
                  <a14:compatExt spid="_x0000_s87505"/>
                </a:ext>
                <a:ext uri="{FF2B5EF4-FFF2-40B4-BE49-F238E27FC236}">
                  <a16:creationId xmlns:a16="http://schemas.microsoft.com/office/drawing/2014/main" id="{885B44C1-7B4F-5E68-2D7F-1B6501E48D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87506" name="BOB(S)_CheckBox" hidden="1">
              <a:extLst>
                <a:ext uri="{63B3BB69-23CF-44E3-9099-C40C66FF867C}">
                  <a14:compatExt spid="_x0000_s87506"/>
                </a:ext>
                <a:ext uri="{FF2B5EF4-FFF2-40B4-BE49-F238E27FC236}">
                  <a16:creationId xmlns:a16="http://schemas.microsoft.com/office/drawing/2014/main" id="{4E569F9A-5B74-4225-2CD3-C193D9E4A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87507" name="BOI_CheckBox" hidden="1">
              <a:extLst>
                <a:ext uri="{63B3BB69-23CF-44E3-9099-C40C66FF867C}">
                  <a14:compatExt spid="_x0000_s87507"/>
                </a:ext>
                <a:ext uri="{FF2B5EF4-FFF2-40B4-BE49-F238E27FC236}">
                  <a16:creationId xmlns:a16="http://schemas.microsoft.com/office/drawing/2014/main" id="{12656123-0ED0-EEFD-1B81-BCD03AD56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87508" name="BOI (P)_CheckBox" hidden="1">
              <a:extLst>
                <a:ext uri="{63B3BB69-23CF-44E3-9099-C40C66FF867C}">
                  <a14:compatExt spid="_x0000_s87508"/>
                </a:ext>
                <a:ext uri="{FF2B5EF4-FFF2-40B4-BE49-F238E27FC236}">
                  <a16:creationId xmlns:a16="http://schemas.microsoft.com/office/drawing/2014/main" id="{F232868C-3912-774E-8E3E-BB258FFFA3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87509" name="Canara_CheckBox" hidden="1">
              <a:extLst>
                <a:ext uri="{63B3BB69-23CF-44E3-9099-C40C66FF867C}">
                  <a14:compatExt spid="_x0000_s87509"/>
                </a:ext>
                <a:ext uri="{FF2B5EF4-FFF2-40B4-BE49-F238E27FC236}">
                  <a16:creationId xmlns:a16="http://schemas.microsoft.com/office/drawing/2014/main" id="{F73DE791-C712-6811-AA0E-18CF5DB8F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Canara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87510" name="CBI_CheckBox" hidden="1">
              <a:extLst>
                <a:ext uri="{63B3BB69-23CF-44E3-9099-C40C66FF867C}">
                  <a14:compatExt spid="_x0000_s87510"/>
                </a:ext>
                <a:ext uri="{FF2B5EF4-FFF2-40B4-BE49-F238E27FC236}">
                  <a16:creationId xmlns:a16="http://schemas.microsoft.com/office/drawing/2014/main" id="{A4328E7C-450F-B3DA-F90E-8EB625603A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87511" name="CBI (P)_CheckBox" hidden="1">
              <a:extLst>
                <a:ext uri="{63B3BB69-23CF-44E3-9099-C40C66FF867C}">
                  <a14:compatExt spid="_x0000_s87511"/>
                </a:ext>
                <a:ext uri="{FF2B5EF4-FFF2-40B4-BE49-F238E27FC236}">
                  <a16:creationId xmlns:a16="http://schemas.microsoft.com/office/drawing/2014/main" id="{B62A6CFB-3FA0-6837-938F-B2DE3563B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87512" name="CityUni (P)_CheckBox" hidden="1">
              <a:extLst>
                <a:ext uri="{63B3BB69-23CF-44E3-9099-C40C66FF867C}">
                  <a14:compatExt spid="_x0000_s87512"/>
                </a:ext>
                <a:ext uri="{FF2B5EF4-FFF2-40B4-BE49-F238E27FC236}">
                  <a16:creationId xmlns:a16="http://schemas.microsoft.com/office/drawing/2014/main" id="{40CD3AFD-B595-2C6F-90F6-3EB45B738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87513" name="DCB_CheckBox" hidden="1">
              <a:extLst>
                <a:ext uri="{63B3BB69-23CF-44E3-9099-C40C66FF867C}">
                  <a14:compatExt spid="_x0000_s87513"/>
                </a:ext>
                <a:ext uri="{FF2B5EF4-FFF2-40B4-BE49-F238E27FC236}">
                  <a16:creationId xmlns:a16="http://schemas.microsoft.com/office/drawing/2014/main" id="{3A87DDDC-EF96-A2EB-416A-B3AF3673EE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87514" name="Equitas_CheckBox" hidden="1">
              <a:extLst>
                <a:ext uri="{63B3BB69-23CF-44E3-9099-C40C66FF867C}">
                  <a14:compatExt spid="_x0000_s87514"/>
                </a:ext>
                <a:ext uri="{FF2B5EF4-FFF2-40B4-BE49-F238E27FC236}">
                  <a16:creationId xmlns:a16="http://schemas.microsoft.com/office/drawing/2014/main" id="{FC3BE258-026A-97DE-A654-879D5D74B1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87515" name="Federal_CheckBox" hidden="1">
              <a:extLst>
                <a:ext uri="{63B3BB69-23CF-44E3-9099-C40C66FF867C}">
                  <a14:compatExt spid="_x0000_s87515"/>
                </a:ext>
                <a:ext uri="{FF2B5EF4-FFF2-40B4-BE49-F238E27FC236}">
                  <a16:creationId xmlns:a16="http://schemas.microsoft.com/office/drawing/2014/main" id="{8143C7E7-915F-8974-E222-12F0113172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87516" name="Federal (P)_CheckBox" hidden="1">
              <a:extLst>
                <a:ext uri="{63B3BB69-23CF-44E3-9099-C40C66FF867C}">
                  <a14:compatExt spid="_x0000_s87516"/>
                </a:ext>
                <a:ext uri="{FF2B5EF4-FFF2-40B4-BE49-F238E27FC236}">
                  <a16:creationId xmlns:a16="http://schemas.microsoft.com/office/drawing/2014/main" id="{EA22A9DE-F413-30B4-50AC-D5F734C53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87517" name="HDFC_CheckBox" hidden="1">
              <a:extLst>
                <a:ext uri="{63B3BB69-23CF-44E3-9099-C40C66FF867C}">
                  <a14:compatExt spid="_x0000_s87517"/>
                </a:ext>
                <a:ext uri="{FF2B5EF4-FFF2-40B4-BE49-F238E27FC236}">
                  <a16:creationId xmlns:a16="http://schemas.microsoft.com/office/drawing/2014/main" id="{9838CD54-9718-6EC2-E46F-5F25A38C9C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87518" name="HDFC (P)_CheckBox" hidden="1">
              <a:extLst>
                <a:ext uri="{63B3BB69-23CF-44E3-9099-C40C66FF867C}">
                  <a14:compatExt spid="_x0000_s87518"/>
                </a:ext>
                <a:ext uri="{FF2B5EF4-FFF2-40B4-BE49-F238E27FC236}">
                  <a16:creationId xmlns:a16="http://schemas.microsoft.com/office/drawing/2014/main" id="{9E2BF8DF-4673-323F-A24E-7B7E9A258E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87519" name="ICICI 3 (P)_CheckBox" hidden="1">
              <a:extLst>
                <a:ext uri="{63B3BB69-23CF-44E3-9099-C40C66FF867C}">
                  <a14:compatExt spid="_x0000_s87519"/>
                </a:ext>
                <a:ext uri="{FF2B5EF4-FFF2-40B4-BE49-F238E27FC236}">
                  <a16:creationId xmlns:a16="http://schemas.microsoft.com/office/drawing/2014/main" id="{BC22200A-BDD6-0CA5-D2AF-2B06706A0E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 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87520" name="ICICI(C)_CheckBox" hidden="1">
              <a:extLst>
                <a:ext uri="{63B3BB69-23CF-44E3-9099-C40C66FF867C}">
                  <a14:compatExt spid="_x0000_s87520"/>
                </a:ext>
                <a:ext uri="{FF2B5EF4-FFF2-40B4-BE49-F238E27FC236}">
                  <a16:creationId xmlns:a16="http://schemas.microsoft.com/office/drawing/2014/main" id="{624747F9-67D7-8C3D-0AB5-C2FE74421E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87521" name="ICICI(C) (P)_CheckBox" hidden="1">
              <a:extLst>
                <a:ext uri="{63B3BB69-23CF-44E3-9099-C40C66FF867C}">
                  <a14:compatExt spid="_x0000_s87521"/>
                </a:ext>
                <a:ext uri="{FF2B5EF4-FFF2-40B4-BE49-F238E27FC236}">
                  <a16:creationId xmlns:a16="http://schemas.microsoft.com/office/drawing/2014/main" id="{D4813615-B6E8-7F00-9765-E329FD022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87522" name="ICICI(C)2 (P)_CheckBox" hidden="1">
              <a:extLst>
                <a:ext uri="{63B3BB69-23CF-44E3-9099-C40C66FF867C}">
                  <a14:compatExt spid="_x0000_s87522"/>
                </a:ext>
                <a:ext uri="{FF2B5EF4-FFF2-40B4-BE49-F238E27FC236}">
                  <a16:creationId xmlns:a16="http://schemas.microsoft.com/office/drawing/2014/main" id="{4831813D-A4AF-6C6C-96E6-E207880CD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87523" name="ICICI(S)_CheckBox" hidden="1">
              <a:extLst>
                <a:ext uri="{63B3BB69-23CF-44E3-9099-C40C66FF867C}">
                  <a14:compatExt spid="_x0000_s87523"/>
                </a:ext>
                <a:ext uri="{FF2B5EF4-FFF2-40B4-BE49-F238E27FC236}">
                  <a16:creationId xmlns:a16="http://schemas.microsoft.com/office/drawing/2014/main" id="{D2DD9ADB-9AAD-F276-1074-EEA93E50B6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87524" name="ICICI(S) (P)_CheckBox" hidden="1">
              <a:extLst>
                <a:ext uri="{63B3BB69-23CF-44E3-9099-C40C66FF867C}">
                  <a14:compatExt spid="_x0000_s87524"/>
                </a:ext>
                <a:ext uri="{FF2B5EF4-FFF2-40B4-BE49-F238E27FC236}">
                  <a16:creationId xmlns:a16="http://schemas.microsoft.com/office/drawing/2014/main" id="{AD082E04-5089-B4BA-2DBA-F2B8B235A6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87525" name="IDBI_CheckBox" hidden="1">
              <a:extLst>
                <a:ext uri="{63B3BB69-23CF-44E3-9099-C40C66FF867C}">
                  <a14:compatExt spid="_x0000_s87525"/>
                </a:ext>
                <a:ext uri="{FF2B5EF4-FFF2-40B4-BE49-F238E27FC236}">
                  <a16:creationId xmlns:a16="http://schemas.microsoft.com/office/drawing/2014/main" id="{A14F848E-2B6F-A40F-5F8A-E2AF95F7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87526" name="IDBI (P)_CheckBox" hidden="1">
              <a:extLst>
                <a:ext uri="{63B3BB69-23CF-44E3-9099-C40C66FF867C}">
                  <a14:compatExt spid="_x0000_s87526"/>
                </a:ext>
                <a:ext uri="{FF2B5EF4-FFF2-40B4-BE49-F238E27FC236}">
                  <a16:creationId xmlns:a16="http://schemas.microsoft.com/office/drawing/2014/main" id="{C90B5954-646A-3922-F2BB-1E013C766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87527" name="IDBI(S) (P)_CheckBox" hidden="1">
              <a:extLst>
                <a:ext uri="{63B3BB69-23CF-44E3-9099-C40C66FF867C}">
                  <a14:compatExt spid="_x0000_s87527"/>
                </a:ext>
                <a:ext uri="{FF2B5EF4-FFF2-40B4-BE49-F238E27FC236}">
                  <a16:creationId xmlns:a16="http://schemas.microsoft.com/office/drawing/2014/main" id="{BFDA161A-2060-879C-22E2-37CDE418D4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87528" name="IDFC_CheckBox" hidden="1">
              <a:extLst>
                <a:ext uri="{63B3BB69-23CF-44E3-9099-C40C66FF867C}">
                  <a14:compatExt spid="_x0000_s87528"/>
                </a:ext>
                <a:ext uri="{FF2B5EF4-FFF2-40B4-BE49-F238E27FC236}">
                  <a16:creationId xmlns:a16="http://schemas.microsoft.com/office/drawing/2014/main" id="{0C3699A1-E799-3CE9-DAD9-07E0E712EA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87529" name="IDFC (P)_CheckBox" hidden="1">
              <a:extLst>
                <a:ext uri="{63B3BB69-23CF-44E3-9099-C40C66FF867C}">
                  <a14:compatExt spid="_x0000_s87529"/>
                </a:ext>
                <a:ext uri="{FF2B5EF4-FFF2-40B4-BE49-F238E27FC236}">
                  <a16:creationId xmlns:a16="http://schemas.microsoft.com/office/drawing/2014/main" id="{6D1D1B5C-279E-1B56-2BFE-32B79E0D0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87530" name="Indian_CheckBox" hidden="1">
              <a:extLst>
                <a:ext uri="{63B3BB69-23CF-44E3-9099-C40C66FF867C}">
                  <a14:compatExt spid="_x0000_s87530"/>
                </a:ext>
                <a:ext uri="{FF2B5EF4-FFF2-40B4-BE49-F238E27FC236}">
                  <a16:creationId xmlns:a16="http://schemas.microsoft.com/office/drawing/2014/main" id="{E7EE15C4-FBFC-4F72-4EEA-E0B6CFD2AF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87531" name="indusind_CheckBox" hidden="1">
              <a:extLst>
                <a:ext uri="{63B3BB69-23CF-44E3-9099-C40C66FF867C}">
                  <a14:compatExt spid="_x0000_s87531"/>
                </a:ext>
                <a:ext uri="{FF2B5EF4-FFF2-40B4-BE49-F238E27FC236}">
                  <a16:creationId xmlns:a16="http://schemas.microsoft.com/office/drawing/2014/main" id="{34CB76CA-DA2F-5508-D621-EE5FBB361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87532" name="indusind (P)_CheckBox" hidden="1">
              <a:extLst>
                <a:ext uri="{63B3BB69-23CF-44E3-9099-C40C66FF867C}">
                  <a14:compatExt spid="_x0000_s87532"/>
                </a:ext>
                <a:ext uri="{FF2B5EF4-FFF2-40B4-BE49-F238E27FC236}">
                  <a16:creationId xmlns:a16="http://schemas.microsoft.com/office/drawing/2014/main" id="{8177DDC4-A5E5-13DF-45E5-C554F15DC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87533" name="Kalupur (P)_CheckBox" hidden="1">
              <a:extLst>
                <a:ext uri="{63B3BB69-23CF-44E3-9099-C40C66FF867C}">
                  <a14:compatExt spid="_x0000_s87533"/>
                </a:ext>
                <a:ext uri="{FF2B5EF4-FFF2-40B4-BE49-F238E27FC236}">
                  <a16:creationId xmlns:a16="http://schemas.microsoft.com/office/drawing/2014/main" id="{BDD1CAF2-E193-8883-2FA9-C9E641047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87534" name="Kotak (P)_CheckBox" hidden="1">
              <a:extLst>
                <a:ext uri="{63B3BB69-23CF-44E3-9099-C40C66FF867C}">
                  <a14:compatExt spid="_x0000_s87534"/>
                </a:ext>
                <a:ext uri="{FF2B5EF4-FFF2-40B4-BE49-F238E27FC236}">
                  <a16:creationId xmlns:a16="http://schemas.microsoft.com/office/drawing/2014/main" id="{1101E45F-BFCE-7F66-A57D-3854472D1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87535" name="Kotak(C)_CheckBox" hidden="1">
              <a:extLst>
                <a:ext uri="{63B3BB69-23CF-44E3-9099-C40C66FF867C}">
                  <a14:compatExt spid="_x0000_s87535"/>
                </a:ext>
                <a:ext uri="{FF2B5EF4-FFF2-40B4-BE49-F238E27FC236}">
                  <a16:creationId xmlns:a16="http://schemas.microsoft.com/office/drawing/2014/main" id="{9926696F-4576-2E5B-3EC9-407C0AE135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87536" name="Kotak(S)_CheckBox" hidden="1">
              <a:extLst>
                <a:ext uri="{63B3BB69-23CF-44E3-9099-C40C66FF867C}">
                  <a14:compatExt spid="_x0000_s87536"/>
                </a:ext>
                <a:ext uri="{FF2B5EF4-FFF2-40B4-BE49-F238E27FC236}">
                  <a16:creationId xmlns:a16="http://schemas.microsoft.com/office/drawing/2014/main" id="{12B31580-4322-2BC6-3960-1300D72BB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87537" name="Kotak2 (P)_CheckBox" hidden="1">
              <a:extLst>
                <a:ext uri="{63B3BB69-23CF-44E3-9099-C40C66FF867C}">
                  <a14:compatExt spid="_x0000_s87537"/>
                </a:ext>
                <a:ext uri="{FF2B5EF4-FFF2-40B4-BE49-F238E27FC236}">
                  <a16:creationId xmlns:a16="http://schemas.microsoft.com/office/drawing/2014/main" id="{B5309537-E138-ED6F-5D34-9CFDFE10C3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87538" name="Kotak3 (P)_CheckBox" hidden="1">
              <a:extLst>
                <a:ext uri="{63B3BB69-23CF-44E3-9099-C40C66FF867C}">
                  <a14:compatExt spid="_x0000_s87538"/>
                </a:ext>
                <a:ext uri="{FF2B5EF4-FFF2-40B4-BE49-F238E27FC236}">
                  <a16:creationId xmlns:a16="http://schemas.microsoft.com/office/drawing/2014/main" id="{BC139043-169E-62F5-0D9B-DFD157EA1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87539" name="NEWINDIA(P)_CheckBox" hidden="1">
              <a:extLst>
                <a:ext uri="{63B3BB69-23CF-44E3-9099-C40C66FF867C}">
                  <a14:compatExt spid="_x0000_s87539"/>
                </a:ext>
                <a:ext uri="{FF2B5EF4-FFF2-40B4-BE49-F238E27FC236}">
                  <a16:creationId xmlns:a16="http://schemas.microsoft.com/office/drawing/2014/main" id="{64FB9352-6671-F8DC-0B82-C6CBBC475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NEWINDIA(P)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87540" name="PNB_CheckBox" hidden="1">
              <a:extLst>
                <a:ext uri="{63B3BB69-23CF-44E3-9099-C40C66FF867C}">
                  <a14:compatExt spid="_x0000_s87540"/>
                </a:ext>
                <a:ext uri="{FF2B5EF4-FFF2-40B4-BE49-F238E27FC236}">
                  <a16:creationId xmlns:a16="http://schemas.microsoft.com/office/drawing/2014/main" id="{F4EC7758-C924-C95C-96F7-D2C4A16A7D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87541" name="PNB (2)_CheckBox" hidden="1">
              <a:extLst>
                <a:ext uri="{63B3BB69-23CF-44E3-9099-C40C66FF867C}">
                  <a14:compatExt spid="_x0000_s87541"/>
                </a:ext>
                <a:ext uri="{FF2B5EF4-FFF2-40B4-BE49-F238E27FC236}">
                  <a16:creationId xmlns:a16="http://schemas.microsoft.com/office/drawing/2014/main" id="{341B1949-BFF0-B333-BC88-0DF76AE85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87542" name="Prime_CheckBox" hidden="1">
              <a:extLst>
                <a:ext uri="{63B3BB69-23CF-44E3-9099-C40C66FF867C}">
                  <a14:compatExt spid="_x0000_s87542"/>
                </a:ext>
                <a:ext uri="{FF2B5EF4-FFF2-40B4-BE49-F238E27FC236}">
                  <a16:creationId xmlns:a16="http://schemas.microsoft.com/office/drawing/2014/main" id="{B88418ED-4C4A-F455-B0A8-6CD99F592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87543" name="RBL_CheckBox" hidden="1">
              <a:extLst>
                <a:ext uri="{63B3BB69-23CF-44E3-9099-C40C66FF867C}">
                  <a14:compatExt spid="_x0000_s87543"/>
                </a:ext>
                <a:ext uri="{FF2B5EF4-FFF2-40B4-BE49-F238E27FC236}">
                  <a16:creationId xmlns:a16="http://schemas.microsoft.com/office/drawing/2014/main" id="{AA8C176C-8973-0217-1973-FA767BC79B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87544" name="RNSBE_CheckBox" hidden="1">
              <a:extLst>
                <a:ext uri="{63B3BB69-23CF-44E3-9099-C40C66FF867C}">
                  <a14:compatExt spid="_x0000_s87544"/>
                </a:ext>
                <a:ext uri="{FF2B5EF4-FFF2-40B4-BE49-F238E27FC236}">
                  <a16:creationId xmlns:a16="http://schemas.microsoft.com/office/drawing/2014/main" id="{53917652-5FD0-F19B-B527-5DF2EB06E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87545" name="Saraswat_CheckBox" hidden="1">
              <a:extLst>
                <a:ext uri="{63B3BB69-23CF-44E3-9099-C40C66FF867C}">
                  <a14:compatExt spid="_x0000_s87545"/>
                </a:ext>
                <a:ext uri="{FF2B5EF4-FFF2-40B4-BE49-F238E27FC236}">
                  <a16:creationId xmlns:a16="http://schemas.microsoft.com/office/drawing/2014/main" id="{DFFA0299-1168-8068-C01E-A4FE07D8E6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87546" name="SBI_CheckBox" hidden="1">
              <a:extLst>
                <a:ext uri="{63B3BB69-23CF-44E3-9099-C40C66FF867C}">
                  <a14:compatExt spid="_x0000_s87546"/>
                </a:ext>
                <a:ext uri="{FF2B5EF4-FFF2-40B4-BE49-F238E27FC236}">
                  <a16:creationId xmlns:a16="http://schemas.microsoft.com/office/drawing/2014/main" id="{3F5C3763-7B40-1553-9E0C-DC926B5F0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87547" name="SBI (P)_CheckBox" hidden="1">
              <a:extLst>
                <a:ext uri="{63B3BB69-23CF-44E3-9099-C40C66FF867C}">
                  <a14:compatExt spid="_x0000_s87547"/>
                </a:ext>
                <a:ext uri="{FF2B5EF4-FFF2-40B4-BE49-F238E27FC236}">
                  <a16:creationId xmlns:a16="http://schemas.microsoft.com/office/drawing/2014/main" id="{DF4C124D-7A2E-DD5C-360B-20CFD34061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87548" name="SCOPB (P)_CheckBox" hidden="1">
              <a:extLst>
                <a:ext uri="{63B3BB69-23CF-44E3-9099-C40C66FF867C}">
                  <a14:compatExt spid="_x0000_s87548"/>
                </a:ext>
                <a:ext uri="{FF2B5EF4-FFF2-40B4-BE49-F238E27FC236}">
                  <a16:creationId xmlns:a16="http://schemas.microsoft.com/office/drawing/2014/main" id="{EF2ED26F-626C-717B-694B-8C9D21D2B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SCOPB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87549" name="SDCB_CheckBox" hidden="1">
              <a:extLst>
                <a:ext uri="{63B3BB69-23CF-44E3-9099-C40C66FF867C}">
                  <a14:compatExt spid="_x0000_s87549"/>
                </a:ext>
                <a:ext uri="{FF2B5EF4-FFF2-40B4-BE49-F238E27FC236}">
                  <a16:creationId xmlns:a16="http://schemas.microsoft.com/office/drawing/2014/main" id="{A9B286FA-A795-5522-D610-AD16DFD81D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87550" name="SDCB (P)_CheckBox" hidden="1">
              <a:extLst>
                <a:ext uri="{63B3BB69-23CF-44E3-9099-C40C66FF867C}">
                  <a14:compatExt spid="_x0000_s87550"/>
                </a:ext>
                <a:ext uri="{FF2B5EF4-FFF2-40B4-BE49-F238E27FC236}">
                  <a16:creationId xmlns:a16="http://schemas.microsoft.com/office/drawing/2014/main" id="{F25F34D2-73E3-41BD-47F8-3B8B0CF4CD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6</xdr:col>
          <xdr:colOff>0</xdr:colOff>
          <xdr:row>66</xdr:row>
          <xdr:rowOff>19050</xdr:rowOff>
        </xdr:to>
        <xdr:sp macro="" textlink="">
          <xdr:nvSpPr>
            <xdr:cNvPr id="87551" name="SIB_CheckBox" hidden="1">
              <a:extLst>
                <a:ext uri="{63B3BB69-23CF-44E3-9099-C40C66FF867C}">
                  <a14:compatExt spid="_x0000_s87551"/>
                </a:ext>
                <a:ext uri="{FF2B5EF4-FFF2-40B4-BE49-F238E27FC236}">
                  <a16:creationId xmlns:a16="http://schemas.microsoft.com/office/drawing/2014/main" id="{357DCA84-24AA-FAB0-E144-9AA78DA93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19050</xdr:rowOff>
        </xdr:to>
        <xdr:sp macro="" textlink="">
          <xdr:nvSpPr>
            <xdr:cNvPr id="87552" name="SNCB_CheckBox" hidden="1">
              <a:extLst>
                <a:ext uri="{63B3BB69-23CF-44E3-9099-C40C66FF867C}">
                  <a14:compatExt spid="_x0000_s87552"/>
                </a:ext>
                <a:ext uri="{FF2B5EF4-FFF2-40B4-BE49-F238E27FC236}">
                  <a16:creationId xmlns:a16="http://schemas.microsoft.com/office/drawing/2014/main" id="{E69444C4-2FE0-FA57-8FEE-F63AFFA51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6</xdr:col>
          <xdr:colOff>0</xdr:colOff>
          <xdr:row>68</xdr:row>
          <xdr:rowOff>19050</xdr:rowOff>
        </xdr:to>
        <xdr:sp macro="" textlink="">
          <xdr:nvSpPr>
            <xdr:cNvPr id="87553" name="UCO_CheckBox" hidden="1">
              <a:extLst>
                <a:ext uri="{63B3BB69-23CF-44E3-9099-C40C66FF867C}">
                  <a14:compatExt spid="_x0000_s87553"/>
                </a:ext>
                <a:ext uri="{FF2B5EF4-FFF2-40B4-BE49-F238E27FC236}">
                  <a16:creationId xmlns:a16="http://schemas.microsoft.com/office/drawing/2014/main" id="{80AC1150-4C7D-97D9-D17D-FF0954EAC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6</xdr:col>
          <xdr:colOff>0</xdr:colOff>
          <xdr:row>69</xdr:row>
          <xdr:rowOff>19050</xdr:rowOff>
        </xdr:to>
        <xdr:sp macro="" textlink="">
          <xdr:nvSpPr>
            <xdr:cNvPr id="87554" name="Union_CheckBox" hidden="1">
              <a:extLst>
                <a:ext uri="{63B3BB69-23CF-44E3-9099-C40C66FF867C}">
                  <a14:compatExt spid="_x0000_s87554"/>
                </a:ext>
                <a:ext uri="{FF2B5EF4-FFF2-40B4-BE49-F238E27FC236}">
                  <a16:creationId xmlns:a16="http://schemas.microsoft.com/office/drawing/2014/main" id="{B70D75AD-3712-8B2B-7677-674941984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6</xdr:col>
          <xdr:colOff>0</xdr:colOff>
          <xdr:row>70</xdr:row>
          <xdr:rowOff>19050</xdr:rowOff>
        </xdr:to>
        <xdr:sp macro="" textlink="">
          <xdr:nvSpPr>
            <xdr:cNvPr id="87555" name="Union (P)_CheckBox" hidden="1">
              <a:extLst>
                <a:ext uri="{63B3BB69-23CF-44E3-9099-C40C66FF867C}">
                  <a14:compatExt spid="_x0000_s87555"/>
                </a:ext>
                <a:ext uri="{FF2B5EF4-FFF2-40B4-BE49-F238E27FC236}">
                  <a16:creationId xmlns:a16="http://schemas.microsoft.com/office/drawing/2014/main" id="{040A8742-5BD5-30E9-EF0D-C51841185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6</xdr:col>
          <xdr:colOff>0</xdr:colOff>
          <xdr:row>71</xdr:row>
          <xdr:rowOff>19050</xdr:rowOff>
        </xdr:to>
        <xdr:sp macro="" textlink="">
          <xdr:nvSpPr>
            <xdr:cNvPr id="87556" name="Union2 (P)_CheckBox" hidden="1">
              <a:extLst>
                <a:ext uri="{63B3BB69-23CF-44E3-9099-C40C66FF867C}">
                  <a14:compatExt spid="_x0000_s87556"/>
                </a:ext>
                <a:ext uri="{FF2B5EF4-FFF2-40B4-BE49-F238E27FC236}">
                  <a16:creationId xmlns:a16="http://schemas.microsoft.com/office/drawing/2014/main" id="{B937A92C-3D74-A2F4-7706-20DC38E20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6</xdr:col>
          <xdr:colOff>0</xdr:colOff>
          <xdr:row>72</xdr:row>
          <xdr:rowOff>19050</xdr:rowOff>
        </xdr:to>
        <xdr:sp macro="" textlink="">
          <xdr:nvSpPr>
            <xdr:cNvPr id="87557" name="Varachha_CheckBox" hidden="1">
              <a:extLst>
                <a:ext uri="{63B3BB69-23CF-44E3-9099-C40C66FF867C}">
                  <a14:compatExt spid="_x0000_s87557"/>
                </a:ext>
                <a:ext uri="{FF2B5EF4-FFF2-40B4-BE49-F238E27FC236}">
                  <a16:creationId xmlns:a16="http://schemas.microsoft.com/office/drawing/2014/main" id="{6F796D1E-32A1-DFE8-D51F-DD288789D2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6</xdr:col>
          <xdr:colOff>0</xdr:colOff>
          <xdr:row>73</xdr:row>
          <xdr:rowOff>19050</xdr:rowOff>
        </xdr:to>
        <xdr:sp macro="" textlink="">
          <xdr:nvSpPr>
            <xdr:cNvPr id="87558" name="Varachha (P)_CheckBox" hidden="1">
              <a:extLst>
                <a:ext uri="{63B3BB69-23CF-44E3-9099-C40C66FF867C}">
                  <a14:compatExt spid="_x0000_s87558"/>
                </a:ext>
                <a:ext uri="{FF2B5EF4-FFF2-40B4-BE49-F238E27FC236}">
                  <a16:creationId xmlns:a16="http://schemas.microsoft.com/office/drawing/2014/main" id="{C8FE7403-8CD4-5FFF-1383-E673905EFD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6</xdr:col>
          <xdr:colOff>0</xdr:colOff>
          <xdr:row>74</xdr:row>
          <xdr:rowOff>19050</xdr:rowOff>
        </xdr:to>
        <xdr:sp macro="" textlink="">
          <xdr:nvSpPr>
            <xdr:cNvPr id="87559" name="Yes_CheckBox" hidden="1">
              <a:extLst>
                <a:ext uri="{63B3BB69-23CF-44E3-9099-C40C66FF867C}">
                  <a14:compatExt spid="_x0000_s87559"/>
                </a:ext>
                <a:ext uri="{FF2B5EF4-FFF2-40B4-BE49-F238E27FC236}">
                  <a16:creationId xmlns:a16="http://schemas.microsoft.com/office/drawing/2014/main" id="{9699E000-9D39-0E12-A25B-EFB80C86C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ffectLst/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A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A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3B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67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1" Type="http://schemas.openxmlformats.org/officeDocument/2006/relationships/printerSettings" Target="../printerSettings/printerSettings67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4" t="s">
        <v>32</v>
      </c>
      <c r="B4" s="82"/>
      <c r="C4" s="82" t="s">
        <v>157</v>
      </c>
      <c r="D4" s="82"/>
      <c r="E4" s="82"/>
      <c r="F4" s="82"/>
      <c r="G4" s="82"/>
      <c r="H4" s="82"/>
      <c r="I4" s="82"/>
      <c r="J4" s="82" t="s">
        <v>158</v>
      </c>
      <c r="K4" s="82"/>
      <c r="L4" s="82"/>
      <c r="M4" s="82" t="s">
        <v>159</v>
      </c>
      <c r="N4" s="82"/>
      <c r="O4" s="82" t="s">
        <v>160</v>
      </c>
      <c r="P4" s="82"/>
      <c r="Q4" s="82"/>
      <c r="R4" s="82"/>
      <c r="S4" s="82"/>
      <c r="T4" s="82"/>
      <c r="U4" s="82"/>
      <c r="V4" s="82" t="s">
        <v>161</v>
      </c>
      <c r="W4" s="82"/>
      <c r="X4" s="82"/>
      <c r="Y4" s="82"/>
      <c r="Z4" s="82"/>
      <c r="AA4" s="82" t="s">
        <v>11</v>
      </c>
      <c r="AB4" s="83"/>
      <c r="DA4" s="38" t="str">
        <f>+DA3</f>
        <v>AU SMALL FINANCE BANK</v>
      </c>
    </row>
  </sheetData>
  <sheetProtection algorithmName="SHA-512" hashValue="nobzGAu5cpyTjTt/2fFMf7C1VkYZFwo9R5uZ0SC1rLFaEWvrQ6xh7z3VSkGSt0bJJPhLIVvmeA8qaa5SdSD95Q==" saltValue="EoJRtZzu62pjAA616vL2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90" priority="10" operator="equal">
      <formula>#N/A</formula>
    </cfRule>
  </conditionalFormatting>
  <conditionalFormatting sqref="H1">
    <cfRule type="cellIs" dxfId="89" priority="9" operator="equal">
      <formula>#N/A</formula>
    </cfRule>
  </conditionalFormatting>
  <conditionalFormatting sqref="E1">
    <cfRule type="cellIs" dxfId="88" priority="8" operator="equal">
      <formula>#N/A</formula>
    </cfRule>
  </conditionalFormatting>
  <conditionalFormatting sqref="I1">
    <cfRule type="containsText" dxfId="87" priority="6" operator="containsText" text="All Data Import Successfully">
      <formula>NOT(ISERROR(SEARCH("All Data Import Successfully",I1)))</formula>
    </cfRule>
    <cfRule type="containsText" dxfId="86" priority="7" operator="containsText" text="Difference Entry">
      <formula>NOT(ISERROR(SEARCH("Difference Entry",I1)))</formula>
    </cfRule>
  </conditionalFormatting>
  <conditionalFormatting sqref="DG2">
    <cfRule type="cellIs" dxfId="85" priority="5" operator="equal">
      <formula>#N/A</formula>
    </cfRule>
  </conditionalFormatting>
  <conditionalFormatting sqref="DH2:DI2">
    <cfRule type="cellIs" dxfId="84" priority="4" operator="equal">
      <formula>#N/A</formula>
    </cfRule>
  </conditionalFormatting>
  <conditionalFormatting sqref="E2:G2">
    <cfRule type="cellIs" dxfId="83" priority="3" operator="equal">
      <formula>#N/A</formula>
    </cfRule>
  </conditionalFormatting>
  <conditionalFormatting sqref="H2">
    <cfRule type="cellIs" dxfId="82" priority="2" operator="equal">
      <formula>#N/A</formula>
    </cfRule>
  </conditionalFormatting>
  <conditionalFormatting sqref="I2">
    <cfRule type="cellIs" dxfId="8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162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6" t="s">
        <v>257</v>
      </c>
      <c r="B4" s="177" t="s">
        <v>258</v>
      </c>
      <c r="C4" s="178"/>
      <c r="D4" s="179" t="s">
        <v>259</v>
      </c>
      <c r="E4" s="180" t="s">
        <v>260</v>
      </c>
      <c r="F4" s="181" t="s">
        <v>261</v>
      </c>
      <c r="G4" s="181" t="s">
        <v>262</v>
      </c>
      <c r="H4" s="182" t="s">
        <v>263</v>
      </c>
      <c r="DA4" s="38" t="str">
        <f>+DA3</f>
        <v>AU SMALL FINANCE BANK</v>
      </c>
    </row>
  </sheetData>
  <sheetProtection algorithmName="SHA-512" hashValue="QqkdBDBXLsvCziA/aB5fJSIEzYP5Edr/y1UrEZm9eobqd+4hXZVtn33T3JlieOIHUITIK0OXRgRBckae0tdOXw==" saltValue="4N7td0orK53dhX6dKDLS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40" priority="22" operator="equal">
      <formula>#N/A</formula>
    </cfRule>
  </conditionalFormatting>
  <conditionalFormatting sqref="DG2">
    <cfRule type="cellIs" dxfId="539" priority="17" operator="equal">
      <formula>#N/A</formula>
    </cfRule>
  </conditionalFormatting>
  <conditionalFormatting sqref="DH2:DI2">
    <cfRule type="cellIs" dxfId="538" priority="16" operator="equal">
      <formula>#N/A</formula>
    </cfRule>
  </conditionalFormatting>
  <conditionalFormatting sqref="I1">
    <cfRule type="cellIs" dxfId="537" priority="12" operator="equal">
      <formula>#N/A</formula>
    </cfRule>
  </conditionalFormatting>
  <conditionalFormatting sqref="H1">
    <cfRule type="cellIs" dxfId="536" priority="11" operator="equal">
      <formula>#N/A</formula>
    </cfRule>
  </conditionalFormatting>
  <conditionalFormatting sqref="E1">
    <cfRule type="cellIs" dxfId="535" priority="10" operator="equal">
      <formula>#N/A</formula>
    </cfRule>
  </conditionalFormatting>
  <conditionalFormatting sqref="I1">
    <cfRule type="containsText" dxfId="534" priority="8" operator="containsText" text="All Data Import Successfully">
      <formula>NOT(ISERROR(SEARCH("All Data Import Successfully",I1)))</formula>
    </cfRule>
    <cfRule type="containsText" dxfId="533" priority="9" operator="containsText" text="Difference Entry">
      <formula>NOT(ISERROR(SEARCH("Difference Entry",I1)))</formula>
    </cfRule>
  </conditionalFormatting>
  <conditionalFormatting sqref="I2">
    <cfRule type="cellIs" dxfId="532" priority="4" operator="equal">
      <formula>#N/A</formula>
    </cfRule>
  </conditionalFormatting>
  <conditionalFormatting sqref="E2:G2">
    <cfRule type="cellIs" dxfId="531" priority="3" operator="equal">
      <formula>#N/A</formula>
    </cfRule>
  </conditionalFormatting>
  <conditionalFormatting sqref="H2">
    <cfRule type="cellIs" dxfId="530" priority="2" operator="equal">
      <formula>#N/A</formula>
    </cfRule>
  </conditionalFormatting>
  <conditionalFormatting sqref="I2">
    <cfRule type="cellIs" dxfId="52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024E7-CD81-4353-B90B-4B95EC651DD7}">
  <sheetPr codeName="Sheet66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61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IF(OR(F3=" ", F3=""),VALUE("0"),VALUE(SUBSTITUTE((F3),",","")))</f>
        <v>0</v>
      </c>
      <c r="DF3" s="26" t="str">
        <f>IF(OR(H3=" ", H3=""),"",VALUE(SUBSTITUTE((H3),",","")))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5.5">
      <c r="A4" s="313" t="s">
        <v>1095</v>
      </c>
      <c r="B4" s="313" t="s">
        <v>1096</v>
      </c>
      <c r="C4" s="314" t="s">
        <v>1097</v>
      </c>
      <c r="D4" s="346" t="s">
        <v>1098</v>
      </c>
      <c r="E4" s="346"/>
      <c r="F4" s="347" t="s">
        <v>1099</v>
      </c>
      <c r="G4" s="347"/>
      <c r="H4" s="315" t="s">
        <v>1100</v>
      </c>
      <c r="I4" s="316" t="s">
        <v>1101</v>
      </c>
      <c r="DA4" s="38" t="str">
        <f>+DA3</f>
        <v>Axis Bank A/c.</v>
      </c>
    </row>
  </sheetData>
  <sheetProtection algorithmName="SHA-512" hashValue="HFobUa850lmCrzeX78rLlaco514UwH4gZcY8Y6QALbK7OmS/sKiOaDq2okDUWlDiVOooc7tzFdNK+Ul9eid7bw==" saltValue="MaGIxndr3O00VlTIlnEz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mergeCells count="2">
    <mergeCell ref="D4:E4"/>
    <mergeCell ref="F4:G4"/>
  </mergeCells>
  <conditionalFormatting sqref="E3">
    <cfRule type="cellIs" dxfId="617" priority="11" operator="equal">
      <formula>#N/A</formula>
    </cfRule>
  </conditionalFormatting>
  <conditionalFormatting sqref="DG2">
    <cfRule type="cellIs" dxfId="616" priority="10" operator="equal">
      <formula>#N/A</formula>
    </cfRule>
  </conditionalFormatting>
  <conditionalFormatting sqref="DH2:DI2">
    <cfRule type="cellIs" dxfId="615" priority="9" operator="equal">
      <formula>#N/A</formula>
    </cfRule>
  </conditionalFormatting>
  <conditionalFormatting sqref="I1:I2">
    <cfRule type="cellIs" dxfId="614" priority="8" operator="equal">
      <formula>#N/A</formula>
    </cfRule>
  </conditionalFormatting>
  <conditionalFormatting sqref="H1">
    <cfRule type="cellIs" dxfId="613" priority="7" operator="equal">
      <formula>#N/A</formula>
    </cfRule>
  </conditionalFormatting>
  <conditionalFormatting sqref="E1">
    <cfRule type="cellIs" dxfId="612" priority="6" operator="equal">
      <formula>#N/A</formula>
    </cfRule>
  </conditionalFormatting>
  <conditionalFormatting sqref="I1">
    <cfRule type="containsText" dxfId="611" priority="4" operator="containsText" text="All Data Import Successfully">
      <formula>NOT(ISERROR(SEARCH("All Data Import Successfully",I1)))</formula>
    </cfRule>
    <cfRule type="containsText" dxfId="610" priority="5" operator="containsText" text="Difference Entry">
      <formula>NOT(ISERROR(SEARCH("Difference Entry",I1)))</formula>
    </cfRule>
  </conditionalFormatting>
  <conditionalFormatting sqref="E2:G2">
    <cfRule type="cellIs" dxfId="609" priority="3" operator="equal">
      <formula>#N/A</formula>
    </cfRule>
  </conditionalFormatting>
  <conditionalFormatting sqref="H2">
    <cfRule type="cellIs" dxfId="608" priority="2" operator="equal">
      <formula>#N/A</formula>
    </cfRule>
  </conditionalFormatting>
  <conditionalFormatting sqref="I2">
    <cfRule type="cellIs" dxfId="6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workbookViewId="0">
      <selection activeCell="F12" sqref="F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109</v>
      </c>
      <c r="B3" s="56"/>
      <c r="C3" s="55"/>
      <c r="D3" s="55" t="s">
        <v>212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18</v>
      </c>
      <c r="C4" s="101" t="s">
        <v>40</v>
      </c>
      <c r="D4" s="101" t="s">
        <v>188</v>
      </c>
      <c r="E4" s="101" t="s">
        <v>189</v>
      </c>
      <c r="F4" s="101" t="s">
        <v>190</v>
      </c>
      <c r="G4" s="101" t="s">
        <v>108</v>
      </c>
      <c r="H4" s="102" t="s">
        <v>191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gEMlqRhWIDCZSge/FT1yvnuCTVsajB6MDVN2twaL7uU93aZyy6QBUsvaoacZSjMeLBYBYmrEEnUXSfaNIB287Q==" saltValue="GiURz4+2C1niJYWdVWXPq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324" priority="18" operator="equal">
      <formula>#N/A</formula>
    </cfRule>
  </conditionalFormatting>
  <conditionalFormatting sqref="DG2">
    <cfRule type="cellIs" dxfId="323" priority="13" operator="equal">
      <formula>#N/A</formula>
    </cfRule>
  </conditionalFormatting>
  <conditionalFormatting sqref="DH2:DI2">
    <cfRule type="cellIs" dxfId="322" priority="12" operator="equal">
      <formula>#N/A</formula>
    </cfRule>
  </conditionalFormatting>
  <conditionalFormatting sqref="I1:I2">
    <cfRule type="cellIs" dxfId="321" priority="8" operator="equal">
      <formula>#N/A</formula>
    </cfRule>
  </conditionalFormatting>
  <conditionalFormatting sqref="H1">
    <cfRule type="cellIs" dxfId="320" priority="7" operator="equal">
      <formula>#N/A</formula>
    </cfRule>
  </conditionalFormatting>
  <conditionalFormatting sqref="E1">
    <cfRule type="cellIs" dxfId="319" priority="6" operator="equal">
      <formula>#N/A</formula>
    </cfRule>
  </conditionalFormatting>
  <conditionalFormatting sqref="I1">
    <cfRule type="containsText" dxfId="318" priority="4" operator="containsText" text="All Data Import Successfully">
      <formula>NOT(ISERROR(SEARCH("All Data Import Successfully",I1)))</formula>
    </cfRule>
    <cfRule type="containsText" dxfId="317" priority="5" operator="containsText" text="Difference Entry">
      <formula>NOT(ISERROR(SEARCH("Difference Entry",I1)))</formula>
    </cfRule>
  </conditionalFormatting>
  <conditionalFormatting sqref="E2:G2">
    <cfRule type="cellIs" dxfId="316" priority="3" operator="equal">
      <formula>#N/A</formula>
    </cfRule>
  </conditionalFormatting>
  <conditionalFormatting sqref="H2">
    <cfRule type="cellIs" dxfId="315" priority="2" operator="equal">
      <formula>#N/A</formula>
    </cfRule>
  </conditionalFormatting>
  <conditionalFormatting sqref="I2">
    <cfRule type="cellIs" dxfId="3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Axis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IF(H3="Cr",VALUE("0"),VALUE(SUBSTITUTE((TRIM(G3)),",","")))</f>
        <v>#VALUE!</v>
      </c>
      <c r="DE3" s="131" t="e">
        <f>IF(H3="Dr",VALUE("0"),VALUE(SUBSTITUTE((TRIM(G3)),",","")))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+DB3</f>
        <v>#VALUE!</v>
      </c>
      <c r="DI3" s="168" t="e">
        <f>+IF(DE3=0,"Suspance Payment","Suspance Receipt")</f>
        <v>#VALUE!</v>
      </c>
      <c r="DJ3" s="169">
        <f>+C3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9" t="s">
        <v>303</v>
      </c>
      <c r="B4" s="210" t="s">
        <v>304</v>
      </c>
      <c r="C4" s="297" t="s">
        <v>305</v>
      </c>
      <c r="D4" s="297"/>
      <c r="E4" s="297"/>
      <c r="F4" s="210" t="s">
        <v>306</v>
      </c>
      <c r="G4" s="210" t="s">
        <v>307</v>
      </c>
      <c r="H4" s="210" t="s">
        <v>308</v>
      </c>
      <c r="I4" s="210" t="s">
        <v>309</v>
      </c>
      <c r="J4" s="211" t="s">
        <v>310</v>
      </c>
      <c r="DA4" s="38" t="str">
        <f>+DA3</f>
        <v>Axis Bank A/c.</v>
      </c>
    </row>
  </sheetData>
  <sheetProtection algorithmName="SHA-512" hashValue="XkudPpIeHq1MwaU/ldbEWD/7aZ0pDgphVKllqitCmFLlkN48hEnWq6hKXD2ej818n9qnJ9OicQB7tn+/8Vc1RA==" saltValue="k3dVZrexcT3r9aCOtbpi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628" priority="11" operator="equal">
      <formula>#N/A</formula>
    </cfRule>
  </conditionalFormatting>
  <conditionalFormatting sqref="DG2">
    <cfRule type="cellIs" dxfId="627" priority="10" operator="equal">
      <formula>#N/A</formula>
    </cfRule>
  </conditionalFormatting>
  <conditionalFormatting sqref="DH2:DI2">
    <cfRule type="cellIs" dxfId="626" priority="9" operator="equal">
      <formula>#N/A</formula>
    </cfRule>
  </conditionalFormatting>
  <conditionalFormatting sqref="I1:I2">
    <cfRule type="cellIs" dxfId="625" priority="8" operator="equal">
      <formula>#N/A</formula>
    </cfRule>
  </conditionalFormatting>
  <conditionalFormatting sqref="H1">
    <cfRule type="cellIs" dxfId="624" priority="7" operator="equal">
      <formula>#N/A</formula>
    </cfRule>
  </conditionalFormatting>
  <conditionalFormatting sqref="E1">
    <cfRule type="cellIs" dxfId="623" priority="6" operator="equal">
      <formula>#N/A</formula>
    </cfRule>
  </conditionalFormatting>
  <conditionalFormatting sqref="I1">
    <cfRule type="containsText" dxfId="622" priority="4" operator="containsText" text="All Data Import Successfully">
      <formula>NOT(ISERROR(SEARCH("All Data Import Successfully",I1)))</formula>
    </cfRule>
    <cfRule type="containsText" dxfId="621" priority="5" operator="containsText" text="Difference Entry">
      <formula>NOT(ISERROR(SEARCH("Difference Entry",I1)))</formula>
    </cfRule>
  </conditionalFormatting>
  <conditionalFormatting sqref="E2:G2">
    <cfRule type="cellIs" dxfId="620" priority="3" operator="equal">
      <formula>#N/A</formula>
    </cfRule>
  </conditionalFormatting>
  <conditionalFormatting sqref="H2">
    <cfRule type="cellIs" dxfId="619" priority="2" operator="equal">
      <formula>#N/A</formula>
    </cfRule>
  </conditionalFormatting>
  <conditionalFormatting sqref="I2">
    <cfRule type="cellIs" dxfId="61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212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ZSHr5WoPyFXQBZ10yFutZjPrLqHeW1zWthSVdslkHP6JWKAQNGffcDgBHpZ3g8cB9otMJr9htpaP5Ri0Plqcwg==" saltValue="+FqDpnHXrkAjlgLO3fbQx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46" priority="18" operator="equal">
      <formula>#N/A</formula>
    </cfRule>
  </conditionalFormatting>
  <conditionalFormatting sqref="DG2">
    <cfRule type="cellIs" dxfId="345" priority="13" operator="equal">
      <formula>#N/A</formula>
    </cfRule>
  </conditionalFormatting>
  <conditionalFormatting sqref="DH2:DI2">
    <cfRule type="cellIs" dxfId="344" priority="12" operator="equal">
      <formula>#N/A</formula>
    </cfRule>
  </conditionalFormatting>
  <conditionalFormatting sqref="I1:I2">
    <cfRule type="cellIs" dxfId="343" priority="8" operator="equal">
      <formula>#N/A</formula>
    </cfRule>
  </conditionalFormatting>
  <conditionalFormatting sqref="H1">
    <cfRule type="cellIs" dxfId="342" priority="7" operator="equal">
      <formula>#N/A</formula>
    </cfRule>
  </conditionalFormatting>
  <conditionalFormatting sqref="E1">
    <cfRule type="cellIs" dxfId="341" priority="6" operator="equal">
      <formula>#N/A</formula>
    </cfRule>
  </conditionalFormatting>
  <conditionalFormatting sqref="I1">
    <cfRule type="containsText" dxfId="340" priority="4" operator="containsText" text="All Data Import Successfully">
      <formula>NOT(ISERROR(SEARCH("All Data Import Successfully",I1)))</formula>
    </cfRule>
    <cfRule type="containsText" dxfId="339" priority="5" operator="containsText" text="Difference Entry">
      <formula>NOT(ISERROR(SEARCH("Difference Entry",I1)))</formula>
    </cfRule>
  </conditionalFormatting>
  <conditionalFormatting sqref="E2:G2">
    <cfRule type="cellIs" dxfId="338" priority="3" operator="equal">
      <formula>#N/A</formula>
    </cfRule>
  </conditionalFormatting>
  <conditionalFormatting sqref="H2">
    <cfRule type="cellIs" dxfId="337" priority="2" operator="equal">
      <formula>#N/A</formula>
    </cfRule>
  </conditionalFormatting>
  <conditionalFormatting sqref="I2">
    <cfRule type="cellIs" dxfId="33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9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333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37" t="s">
        <v>332</v>
      </c>
      <c r="B4" s="238" t="s">
        <v>39</v>
      </c>
      <c r="C4" s="238" t="s">
        <v>40</v>
      </c>
      <c r="D4" s="238" t="s">
        <v>41</v>
      </c>
      <c r="E4" s="238" t="s">
        <v>42</v>
      </c>
      <c r="F4" s="238" t="s">
        <v>43</v>
      </c>
      <c r="G4" s="239" t="s">
        <v>44</v>
      </c>
      <c r="H4" s="220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35" priority="11" operator="equal">
      <formula>#N/A</formula>
    </cfRule>
  </conditionalFormatting>
  <conditionalFormatting sqref="DG2">
    <cfRule type="cellIs" dxfId="334" priority="10" operator="equal">
      <formula>#N/A</formula>
    </cfRule>
  </conditionalFormatting>
  <conditionalFormatting sqref="DH2:DI2">
    <cfRule type="cellIs" dxfId="333" priority="9" operator="equal">
      <formula>#N/A</formula>
    </cfRule>
  </conditionalFormatting>
  <conditionalFormatting sqref="I1:I2">
    <cfRule type="cellIs" dxfId="332" priority="8" operator="equal">
      <formula>#N/A</formula>
    </cfRule>
  </conditionalFormatting>
  <conditionalFormatting sqref="H1">
    <cfRule type="cellIs" dxfId="331" priority="7" operator="equal">
      <formula>#N/A</formula>
    </cfRule>
  </conditionalFormatting>
  <conditionalFormatting sqref="E1">
    <cfRule type="cellIs" dxfId="330" priority="6" operator="equal">
      <formula>#N/A</formula>
    </cfRule>
  </conditionalFormatting>
  <conditionalFormatting sqref="I1">
    <cfRule type="containsText" dxfId="329" priority="4" operator="containsText" text="All Data Import Successfully">
      <formula>NOT(ISERROR(SEARCH("All Data Import Successfully",I1)))</formula>
    </cfRule>
    <cfRule type="containsText" dxfId="328" priority="5" operator="containsText" text="Difference Entry">
      <formula>NOT(ISERROR(SEARCH("Difference Entry",I1)))</formula>
    </cfRule>
  </conditionalFormatting>
  <conditionalFormatting sqref="E2:G2">
    <cfRule type="cellIs" dxfId="327" priority="3" operator="equal">
      <formula>#N/A</formula>
    </cfRule>
  </conditionalFormatting>
  <conditionalFormatting sqref="H2">
    <cfRule type="cellIs" dxfId="326" priority="2" operator="equal">
      <formula>#N/A</formula>
    </cfRule>
  </conditionalFormatting>
  <conditionalFormatting sqref="I2">
    <cfRule type="cellIs" dxfId="32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ogbpOy/vx4+li5+sbT1yJ/CJ/m7iVM/KlgrIXGrjaZ+eUCOZoSXZygS3JtIMVeg1IXHgJ4ccpV8W0XASpr2sQg==" saltValue="zMy0SQo34uPhw1ma6WwlL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39" priority="11" operator="equal">
      <formula>#N/A</formula>
    </cfRule>
  </conditionalFormatting>
  <conditionalFormatting sqref="DG2">
    <cfRule type="cellIs" dxfId="638" priority="10" operator="equal">
      <formula>#N/A</formula>
    </cfRule>
  </conditionalFormatting>
  <conditionalFormatting sqref="DH2:DI2">
    <cfRule type="cellIs" dxfId="637" priority="9" operator="equal">
      <formula>#N/A</formula>
    </cfRule>
  </conditionalFormatting>
  <conditionalFormatting sqref="I1:I2">
    <cfRule type="cellIs" dxfId="636" priority="8" operator="equal">
      <formula>#N/A</formula>
    </cfRule>
  </conditionalFormatting>
  <conditionalFormatting sqref="H1">
    <cfRule type="cellIs" dxfId="635" priority="7" operator="equal">
      <formula>#N/A</formula>
    </cfRule>
  </conditionalFormatting>
  <conditionalFormatting sqref="E1">
    <cfRule type="cellIs" dxfId="634" priority="6" operator="equal">
      <formula>#N/A</formula>
    </cfRule>
  </conditionalFormatting>
  <conditionalFormatting sqref="I1">
    <cfRule type="containsText" dxfId="633" priority="4" operator="containsText" text="All Data Import Successfully">
      <formula>NOT(ISERROR(SEARCH("All Data Import Successfully",I1)))</formula>
    </cfRule>
    <cfRule type="containsText" dxfId="632" priority="5" operator="containsText" text="Difference Entry">
      <formula>NOT(ISERROR(SEARCH("Difference Entry",I1)))</formula>
    </cfRule>
  </conditionalFormatting>
  <conditionalFormatting sqref="E2:G2">
    <cfRule type="cellIs" dxfId="631" priority="3" operator="equal">
      <formula>#N/A</formula>
    </cfRule>
  </conditionalFormatting>
  <conditionalFormatting sqref="H2">
    <cfRule type="cellIs" dxfId="630" priority="2" operator="equal">
      <formula>#N/A</formula>
    </cfRule>
  </conditionalFormatting>
  <conditionalFormatting sqref="I2">
    <cfRule type="cellIs" dxfId="62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workbookViewId="0">
      <selection activeCell="E17" sqref="E1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90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3" customFormat="1" ht="15.75" thickBot="1">
      <c r="A4" s="287" t="s">
        <v>82</v>
      </c>
      <c r="B4" s="288" t="s">
        <v>83</v>
      </c>
      <c r="C4" s="288" t="s">
        <v>84</v>
      </c>
      <c r="D4" s="288" t="s">
        <v>85</v>
      </c>
      <c r="E4" s="288" t="s">
        <v>86</v>
      </c>
      <c r="F4" s="289" t="s">
        <v>87</v>
      </c>
      <c r="G4" s="288" t="s">
        <v>88</v>
      </c>
      <c r="H4" s="290" t="s">
        <v>89</v>
      </c>
      <c r="DA4" s="44" t="str">
        <f>+DA3</f>
        <v>Bandhan Bank</v>
      </c>
    </row>
  </sheetData>
  <sheetProtection algorithmName="SHA-512" hashValue="JIzrxHZ90/Q5fDsc+nP3gxB4T0MP3VmB63MDsQmw6HmrCP0+cT9tKGoSo69bm/2h1KlP1vz35IPTk0+rIssDVQ==" saltValue="hVnog4Jf07U7p9z3cZYV/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281" priority="10" operator="equal">
      <formula>#N/A</formula>
    </cfRule>
  </conditionalFormatting>
  <conditionalFormatting sqref="H1">
    <cfRule type="cellIs" dxfId="280" priority="9" operator="equal">
      <formula>#N/A</formula>
    </cfRule>
  </conditionalFormatting>
  <conditionalFormatting sqref="E1">
    <cfRule type="cellIs" dxfId="279" priority="8" operator="equal">
      <formula>#N/A</formula>
    </cfRule>
  </conditionalFormatting>
  <conditionalFormatting sqref="I1">
    <cfRule type="containsText" dxfId="278" priority="6" operator="containsText" text="All Data Import Successfully">
      <formula>NOT(ISERROR(SEARCH("All Data Import Successfully",I1)))</formula>
    </cfRule>
    <cfRule type="containsText" dxfId="277" priority="7" operator="containsText" text="Difference Entry">
      <formula>NOT(ISERROR(SEARCH("Difference Entry",I1)))</formula>
    </cfRule>
  </conditionalFormatting>
  <conditionalFormatting sqref="DG2">
    <cfRule type="cellIs" dxfId="276" priority="5" operator="equal">
      <formula>#N/A</formula>
    </cfRule>
  </conditionalFormatting>
  <conditionalFormatting sqref="DH2:DI2">
    <cfRule type="cellIs" dxfId="275" priority="4" operator="equal">
      <formula>#N/A</formula>
    </cfRule>
  </conditionalFormatting>
  <conditionalFormatting sqref="E2:G2">
    <cfRule type="cellIs" dxfId="274" priority="3" operator="equal">
      <formula>#N/A</formula>
    </cfRule>
  </conditionalFormatting>
  <conditionalFormatting sqref="H2">
    <cfRule type="cellIs" dxfId="273" priority="2" operator="equal">
      <formula>#N/A</formula>
    </cfRule>
  </conditionalFormatting>
  <conditionalFormatting sqref="I2">
    <cfRule type="cellIs" dxfId="27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5"/>
      <c r="C4" s="45" t="s">
        <v>52</v>
      </c>
      <c r="D4" s="45"/>
      <c r="E4" s="45"/>
      <c r="F4" s="45"/>
      <c r="G4" s="45"/>
      <c r="H4" s="355" t="s">
        <v>53</v>
      </c>
      <c r="I4" s="355"/>
      <c r="J4" s="45"/>
      <c r="K4" s="45" t="s">
        <v>54</v>
      </c>
      <c r="L4" s="45"/>
      <c r="M4" s="45"/>
      <c r="N4" s="45"/>
      <c r="O4" s="45"/>
      <c r="P4" s="45"/>
      <c r="Q4" s="45" t="s">
        <v>55</v>
      </c>
      <c r="R4" s="45"/>
      <c r="S4" s="45"/>
      <c r="T4" s="45" t="s">
        <v>56</v>
      </c>
      <c r="U4" s="41"/>
      <c r="V4" s="45"/>
      <c r="W4" s="45"/>
      <c r="X4" s="45"/>
      <c r="DA4" s="38" t="str">
        <f>+DA3</f>
        <v>Bank of Baroda A/c.</v>
      </c>
    </row>
  </sheetData>
  <sheetProtection algorithmName="SHA-512" hashValue="gSxlmGL9LVoxgVHh6YtQL7m8CDLshO/meZWXsM+wsvFo2VmEYTJ7Zg8hQgiR+Y4w9zE48n+tzH7V8+LXNNMHww==" saltValue="SKoMVhLNSn2L1iuNWK4S9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84" priority="10" operator="equal">
      <formula>#N/A</formula>
    </cfRule>
  </conditionalFormatting>
  <conditionalFormatting sqref="H1">
    <cfRule type="cellIs" dxfId="183" priority="9" operator="equal">
      <formula>#N/A</formula>
    </cfRule>
  </conditionalFormatting>
  <conditionalFormatting sqref="E1">
    <cfRule type="cellIs" dxfId="182" priority="8" operator="equal">
      <formula>#N/A</formula>
    </cfRule>
  </conditionalFormatting>
  <conditionalFormatting sqref="I1">
    <cfRule type="containsText" dxfId="181" priority="6" operator="containsText" text="All Data Import Successfully">
      <formula>NOT(ISERROR(SEARCH("All Data Import Successfully",I1)))</formula>
    </cfRule>
    <cfRule type="containsText" dxfId="180" priority="7" operator="containsText" text="Difference Entry">
      <formula>NOT(ISERROR(SEARCH("Difference Entry",I1)))</formula>
    </cfRule>
  </conditionalFormatting>
  <conditionalFormatting sqref="DG2">
    <cfRule type="cellIs" dxfId="179" priority="5" operator="equal">
      <formula>#N/A</formula>
    </cfRule>
  </conditionalFormatting>
  <conditionalFormatting sqref="DH2:DI2">
    <cfRule type="cellIs" dxfId="178" priority="4" operator="equal">
      <formula>#N/A</formula>
    </cfRule>
  </conditionalFormatting>
  <conditionalFormatting sqref="E2:G2">
    <cfRule type="cellIs" dxfId="177" priority="3" operator="equal">
      <formula>#N/A</formula>
    </cfRule>
  </conditionalFormatting>
  <conditionalFormatting sqref="H2">
    <cfRule type="cellIs" dxfId="176" priority="2" operator="equal">
      <formula>#N/A</formula>
    </cfRule>
  </conditionalFormatting>
  <conditionalFormatting sqref="I2">
    <cfRule type="cellIs" dxfId="17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BED97-B469-4F6C-9BEF-D0B3C6E75F8A}">
  <sheetPr codeName="Sheet62">
    <tabColor theme="8" tint="0.79998168889431442"/>
  </sheetPr>
  <dimension ref="A1:DZ4"/>
  <sheetViews>
    <sheetView workbookViewId="0">
      <selection activeCell="C18" sqref="C18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IF(F3="-",VALUE("0"),VALUE(SUBSTITUTE((F3),"-","")))</f>
        <v>#VALUE!</v>
      </c>
      <c r="DE3" s="26" t="e">
        <f>IF(G3="-",VALUE("0"),VALUE(SUBSTITUTE((G3),"-","")))</f>
        <v>#VALUE!</v>
      </c>
      <c r="DF3" s="26" t="e">
        <f>IF(H3="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298" t="s">
        <v>435</v>
      </c>
      <c r="B4" s="299" t="s">
        <v>436</v>
      </c>
      <c r="C4" s="299" t="s">
        <v>437</v>
      </c>
      <c r="D4" s="342" t="s">
        <v>438</v>
      </c>
      <c r="E4" s="342"/>
      <c r="F4" s="300" t="s">
        <v>100</v>
      </c>
      <c r="G4" s="300" t="s">
        <v>22</v>
      </c>
      <c r="H4" s="301" t="s">
        <v>11</v>
      </c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9_1"/>
    <protectedRange algorithmName="SHA-512" hashValue="FeHjunJeBmEIe1Z+x4LSLD0xeXKoeHqEB4mLNgYC3pUDxBFAiT2e1scH7F48tQXpPGOh+9Z9iw2K5jb0kUxFkQ==" saltValue="Arxg+XESKZddo6Y2q+NDbg==" spinCount="100000" sqref="DD3:DF3" name="Range1_1_6_1"/>
    <protectedRange algorithmName="SHA-512" hashValue="FeHjunJeBmEIe1Z+x4LSLD0xeXKoeHqEB4mLNgYC3pUDxBFAiT2e1scH7F48tQXpPGOh+9Z9iw2K5jb0kUxFkQ==" saltValue="Arxg+XESKZddo6Y2q+NDbg==" spinCount="100000" sqref="DI3" name="Range1_2_6_1"/>
    <protectedRange algorithmName="SHA-512" hashValue="FeHjunJeBmEIe1Z+x4LSLD0xeXKoeHqEB4mLNgYC3pUDxBFAiT2e1scH7F48tQXpPGOh+9Z9iw2K5jb0kUxFkQ==" saltValue="Arxg+XESKZddo6Y2q+NDbg==" spinCount="100000" sqref="DK3" name="Range1_3_5_1"/>
    <protectedRange algorithmName="SHA-512" hashValue="FeHjunJeBmEIe1Z+x4LSLD0xeXKoeHqEB4mLNgYC3pUDxBFAiT2e1scH7F48tQXpPGOh+9Z9iw2K5jb0kUxFkQ==" saltValue="Arxg+XESKZddo6Y2q+NDbg==" spinCount="100000" sqref="DC3" name="Range1_7_1"/>
  </protectedRanges>
  <mergeCells count="1">
    <mergeCell ref="D4:E4"/>
  </mergeCells>
  <conditionalFormatting sqref="E3 I1:I2">
    <cfRule type="cellIs" dxfId="659" priority="10" operator="equal">
      <formula>#N/A</formula>
    </cfRule>
  </conditionalFormatting>
  <conditionalFormatting sqref="H1">
    <cfRule type="cellIs" dxfId="658" priority="9" operator="equal">
      <formula>#N/A</formula>
    </cfRule>
  </conditionalFormatting>
  <conditionalFormatting sqref="E1">
    <cfRule type="cellIs" dxfId="657" priority="8" operator="equal">
      <formula>#N/A</formula>
    </cfRule>
  </conditionalFormatting>
  <conditionalFormatting sqref="I1">
    <cfRule type="containsText" dxfId="656" priority="6" operator="containsText" text="All Data Import Successfully">
      <formula>NOT(ISERROR(SEARCH("All Data Import Successfully",I1)))</formula>
    </cfRule>
    <cfRule type="containsText" dxfId="655" priority="7" operator="containsText" text="Difference Entry">
      <formula>NOT(ISERROR(SEARCH("Difference Entry",I1)))</formula>
    </cfRule>
  </conditionalFormatting>
  <conditionalFormatting sqref="DG2">
    <cfRule type="cellIs" dxfId="654" priority="5" operator="equal">
      <formula>#N/A</formula>
    </cfRule>
  </conditionalFormatting>
  <conditionalFormatting sqref="DH2:DI2">
    <cfRule type="cellIs" dxfId="653" priority="4" operator="equal">
      <formula>#N/A</formula>
    </cfRule>
  </conditionalFormatting>
  <conditionalFormatting sqref="E2:G2">
    <cfRule type="cellIs" dxfId="652" priority="3" operator="equal">
      <formula>#N/A</formula>
    </cfRule>
  </conditionalFormatting>
  <conditionalFormatting sqref="H2">
    <cfRule type="cellIs" dxfId="651" priority="2" operator="equal">
      <formula>#N/A</formula>
    </cfRule>
  </conditionalFormatting>
  <conditionalFormatting sqref="I2">
    <cfRule type="cellIs" dxfId="65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6E933-6FCD-44B2-8A72-DB654C4B477E}">
  <sheetPr codeName="Sheet67">
    <tabColor theme="8" tint="0.79998168889431442"/>
  </sheetPr>
  <dimension ref="A1:DZ31"/>
  <sheetViews>
    <sheetView showRuler="0" workbookViewId="0">
      <selection activeCell="E18" sqref="E18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27</v>
      </c>
      <c r="F2" s="11">
        <f>+COUNTIF($DE:$DE,"&gt;"&amp;0)</f>
        <v>3</v>
      </c>
      <c r="G2" s="11">
        <f>+COUNTIF($DD:$DD,"&gt;"&amp;0)</f>
        <v>24</v>
      </c>
      <c r="H2" s="12">
        <f>+F2+G2</f>
        <v>27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IF(G3="-",VALUE("0"),VALUE(SUBSTITUTE((G3),"-","")))</f>
        <v>#VALUE!</v>
      </c>
      <c r="DE3" s="26" t="e">
        <f>IF(H3="-",VALUE("0"),VALUE(SUBSTITUTE((H3),"-","")))</f>
        <v>#VALUE!</v>
      </c>
      <c r="DF3" s="26" t="e">
        <f>IF(J3="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318" t="s">
        <v>1104</v>
      </c>
      <c r="B4" s="319" t="s">
        <v>1105</v>
      </c>
      <c r="C4" s="343" t="s">
        <v>1106</v>
      </c>
      <c r="D4" s="343"/>
      <c r="E4" s="344" t="s">
        <v>1107</v>
      </c>
      <c r="F4" s="344"/>
      <c r="G4" s="317" t="s">
        <v>1108</v>
      </c>
      <c r="H4" s="345" t="s">
        <v>1109</v>
      </c>
      <c r="I4" s="345"/>
      <c r="J4" s="320" t="s">
        <v>1110</v>
      </c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  <row r="5" spans="1:130" ht="15" customHeight="1">
      <c r="A5" s="321">
        <v>45747</v>
      </c>
      <c r="B5" s="322">
        <v>45747</v>
      </c>
      <c r="C5" s="323" t="s">
        <v>1111</v>
      </c>
      <c r="D5" s="323"/>
      <c r="E5" s="324"/>
      <c r="F5" s="324"/>
      <c r="G5" s="325">
        <v>50</v>
      </c>
      <c r="H5" s="324"/>
      <c r="I5" s="324"/>
      <c r="J5" s="326" t="s">
        <v>1112</v>
      </c>
      <c r="DA5" s="278" t="s">
        <v>66</v>
      </c>
      <c r="DB5" s="279">
        <v>45747</v>
      </c>
      <c r="DC5" s="280" t="e">
        <v>#VALUE!</v>
      </c>
      <c r="DD5" s="281">
        <v>50</v>
      </c>
      <c r="DE5" s="281" t="e">
        <v>#VALUE!</v>
      </c>
      <c r="DF5" s="281" t="e">
        <v>#VALUE!</v>
      </c>
      <c r="DG5" s="306" t="s">
        <v>1170</v>
      </c>
      <c r="DH5" s="284">
        <v>45747</v>
      </c>
      <c r="DI5" s="284" t="e">
        <v>#VALUE!</v>
      </c>
      <c r="DJ5" s="310" t="s">
        <v>1171</v>
      </c>
      <c r="DK5" s="286">
        <v>1</v>
      </c>
    </row>
    <row r="6" spans="1:130" ht="15" customHeight="1">
      <c r="A6" s="327">
        <v>45747</v>
      </c>
      <c r="B6" s="328">
        <v>45747</v>
      </c>
      <c r="C6" s="329" t="s">
        <v>1113</v>
      </c>
      <c r="D6" s="329"/>
      <c r="E6" s="330"/>
      <c r="F6" s="330"/>
      <c r="G6" s="331">
        <v>800</v>
      </c>
      <c r="H6" s="330"/>
      <c r="I6" s="330"/>
      <c r="J6" s="332" t="s">
        <v>1114</v>
      </c>
      <c r="DA6" s="278" t="s">
        <v>66</v>
      </c>
      <c r="DB6" s="279">
        <v>45747</v>
      </c>
      <c r="DC6" s="280" t="e">
        <v>#VALUE!</v>
      </c>
      <c r="DD6" s="281">
        <v>800</v>
      </c>
      <c r="DE6" s="281" t="e">
        <v>#VALUE!</v>
      </c>
      <c r="DF6" s="281" t="e">
        <v>#VALUE!</v>
      </c>
      <c r="DG6" s="306" t="s">
        <v>1172</v>
      </c>
      <c r="DH6" s="284">
        <v>45747</v>
      </c>
      <c r="DI6" s="284" t="e">
        <v>#VALUE!</v>
      </c>
      <c r="DJ6" s="310" t="s">
        <v>1173</v>
      </c>
      <c r="DK6" s="286">
        <v>2</v>
      </c>
    </row>
    <row r="7" spans="1:130" ht="15" customHeight="1">
      <c r="A7" s="321">
        <v>45747</v>
      </c>
      <c r="B7" s="322">
        <v>45747</v>
      </c>
      <c r="C7" s="323" t="s">
        <v>1115</v>
      </c>
      <c r="D7" s="323"/>
      <c r="E7" s="324"/>
      <c r="F7" s="324"/>
      <c r="G7" s="325">
        <v>100</v>
      </c>
      <c r="H7" s="324"/>
      <c r="I7" s="324"/>
      <c r="J7" s="326" t="s">
        <v>1116</v>
      </c>
      <c r="DA7" s="278" t="s">
        <v>66</v>
      </c>
      <c r="DB7" s="279">
        <v>45747</v>
      </c>
      <c r="DC7" s="280" t="e">
        <v>#VALUE!</v>
      </c>
      <c r="DD7" s="281">
        <v>100</v>
      </c>
      <c r="DE7" s="281" t="e">
        <v>#VALUE!</v>
      </c>
      <c r="DF7" s="281" t="e">
        <v>#VALUE!</v>
      </c>
      <c r="DG7" s="306" t="s">
        <v>1174</v>
      </c>
      <c r="DH7" s="284">
        <v>45747</v>
      </c>
      <c r="DI7" s="284" t="e">
        <v>#VALUE!</v>
      </c>
      <c r="DJ7" s="310" t="s">
        <v>1175</v>
      </c>
      <c r="DK7" s="286">
        <v>3</v>
      </c>
    </row>
    <row r="8" spans="1:130" ht="15" customHeight="1">
      <c r="A8" s="327">
        <v>45746</v>
      </c>
      <c r="B8" s="328">
        <v>45746</v>
      </c>
      <c r="C8" s="329" t="s">
        <v>1117</v>
      </c>
      <c r="D8" s="329"/>
      <c r="E8" s="330"/>
      <c r="F8" s="330"/>
      <c r="G8" s="333">
        <v>75000</v>
      </c>
      <c r="H8" s="330"/>
      <c r="I8" s="330"/>
      <c r="J8" s="332" t="s">
        <v>1118</v>
      </c>
      <c r="DA8" s="278" t="s">
        <v>66</v>
      </c>
      <c r="DB8" s="279">
        <v>45746</v>
      </c>
      <c r="DC8" s="280" t="e">
        <v>#VALUE!</v>
      </c>
      <c r="DD8" s="281">
        <v>75000</v>
      </c>
      <c r="DE8" s="281" t="e">
        <v>#VALUE!</v>
      </c>
      <c r="DF8" s="281" t="e">
        <v>#VALUE!</v>
      </c>
      <c r="DG8" s="306" t="s">
        <v>1176</v>
      </c>
      <c r="DH8" s="284">
        <v>45746</v>
      </c>
      <c r="DI8" s="284" t="e">
        <v>#VALUE!</v>
      </c>
      <c r="DJ8" s="310" t="s">
        <v>1177</v>
      </c>
      <c r="DK8" s="286">
        <v>4</v>
      </c>
    </row>
    <row r="9" spans="1:130" ht="15" customHeight="1">
      <c r="A9" s="321">
        <v>45745</v>
      </c>
      <c r="B9" s="322">
        <v>45745</v>
      </c>
      <c r="C9" s="323" t="s">
        <v>1119</v>
      </c>
      <c r="D9" s="323"/>
      <c r="E9" s="324"/>
      <c r="F9" s="324"/>
      <c r="G9" s="325">
        <v>8.85</v>
      </c>
      <c r="H9" s="324"/>
      <c r="I9" s="324"/>
      <c r="J9" s="326" t="s">
        <v>1120</v>
      </c>
      <c r="DA9" s="278" t="s">
        <v>66</v>
      </c>
      <c r="DB9" s="279">
        <v>45745</v>
      </c>
      <c r="DC9" s="280" t="e">
        <v>#VALUE!</v>
      </c>
      <c r="DD9" s="281">
        <v>8.85</v>
      </c>
      <c r="DE9" s="281" t="e">
        <v>#VALUE!</v>
      </c>
      <c r="DF9" s="281" t="e">
        <v>#VALUE!</v>
      </c>
      <c r="DG9" s="306" t="s">
        <v>1178</v>
      </c>
      <c r="DH9" s="284">
        <v>45745</v>
      </c>
      <c r="DI9" s="284" t="e">
        <v>#VALUE!</v>
      </c>
      <c r="DJ9" s="310" t="s">
        <v>1179</v>
      </c>
      <c r="DK9" s="286">
        <v>5</v>
      </c>
    </row>
    <row r="10" spans="1:130" ht="15" customHeight="1">
      <c r="A10" s="327">
        <v>45745</v>
      </c>
      <c r="B10" s="328">
        <v>45745</v>
      </c>
      <c r="C10" s="329" t="s">
        <v>1121</v>
      </c>
      <c r="D10" s="329"/>
      <c r="E10" s="330"/>
      <c r="F10" s="330"/>
      <c r="G10" s="334" t="s">
        <v>1122</v>
      </c>
      <c r="H10" s="330"/>
      <c r="I10" s="330"/>
      <c r="J10" s="332" t="s">
        <v>1123</v>
      </c>
      <c r="DA10" s="278" t="s">
        <v>66</v>
      </c>
      <c r="DB10" s="279">
        <v>45745</v>
      </c>
      <c r="DC10" s="280" t="e">
        <v>#VALUE!</v>
      </c>
      <c r="DD10" s="281">
        <v>100000</v>
      </c>
      <c r="DE10" s="281" t="e">
        <v>#VALUE!</v>
      </c>
      <c r="DF10" s="281" t="e">
        <v>#VALUE!</v>
      </c>
      <c r="DG10" s="306" t="s">
        <v>1178</v>
      </c>
      <c r="DH10" s="284">
        <v>45745</v>
      </c>
      <c r="DI10" s="284" t="e">
        <v>#VALUE!</v>
      </c>
      <c r="DJ10" s="310" t="s">
        <v>1180</v>
      </c>
      <c r="DK10" s="286">
        <v>6</v>
      </c>
    </row>
    <row r="11" spans="1:130" ht="15" customHeight="1">
      <c r="A11" s="321">
        <v>45745</v>
      </c>
      <c r="B11" s="322">
        <v>45745</v>
      </c>
      <c r="C11" s="323" t="s">
        <v>1124</v>
      </c>
      <c r="D11" s="323"/>
      <c r="E11" s="324"/>
      <c r="F11" s="324"/>
      <c r="G11" s="335">
        <v>50000</v>
      </c>
      <c r="H11" s="324"/>
      <c r="I11" s="324"/>
      <c r="J11" s="326" t="s">
        <v>1125</v>
      </c>
      <c r="DA11" s="278" t="s">
        <v>66</v>
      </c>
      <c r="DB11" s="279">
        <v>45745</v>
      </c>
      <c r="DC11" s="280" t="e">
        <v>#VALUE!</v>
      </c>
      <c r="DD11" s="281">
        <v>50000</v>
      </c>
      <c r="DE11" s="281" t="e">
        <v>#VALUE!</v>
      </c>
      <c r="DF11" s="281" t="e">
        <v>#VALUE!</v>
      </c>
      <c r="DG11" s="306" t="s">
        <v>1181</v>
      </c>
      <c r="DH11" s="284">
        <v>45745</v>
      </c>
      <c r="DI11" s="284" t="e">
        <v>#VALUE!</v>
      </c>
      <c r="DJ11" s="310" t="s">
        <v>1182</v>
      </c>
      <c r="DK11" s="286">
        <v>7</v>
      </c>
    </row>
    <row r="12" spans="1:130" ht="15" customHeight="1">
      <c r="A12" s="327">
        <v>45745</v>
      </c>
      <c r="B12" s="328">
        <v>45745</v>
      </c>
      <c r="C12" s="334" t="s">
        <v>1126</v>
      </c>
      <c r="D12" s="334"/>
      <c r="E12" s="336"/>
      <c r="F12" s="336"/>
      <c r="G12" s="336"/>
      <c r="H12" s="334" t="s">
        <v>1127</v>
      </c>
      <c r="I12" s="334"/>
      <c r="J12" s="332" t="s">
        <v>1128</v>
      </c>
      <c r="DA12" s="278" t="s">
        <v>66</v>
      </c>
      <c r="DB12" s="279">
        <v>45745</v>
      </c>
      <c r="DC12" s="280" t="s">
        <v>1166</v>
      </c>
      <c r="DD12" s="281" t="e">
        <v>#VALUE!</v>
      </c>
      <c r="DE12" s="281">
        <v>225000</v>
      </c>
      <c r="DF12" s="281">
        <v>225000</v>
      </c>
      <c r="DG12" s="306"/>
      <c r="DH12" s="284">
        <v>45745</v>
      </c>
      <c r="DI12" s="284" t="s">
        <v>762</v>
      </c>
      <c r="DJ12" s="309" t="s">
        <v>1169</v>
      </c>
      <c r="DK12" s="286">
        <v>8</v>
      </c>
    </row>
    <row r="13" spans="1:130" ht="15" customHeight="1">
      <c r="A13" s="321">
        <v>45745</v>
      </c>
      <c r="B13" s="322">
        <v>45745</v>
      </c>
      <c r="C13" s="323" t="s">
        <v>1129</v>
      </c>
      <c r="D13" s="323"/>
      <c r="E13" s="324"/>
      <c r="F13" s="324"/>
      <c r="G13" s="325">
        <v>375</v>
      </c>
      <c r="H13" s="324"/>
      <c r="I13" s="324"/>
      <c r="J13" s="326" t="s">
        <v>1130</v>
      </c>
      <c r="DA13" s="278" t="s">
        <v>66</v>
      </c>
      <c r="DB13" s="279">
        <v>45745</v>
      </c>
      <c r="DC13" s="280" t="e">
        <v>#VALUE!</v>
      </c>
      <c r="DD13" s="281">
        <v>375</v>
      </c>
      <c r="DE13" s="281" t="e">
        <v>#VALUE!</v>
      </c>
      <c r="DF13" s="281" t="e">
        <v>#VALUE!</v>
      </c>
      <c r="DG13" s="306" t="s">
        <v>1183</v>
      </c>
      <c r="DH13" s="284">
        <v>45745</v>
      </c>
      <c r="DI13" s="284" t="e">
        <v>#VALUE!</v>
      </c>
      <c r="DJ13" s="310" t="s">
        <v>1184</v>
      </c>
      <c r="DK13" s="286">
        <v>9</v>
      </c>
    </row>
    <row r="14" spans="1:130" ht="15" customHeight="1">
      <c r="A14" s="327">
        <v>45745</v>
      </c>
      <c r="B14" s="328">
        <v>45745</v>
      </c>
      <c r="C14" s="329" t="s">
        <v>1131</v>
      </c>
      <c r="D14" s="329"/>
      <c r="E14" s="330"/>
      <c r="F14" s="330"/>
      <c r="G14" s="333">
        <v>2715</v>
      </c>
      <c r="H14" s="330"/>
      <c r="I14" s="330"/>
      <c r="J14" s="332" t="s">
        <v>1132</v>
      </c>
      <c r="DA14" s="278" t="s">
        <v>66</v>
      </c>
      <c r="DB14" s="279">
        <v>45745</v>
      </c>
      <c r="DC14" s="280" t="e">
        <v>#VALUE!</v>
      </c>
      <c r="DD14" s="281">
        <v>2715</v>
      </c>
      <c r="DE14" s="281" t="e">
        <v>#VALUE!</v>
      </c>
      <c r="DF14" s="281" t="e">
        <v>#VALUE!</v>
      </c>
      <c r="DG14" s="306" t="s">
        <v>1185</v>
      </c>
      <c r="DH14" s="284">
        <v>45745</v>
      </c>
      <c r="DI14" s="284" t="e">
        <v>#VALUE!</v>
      </c>
      <c r="DJ14" s="310" t="s">
        <v>1186</v>
      </c>
      <c r="DK14" s="286">
        <v>10</v>
      </c>
    </row>
    <row r="15" spans="1:130" ht="15" customHeight="1">
      <c r="A15" s="321">
        <v>45745</v>
      </c>
      <c r="B15" s="322">
        <v>45745</v>
      </c>
      <c r="C15" s="323" t="s">
        <v>1133</v>
      </c>
      <c r="D15" s="323"/>
      <c r="E15" s="324"/>
      <c r="F15" s="324"/>
      <c r="G15" s="335">
        <v>5000</v>
      </c>
      <c r="H15" s="324"/>
      <c r="I15" s="324"/>
      <c r="J15" s="326" t="s">
        <v>1134</v>
      </c>
      <c r="DA15" s="278" t="s">
        <v>66</v>
      </c>
      <c r="DB15" s="279">
        <v>45745</v>
      </c>
      <c r="DC15" s="280" t="e">
        <v>#VALUE!</v>
      </c>
      <c r="DD15" s="281">
        <v>5000</v>
      </c>
      <c r="DE15" s="281" t="e">
        <v>#VALUE!</v>
      </c>
      <c r="DF15" s="281" t="e">
        <v>#VALUE!</v>
      </c>
      <c r="DG15" s="306" t="s">
        <v>1187</v>
      </c>
      <c r="DH15" s="284">
        <v>45745</v>
      </c>
      <c r="DI15" s="284" t="e">
        <v>#VALUE!</v>
      </c>
      <c r="DJ15" s="310" t="s">
        <v>1188</v>
      </c>
      <c r="DK15" s="286">
        <v>11</v>
      </c>
    </row>
    <row r="16" spans="1:130" ht="15" customHeight="1">
      <c r="A16" s="327">
        <v>45743</v>
      </c>
      <c r="B16" s="328">
        <v>45743</v>
      </c>
      <c r="C16" s="329" t="s">
        <v>1135</v>
      </c>
      <c r="D16" s="329"/>
      <c r="E16" s="330"/>
      <c r="F16" s="330"/>
      <c r="G16" s="333">
        <v>18000</v>
      </c>
      <c r="H16" s="330"/>
      <c r="I16" s="330"/>
      <c r="J16" s="332" t="s">
        <v>1136</v>
      </c>
      <c r="DA16" s="278" t="s">
        <v>66</v>
      </c>
      <c r="DB16" s="279">
        <v>45743</v>
      </c>
      <c r="DC16" s="280" t="e">
        <v>#VALUE!</v>
      </c>
      <c r="DD16" s="281">
        <v>18000</v>
      </c>
      <c r="DE16" s="281" t="e">
        <v>#VALUE!</v>
      </c>
      <c r="DF16" s="281" t="e">
        <v>#VALUE!</v>
      </c>
      <c r="DG16" s="306" t="s">
        <v>1189</v>
      </c>
      <c r="DH16" s="284">
        <v>45743</v>
      </c>
      <c r="DI16" s="284" t="e">
        <v>#VALUE!</v>
      </c>
      <c r="DJ16" s="310" t="s">
        <v>1190</v>
      </c>
      <c r="DK16" s="286">
        <v>12</v>
      </c>
    </row>
    <row r="17" spans="1:115" ht="15" customHeight="1">
      <c r="A17" s="321">
        <v>45743</v>
      </c>
      <c r="B17" s="322">
        <v>45743</v>
      </c>
      <c r="C17" s="323" t="s">
        <v>1137</v>
      </c>
      <c r="D17" s="323"/>
      <c r="E17" s="324"/>
      <c r="F17" s="324"/>
      <c r="G17" s="324"/>
      <c r="H17" s="337">
        <v>18000</v>
      </c>
      <c r="I17" s="337"/>
      <c r="J17" s="326" t="s">
        <v>1138</v>
      </c>
      <c r="DA17" s="278" t="s">
        <v>66</v>
      </c>
      <c r="DB17" s="279">
        <v>45743</v>
      </c>
      <c r="DC17" s="280" t="s">
        <v>1167</v>
      </c>
      <c r="DD17" s="281" t="e">
        <v>#VALUE!</v>
      </c>
      <c r="DE17" s="281">
        <v>18000</v>
      </c>
      <c r="DF17" s="281">
        <v>18000</v>
      </c>
      <c r="DG17" s="306" t="s">
        <v>1191</v>
      </c>
      <c r="DH17" s="284">
        <v>45743</v>
      </c>
      <c r="DI17" s="284" t="s">
        <v>762</v>
      </c>
      <c r="DJ17" s="310" t="s">
        <v>1192</v>
      </c>
      <c r="DK17" s="286">
        <v>13</v>
      </c>
    </row>
    <row r="18" spans="1:115" ht="15" customHeight="1">
      <c r="A18" s="327">
        <v>45743</v>
      </c>
      <c r="B18" s="328">
        <v>45743</v>
      </c>
      <c r="C18" s="329" t="s">
        <v>1139</v>
      </c>
      <c r="D18" s="329"/>
      <c r="E18" s="330"/>
      <c r="F18" s="330"/>
      <c r="G18" s="331">
        <v>450</v>
      </c>
      <c r="H18" s="330"/>
      <c r="I18" s="330"/>
      <c r="J18" s="332" t="s">
        <v>1136</v>
      </c>
      <c r="DA18" s="278" t="s">
        <v>66</v>
      </c>
      <c r="DB18" s="279">
        <v>45743</v>
      </c>
      <c r="DC18" s="280" t="e">
        <v>#VALUE!</v>
      </c>
      <c r="DD18" s="281">
        <v>450</v>
      </c>
      <c r="DE18" s="281" t="e">
        <v>#VALUE!</v>
      </c>
      <c r="DF18" s="281" t="e">
        <v>#VALUE!</v>
      </c>
      <c r="DG18" s="306" t="s">
        <v>1193</v>
      </c>
      <c r="DH18" s="284">
        <v>45743</v>
      </c>
      <c r="DI18" s="284" t="e">
        <v>#VALUE!</v>
      </c>
      <c r="DJ18" s="310" t="s">
        <v>1194</v>
      </c>
      <c r="DK18" s="286">
        <v>14</v>
      </c>
    </row>
    <row r="19" spans="1:115" ht="15" customHeight="1">
      <c r="A19" s="321">
        <v>45742</v>
      </c>
      <c r="B19" s="322">
        <v>45742</v>
      </c>
      <c r="C19" s="323" t="s">
        <v>1140</v>
      </c>
      <c r="D19" s="323"/>
      <c r="E19" s="324"/>
      <c r="F19" s="324"/>
      <c r="G19" s="335">
        <v>1500</v>
      </c>
      <c r="H19" s="324"/>
      <c r="I19" s="324"/>
      <c r="J19" s="326" t="s">
        <v>1141</v>
      </c>
      <c r="DA19" s="278" t="s">
        <v>66</v>
      </c>
      <c r="DB19" s="279">
        <v>45742</v>
      </c>
      <c r="DC19" s="280" t="e">
        <v>#VALUE!</v>
      </c>
      <c r="DD19" s="281">
        <v>1500</v>
      </c>
      <c r="DE19" s="281" t="e">
        <v>#VALUE!</v>
      </c>
      <c r="DF19" s="281" t="e">
        <v>#VALUE!</v>
      </c>
      <c r="DG19" s="306" t="s">
        <v>1195</v>
      </c>
      <c r="DH19" s="284">
        <v>45742</v>
      </c>
      <c r="DI19" s="284" t="e">
        <v>#VALUE!</v>
      </c>
      <c r="DJ19" s="310" t="s">
        <v>1196</v>
      </c>
      <c r="DK19" s="286">
        <v>15</v>
      </c>
    </row>
    <row r="20" spans="1:115" ht="15" customHeight="1">
      <c r="A20" s="327">
        <v>45742</v>
      </c>
      <c r="B20" s="328">
        <v>45742</v>
      </c>
      <c r="C20" s="329" t="s">
        <v>1142</v>
      </c>
      <c r="D20" s="329"/>
      <c r="E20" s="330"/>
      <c r="F20" s="330"/>
      <c r="G20" s="331">
        <v>650</v>
      </c>
      <c r="H20" s="330"/>
      <c r="I20" s="330"/>
      <c r="J20" s="332" t="s">
        <v>1143</v>
      </c>
      <c r="DA20" s="278" t="s">
        <v>66</v>
      </c>
      <c r="DB20" s="279">
        <v>45742</v>
      </c>
      <c r="DC20" s="280" t="e">
        <v>#VALUE!</v>
      </c>
      <c r="DD20" s="281">
        <v>650</v>
      </c>
      <c r="DE20" s="281" t="e">
        <v>#VALUE!</v>
      </c>
      <c r="DF20" s="281" t="e">
        <v>#VALUE!</v>
      </c>
      <c r="DG20" s="306" t="s">
        <v>1197</v>
      </c>
      <c r="DH20" s="284">
        <v>45742</v>
      </c>
      <c r="DI20" s="284" t="e">
        <v>#VALUE!</v>
      </c>
      <c r="DJ20" s="310" t="s">
        <v>1198</v>
      </c>
      <c r="DK20" s="286">
        <v>16</v>
      </c>
    </row>
    <row r="21" spans="1:115" ht="15" customHeight="1">
      <c r="A21" s="321">
        <v>45741</v>
      </c>
      <c r="B21" s="322">
        <v>45741</v>
      </c>
      <c r="C21" s="323" t="s">
        <v>1144</v>
      </c>
      <c r="D21" s="323"/>
      <c r="E21" s="324"/>
      <c r="F21" s="324"/>
      <c r="G21" s="324"/>
      <c r="H21" s="335">
        <v>1000</v>
      </c>
      <c r="I21" s="335"/>
      <c r="J21" s="326" t="s">
        <v>1145</v>
      </c>
      <c r="DA21" s="278" t="s">
        <v>66</v>
      </c>
      <c r="DB21" s="279">
        <v>45741</v>
      </c>
      <c r="DC21" s="280" t="s">
        <v>1168</v>
      </c>
      <c r="DD21" s="281" t="e">
        <v>#VALUE!</v>
      </c>
      <c r="DE21" s="281">
        <v>1000</v>
      </c>
      <c r="DF21" s="281">
        <v>1000</v>
      </c>
      <c r="DG21" s="306" t="s">
        <v>1199</v>
      </c>
      <c r="DH21" s="284">
        <v>45741</v>
      </c>
      <c r="DI21" s="284" t="s">
        <v>762</v>
      </c>
      <c r="DJ21" s="310" t="s">
        <v>1200</v>
      </c>
      <c r="DK21" s="286">
        <v>17</v>
      </c>
    </row>
    <row r="22" spans="1:115" ht="15" customHeight="1">
      <c r="A22" s="327">
        <v>45740</v>
      </c>
      <c r="B22" s="328">
        <v>45740</v>
      </c>
      <c r="C22" s="329" t="s">
        <v>1146</v>
      </c>
      <c r="D22" s="329"/>
      <c r="E22" s="330"/>
      <c r="F22" s="330"/>
      <c r="G22" s="333">
        <v>1240</v>
      </c>
      <c r="H22" s="330"/>
      <c r="I22" s="330"/>
      <c r="J22" s="332" t="s">
        <v>1147</v>
      </c>
      <c r="DA22" s="278" t="s">
        <v>66</v>
      </c>
      <c r="DB22" s="279">
        <v>45740</v>
      </c>
      <c r="DC22" s="280" t="e">
        <v>#VALUE!</v>
      </c>
      <c r="DD22" s="281">
        <v>1240</v>
      </c>
      <c r="DE22" s="281" t="e">
        <v>#VALUE!</v>
      </c>
      <c r="DF22" s="281" t="e">
        <v>#VALUE!</v>
      </c>
      <c r="DG22" s="306" t="s">
        <v>1201</v>
      </c>
      <c r="DH22" s="284">
        <v>45740</v>
      </c>
      <c r="DI22" s="284" t="e">
        <v>#VALUE!</v>
      </c>
      <c r="DJ22" s="310" t="s">
        <v>1202</v>
      </c>
      <c r="DK22" s="286">
        <v>18</v>
      </c>
    </row>
    <row r="23" spans="1:115" ht="15" customHeight="1">
      <c r="A23" s="321">
        <v>45740</v>
      </c>
      <c r="B23" s="322">
        <v>45740</v>
      </c>
      <c r="C23" s="323" t="s">
        <v>1148</v>
      </c>
      <c r="D23" s="323"/>
      <c r="E23" s="324"/>
      <c r="F23" s="324"/>
      <c r="G23" s="325">
        <v>575</v>
      </c>
      <c r="H23" s="324"/>
      <c r="I23" s="324"/>
      <c r="J23" s="326" t="s">
        <v>1149</v>
      </c>
      <c r="DA23" s="278" t="s">
        <v>66</v>
      </c>
      <c r="DB23" s="279">
        <v>45740</v>
      </c>
      <c r="DC23" s="280" t="e">
        <v>#VALUE!</v>
      </c>
      <c r="DD23" s="281">
        <v>575</v>
      </c>
      <c r="DE23" s="281" t="e">
        <v>#VALUE!</v>
      </c>
      <c r="DF23" s="281" t="e">
        <v>#VALUE!</v>
      </c>
      <c r="DG23" s="306" t="s">
        <v>1203</v>
      </c>
      <c r="DH23" s="284">
        <v>45740</v>
      </c>
      <c r="DI23" s="284" t="e">
        <v>#VALUE!</v>
      </c>
      <c r="DJ23" s="310" t="s">
        <v>1204</v>
      </c>
      <c r="DK23" s="286">
        <v>19</v>
      </c>
    </row>
    <row r="24" spans="1:115" ht="15" customHeight="1">
      <c r="A24" s="327">
        <v>45740</v>
      </c>
      <c r="B24" s="328">
        <v>45740</v>
      </c>
      <c r="C24" s="329" t="s">
        <v>1150</v>
      </c>
      <c r="D24" s="329"/>
      <c r="E24" s="330"/>
      <c r="F24" s="330"/>
      <c r="G24" s="331">
        <v>518</v>
      </c>
      <c r="H24" s="330"/>
      <c r="I24" s="330"/>
      <c r="J24" s="332" t="s">
        <v>1151</v>
      </c>
      <c r="DA24" s="278" t="s">
        <v>66</v>
      </c>
      <c r="DB24" s="279">
        <v>45740</v>
      </c>
      <c r="DC24" s="280" t="e">
        <v>#VALUE!</v>
      </c>
      <c r="DD24" s="281">
        <v>518</v>
      </c>
      <c r="DE24" s="281" t="e">
        <v>#VALUE!</v>
      </c>
      <c r="DF24" s="281" t="e">
        <v>#VALUE!</v>
      </c>
      <c r="DG24" s="306" t="s">
        <v>1205</v>
      </c>
      <c r="DH24" s="284">
        <v>45740</v>
      </c>
      <c r="DI24" s="284" t="e">
        <v>#VALUE!</v>
      </c>
      <c r="DJ24" s="310" t="s">
        <v>1206</v>
      </c>
      <c r="DK24" s="286">
        <v>20</v>
      </c>
    </row>
    <row r="25" spans="1:115" ht="15" customHeight="1">
      <c r="A25" s="321">
        <v>45740</v>
      </c>
      <c r="B25" s="322">
        <v>45740</v>
      </c>
      <c r="C25" s="323" t="s">
        <v>1152</v>
      </c>
      <c r="D25" s="323"/>
      <c r="E25" s="324"/>
      <c r="F25" s="324"/>
      <c r="G25" s="335">
        <v>1600</v>
      </c>
      <c r="H25" s="324"/>
      <c r="I25" s="324"/>
      <c r="J25" s="326" t="s">
        <v>1153</v>
      </c>
      <c r="DA25" s="278" t="s">
        <v>66</v>
      </c>
      <c r="DB25" s="279">
        <v>45740</v>
      </c>
      <c r="DC25" s="280" t="e">
        <v>#VALUE!</v>
      </c>
      <c r="DD25" s="281">
        <v>1600</v>
      </c>
      <c r="DE25" s="281" t="e">
        <v>#VALUE!</v>
      </c>
      <c r="DF25" s="281" t="e">
        <v>#VALUE!</v>
      </c>
      <c r="DG25" s="306" t="s">
        <v>1207</v>
      </c>
      <c r="DH25" s="284">
        <v>45740</v>
      </c>
      <c r="DI25" s="284" t="e">
        <v>#VALUE!</v>
      </c>
      <c r="DJ25" s="310" t="s">
        <v>1208</v>
      </c>
      <c r="DK25" s="286">
        <v>21</v>
      </c>
    </row>
    <row r="26" spans="1:115" ht="15" customHeight="1">
      <c r="A26" s="327">
        <v>45740</v>
      </c>
      <c r="B26" s="328">
        <v>45740</v>
      </c>
      <c r="C26" s="329" t="s">
        <v>1154</v>
      </c>
      <c r="D26" s="329"/>
      <c r="E26" s="330"/>
      <c r="F26" s="330"/>
      <c r="G26" s="331">
        <v>500</v>
      </c>
      <c r="H26" s="330"/>
      <c r="I26" s="330"/>
      <c r="J26" s="332" t="s">
        <v>1155</v>
      </c>
      <c r="DA26" s="278" t="s">
        <v>66</v>
      </c>
      <c r="DB26" s="279">
        <v>45740</v>
      </c>
      <c r="DC26" s="280" t="e">
        <v>#VALUE!</v>
      </c>
      <c r="DD26" s="281">
        <v>500</v>
      </c>
      <c r="DE26" s="281" t="e">
        <v>#VALUE!</v>
      </c>
      <c r="DF26" s="281" t="e">
        <v>#VALUE!</v>
      </c>
      <c r="DG26" s="306" t="s">
        <v>1209</v>
      </c>
      <c r="DH26" s="284">
        <v>45740</v>
      </c>
      <c r="DI26" s="284" t="e">
        <v>#VALUE!</v>
      </c>
      <c r="DJ26" s="310" t="s">
        <v>1210</v>
      </c>
      <c r="DK26" s="286">
        <v>22</v>
      </c>
    </row>
    <row r="27" spans="1:115" ht="15" customHeight="1">
      <c r="A27" s="321">
        <v>45740</v>
      </c>
      <c r="B27" s="322">
        <v>45740</v>
      </c>
      <c r="C27" s="323" t="s">
        <v>1156</v>
      </c>
      <c r="D27" s="323"/>
      <c r="E27" s="324"/>
      <c r="F27" s="324"/>
      <c r="G27" s="325">
        <v>372</v>
      </c>
      <c r="H27" s="324"/>
      <c r="I27" s="324"/>
      <c r="J27" s="326" t="s">
        <v>1157</v>
      </c>
      <c r="DA27" s="278" t="s">
        <v>66</v>
      </c>
      <c r="DB27" s="279">
        <v>45740</v>
      </c>
      <c r="DC27" s="280" t="e">
        <v>#VALUE!</v>
      </c>
      <c r="DD27" s="281">
        <v>372</v>
      </c>
      <c r="DE27" s="281" t="e">
        <v>#VALUE!</v>
      </c>
      <c r="DF27" s="281" t="e">
        <v>#VALUE!</v>
      </c>
      <c r="DG27" s="306" t="s">
        <v>1211</v>
      </c>
      <c r="DH27" s="284">
        <v>45740</v>
      </c>
      <c r="DI27" s="284" t="e">
        <v>#VALUE!</v>
      </c>
      <c r="DJ27" s="310" t="s">
        <v>1212</v>
      </c>
      <c r="DK27" s="286">
        <v>23</v>
      </c>
    </row>
    <row r="28" spans="1:115" ht="15" customHeight="1">
      <c r="A28" s="327">
        <v>45740</v>
      </c>
      <c r="B28" s="328">
        <v>45740</v>
      </c>
      <c r="C28" s="329" t="s">
        <v>1158</v>
      </c>
      <c r="D28" s="329"/>
      <c r="E28" s="330"/>
      <c r="F28" s="330"/>
      <c r="G28" s="331">
        <v>300.89999999999998</v>
      </c>
      <c r="H28" s="330"/>
      <c r="I28" s="330"/>
      <c r="J28" s="332" t="s">
        <v>1159</v>
      </c>
      <c r="DA28" s="278" t="s">
        <v>66</v>
      </c>
      <c r="DB28" s="279">
        <v>45740</v>
      </c>
      <c r="DC28" s="280" t="e">
        <v>#VALUE!</v>
      </c>
      <c r="DD28" s="281">
        <v>300.89999999999998</v>
      </c>
      <c r="DE28" s="281" t="e">
        <v>#VALUE!</v>
      </c>
      <c r="DF28" s="281" t="e">
        <v>#VALUE!</v>
      </c>
      <c r="DG28" s="306" t="s">
        <v>1213</v>
      </c>
      <c r="DH28" s="284">
        <v>45740</v>
      </c>
      <c r="DI28" s="284" t="e">
        <v>#VALUE!</v>
      </c>
      <c r="DJ28" s="310" t="s">
        <v>1214</v>
      </c>
      <c r="DK28" s="286">
        <v>24</v>
      </c>
    </row>
    <row r="29" spans="1:115" ht="15" customHeight="1">
      <c r="A29" s="321">
        <v>45740</v>
      </c>
      <c r="B29" s="322">
        <v>45740</v>
      </c>
      <c r="C29" s="323" t="s">
        <v>1160</v>
      </c>
      <c r="D29" s="323"/>
      <c r="E29" s="324"/>
      <c r="F29" s="324"/>
      <c r="G29" s="325">
        <v>518</v>
      </c>
      <c r="H29" s="324"/>
      <c r="I29" s="324"/>
      <c r="J29" s="326" t="s">
        <v>1161</v>
      </c>
      <c r="DA29" s="278" t="s">
        <v>66</v>
      </c>
      <c r="DB29" s="279">
        <v>45740</v>
      </c>
      <c r="DC29" s="280" t="e">
        <v>#VALUE!</v>
      </c>
      <c r="DD29" s="281">
        <v>518</v>
      </c>
      <c r="DE29" s="281" t="e">
        <v>#VALUE!</v>
      </c>
      <c r="DF29" s="281" t="e">
        <v>#VALUE!</v>
      </c>
      <c r="DG29" s="306" t="s">
        <v>1215</v>
      </c>
      <c r="DH29" s="284">
        <v>45740</v>
      </c>
      <c r="DI29" s="284" t="e">
        <v>#VALUE!</v>
      </c>
      <c r="DJ29" s="310" t="s">
        <v>1216</v>
      </c>
      <c r="DK29" s="286">
        <v>25</v>
      </c>
    </row>
    <row r="30" spans="1:115" ht="15" customHeight="1">
      <c r="A30" s="327">
        <v>45737</v>
      </c>
      <c r="B30" s="328">
        <v>45737</v>
      </c>
      <c r="C30" s="329" t="s">
        <v>1162</v>
      </c>
      <c r="D30" s="329"/>
      <c r="E30" s="330"/>
      <c r="F30" s="330"/>
      <c r="G30" s="331">
        <v>920</v>
      </c>
      <c r="H30" s="330"/>
      <c r="I30" s="330"/>
      <c r="J30" s="332" t="s">
        <v>1163</v>
      </c>
      <c r="DA30" s="278" t="s">
        <v>66</v>
      </c>
      <c r="DB30" s="279">
        <v>45737</v>
      </c>
      <c r="DC30" s="280" t="e">
        <v>#VALUE!</v>
      </c>
      <c r="DD30" s="281">
        <v>920</v>
      </c>
      <c r="DE30" s="281" t="e">
        <v>#VALUE!</v>
      </c>
      <c r="DF30" s="281" t="e">
        <v>#VALUE!</v>
      </c>
      <c r="DG30" s="306" t="s">
        <v>1217</v>
      </c>
      <c r="DH30" s="284">
        <v>45737</v>
      </c>
      <c r="DI30" s="284" t="e">
        <v>#VALUE!</v>
      </c>
      <c r="DJ30" s="310" t="s">
        <v>1218</v>
      </c>
      <c r="DK30" s="286">
        <v>26</v>
      </c>
    </row>
    <row r="31" spans="1:115" ht="15" customHeight="1">
      <c r="A31" s="321">
        <v>45737</v>
      </c>
      <c r="B31" s="322">
        <v>45737</v>
      </c>
      <c r="C31" s="338" t="s">
        <v>1164</v>
      </c>
      <c r="D31" s="338"/>
      <c r="E31" s="339"/>
      <c r="F31" s="339"/>
      <c r="G31" s="335">
        <v>16367</v>
      </c>
      <c r="H31" s="339"/>
      <c r="I31" s="339"/>
      <c r="J31" s="326" t="s">
        <v>1165</v>
      </c>
      <c r="DA31" s="278" t="s">
        <v>66</v>
      </c>
      <c r="DB31" s="279">
        <v>45737</v>
      </c>
      <c r="DC31" s="280" t="e">
        <v>#VALUE!</v>
      </c>
      <c r="DD31" s="281">
        <v>16367</v>
      </c>
      <c r="DE31" s="281" t="e">
        <v>#VALUE!</v>
      </c>
      <c r="DF31" s="281" t="e">
        <v>#VALUE!</v>
      </c>
      <c r="DG31" s="306" t="s">
        <v>1219</v>
      </c>
      <c r="DH31" s="284">
        <v>45737</v>
      </c>
      <c r="DI31" s="284" t="e">
        <v>#VALUE!</v>
      </c>
      <c r="DJ31" s="309" t="s">
        <v>1220</v>
      </c>
      <c r="DK31" s="286">
        <v>27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 DH5:DH31 DJ5:DJ31 DA5:DB31" name="Range1_9_1"/>
    <protectedRange algorithmName="SHA-512" hashValue="FeHjunJeBmEIe1Z+x4LSLD0xeXKoeHqEB4mLNgYC3pUDxBFAiT2e1scH7F48tQXpPGOh+9Z9iw2K5jb0kUxFkQ==" saltValue="Arxg+XESKZddo6Y2q+NDbg==" spinCount="100000" sqref="DD3:DF3 DD5:DF31" name="Range1_1_6_1"/>
    <protectedRange algorithmName="SHA-512" hashValue="FeHjunJeBmEIe1Z+x4LSLD0xeXKoeHqEB4mLNgYC3pUDxBFAiT2e1scH7F48tQXpPGOh+9Z9iw2K5jb0kUxFkQ==" saltValue="Arxg+XESKZddo6Y2q+NDbg==" spinCount="100000" sqref="DI3 DI5:DI31" name="Range1_2_6_1"/>
    <protectedRange algorithmName="SHA-512" hashValue="FeHjunJeBmEIe1Z+x4LSLD0xeXKoeHqEB4mLNgYC3pUDxBFAiT2e1scH7F48tQXpPGOh+9Z9iw2K5jb0kUxFkQ==" saltValue="Arxg+XESKZddo6Y2q+NDbg==" spinCount="100000" sqref="DK3 DK5:DK31" name="Range1_3_5_1"/>
    <protectedRange algorithmName="SHA-512" hashValue="FeHjunJeBmEIe1Z+x4LSLD0xeXKoeHqEB4mLNgYC3pUDxBFAiT2e1scH7F48tQXpPGOh+9Z9iw2K5jb0kUxFkQ==" saltValue="Arxg+XESKZddo6Y2q+NDbg==" spinCount="100000" sqref="DC3 DC5:DC31" name="Range1_7_1"/>
  </protectedRanges>
  <mergeCells count="3">
    <mergeCell ref="C4:D4"/>
    <mergeCell ref="E4:F4"/>
    <mergeCell ref="H4:I4"/>
  </mergeCells>
  <conditionalFormatting sqref="E3 I1:I2">
    <cfRule type="cellIs" dxfId="649" priority="10" operator="equal">
      <formula>#N/A</formula>
    </cfRule>
  </conditionalFormatting>
  <conditionalFormatting sqref="H1">
    <cfRule type="cellIs" dxfId="648" priority="9" operator="equal">
      <formula>#N/A</formula>
    </cfRule>
  </conditionalFormatting>
  <conditionalFormatting sqref="E1">
    <cfRule type="cellIs" dxfId="647" priority="8" operator="equal">
      <formula>#N/A</formula>
    </cfRule>
  </conditionalFormatting>
  <conditionalFormatting sqref="I1">
    <cfRule type="containsText" dxfId="646" priority="6" operator="containsText" text="All Data Import Successfully">
      <formula>NOT(ISERROR(SEARCH("All Data Import Successfully",I1)))</formula>
    </cfRule>
    <cfRule type="containsText" dxfId="645" priority="7" operator="containsText" text="Difference Entry">
      <formula>NOT(ISERROR(SEARCH("Difference Entry",I1)))</formula>
    </cfRule>
  </conditionalFormatting>
  <conditionalFormatting sqref="DG2">
    <cfRule type="cellIs" dxfId="644" priority="5" operator="equal">
      <formula>#N/A</formula>
    </cfRule>
  </conditionalFormatting>
  <conditionalFormatting sqref="DH2:DI2">
    <cfRule type="cellIs" dxfId="643" priority="4" operator="equal">
      <formula>#N/A</formula>
    </cfRule>
  </conditionalFormatting>
  <conditionalFormatting sqref="E2:G2">
    <cfRule type="cellIs" dxfId="642" priority="3" operator="equal">
      <formula>#N/A</formula>
    </cfRule>
  </conditionalFormatting>
  <conditionalFormatting sqref="H2">
    <cfRule type="cellIs" dxfId="641" priority="2" operator="equal">
      <formula>#N/A</formula>
    </cfRule>
  </conditionalFormatting>
  <conditionalFormatting sqref="I2">
    <cfRule type="cellIs" dxfId="64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IF(L3="",VALUE("0"),VALUE(SUBSTITUTE((L3),",","")))</f>
        <v>#VALUE!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6" t="s">
        <v>51</v>
      </c>
      <c r="B4" s="46"/>
      <c r="C4" s="46"/>
      <c r="D4" s="46" t="s">
        <v>52</v>
      </c>
      <c r="E4" s="46"/>
      <c r="F4" s="46"/>
      <c r="G4" s="46"/>
      <c r="H4" s="356" t="s">
        <v>53</v>
      </c>
      <c r="I4" s="356"/>
      <c r="J4" s="46"/>
      <c r="K4" s="46"/>
      <c r="L4" s="46" t="s">
        <v>54</v>
      </c>
      <c r="M4" s="46"/>
      <c r="N4" s="46"/>
      <c r="O4" s="46"/>
      <c r="P4" s="46"/>
      <c r="Q4" s="46" t="s">
        <v>55</v>
      </c>
      <c r="R4" s="46"/>
      <c r="S4" s="46"/>
      <c r="T4" s="46"/>
      <c r="U4" s="47"/>
      <c r="V4" s="46"/>
      <c r="W4" s="46" t="s">
        <v>56</v>
      </c>
      <c r="X4" s="46"/>
      <c r="DA4" s="48" t="str">
        <f>+DA3</f>
        <v>Bank of Baroda A/c.</v>
      </c>
    </row>
  </sheetData>
  <sheetProtection algorithmName="SHA-512" hashValue="EG5VoUMm04Bvjy1ZZSVG19j6C0vVXvWGs7+ya2X3MyzQbXm15UcjyTcCuh0hSgfu1CUzsgKJiuaARYYgBT2KmQ==" saltValue="nsH1tN0L3rXlAzA3+8oU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174" priority="10" operator="equal">
      <formula>#N/A</formula>
    </cfRule>
  </conditionalFormatting>
  <conditionalFormatting sqref="H1">
    <cfRule type="cellIs" dxfId="173" priority="9" operator="equal">
      <formula>#N/A</formula>
    </cfRule>
  </conditionalFormatting>
  <conditionalFormatting sqref="E1">
    <cfRule type="cellIs" dxfId="172" priority="8" operator="equal">
      <formula>#N/A</formula>
    </cfRule>
  </conditionalFormatting>
  <conditionalFormatting sqref="I1">
    <cfRule type="containsText" dxfId="171" priority="6" operator="containsText" text="All Data Import Successfully">
      <formula>NOT(ISERROR(SEARCH("All Data Import Successfully",I1)))</formula>
    </cfRule>
    <cfRule type="containsText" dxfId="170" priority="7" operator="containsText" text="Difference Entry">
      <formula>NOT(ISERROR(SEARCH("Difference Entry",I1)))</formula>
    </cfRule>
  </conditionalFormatting>
  <conditionalFormatting sqref="DG2">
    <cfRule type="cellIs" dxfId="169" priority="5" operator="equal">
      <formula>#N/A</formula>
    </cfRule>
  </conditionalFormatting>
  <conditionalFormatting sqref="DH2:DI2">
    <cfRule type="cellIs" dxfId="168" priority="4" operator="equal">
      <formula>#N/A</formula>
    </cfRule>
  </conditionalFormatting>
  <conditionalFormatting sqref="E2:G2">
    <cfRule type="cellIs" dxfId="167" priority="3" operator="equal">
      <formula>#N/A</formula>
    </cfRule>
  </conditionalFormatting>
  <conditionalFormatting sqref="H2">
    <cfRule type="cellIs" dxfId="166" priority="2" operator="equal">
      <formula>#N/A</formula>
    </cfRule>
  </conditionalFormatting>
  <conditionalFormatting sqref="I2">
    <cfRule type="cellIs" dxfId="16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208</v>
      </c>
      <c r="T1" s="92">
        <v>7</v>
      </c>
      <c r="U1" s="92" t="s">
        <v>172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103</v>
      </c>
      <c r="B3" s="56"/>
      <c r="C3" s="55"/>
      <c r="D3" s="55" t="s">
        <v>209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4" t="s">
        <v>104</v>
      </c>
      <c r="B4" s="125" t="s">
        <v>17</v>
      </c>
      <c r="C4" s="125" t="s">
        <v>19</v>
      </c>
      <c r="D4" s="125" t="s">
        <v>105</v>
      </c>
      <c r="E4" s="125" t="s">
        <v>106</v>
      </c>
      <c r="F4" s="125" t="s">
        <v>107</v>
      </c>
      <c r="G4" s="126" t="s">
        <v>108</v>
      </c>
      <c r="DA4" s="38" t="str">
        <f>+DA3</f>
        <v>Bank of India A/c.</v>
      </c>
      <c r="DD4" s="50"/>
      <c r="DE4" s="50"/>
    </row>
  </sheetData>
  <sheetProtection algorithmName="SHA-512" hashValue="C03a9fHrnS6KbG4mV2wz8XEzMS9EuLUmI40S0QoRM3nYt9B5fvB3119WZpWwnxHJIbH6KlndHtbx7qMKg0aSmg==" saltValue="NQGGYdhmZH5b+Yer80qGz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16" priority="18" operator="equal">
      <formula>#N/A</formula>
    </cfRule>
  </conditionalFormatting>
  <conditionalFormatting sqref="DG2">
    <cfRule type="cellIs" dxfId="215" priority="13" operator="equal">
      <formula>#N/A</formula>
    </cfRule>
  </conditionalFormatting>
  <conditionalFormatting sqref="DH2:DI2">
    <cfRule type="cellIs" dxfId="214" priority="12" operator="equal">
      <formula>#N/A</formula>
    </cfRule>
  </conditionalFormatting>
  <conditionalFormatting sqref="I1:I2">
    <cfRule type="cellIs" dxfId="213" priority="8" operator="equal">
      <formula>#N/A</formula>
    </cfRule>
  </conditionalFormatting>
  <conditionalFormatting sqref="H1">
    <cfRule type="cellIs" dxfId="212" priority="7" operator="equal">
      <formula>#N/A</formula>
    </cfRule>
  </conditionalFormatting>
  <conditionalFormatting sqref="E1">
    <cfRule type="cellIs" dxfId="211" priority="6" operator="equal">
      <formula>#N/A</formula>
    </cfRule>
  </conditionalFormatting>
  <conditionalFormatting sqref="I1">
    <cfRule type="containsText" dxfId="210" priority="4" operator="containsText" text="All Data Import Successfully">
      <formula>NOT(ISERROR(SEARCH("All Data Import Successfully",I1)))</formula>
    </cfRule>
    <cfRule type="containsText" dxfId="209" priority="5" operator="containsText" text="Difference Entry">
      <formula>NOT(ISERROR(SEARCH("Difference Entry",I1)))</formula>
    </cfRule>
  </conditionalFormatting>
  <conditionalFormatting sqref="E2:G2">
    <cfRule type="cellIs" dxfId="208" priority="3" operator="equal">
      <formula>#N/A</formula>
    </cfRule>
  </conditionalFormatting>
  <conditionalFormatting sqref="H2">
    <cfRule type="cellIs" dxfId="207" priority="2" operator="equal">
      <formula>#N/A</formula>
    </cfRule>
  </conditionalFormatting>
  <conditionalFormatting sqref="I2">
    <cfRule type="cellIs" dxfId="20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2D79-76D2-4118-B849-720796A6EF6A}">
  <sheetPr codeName="Sheet65">
    <tabColor theme="8" tint="0.79998168889431442"/>
  </sheetPr>
  <dimension ref="A1:DZ4"/>
  <sheetViews>
    <sheetView workbookViewId="0">
      <selection activeCell="D38" sqref="D38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 xml:space="preserve">Bank of India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1094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Bank of India </v>
      </c>
      <c r="DB3" s="24">
        <f>+VALUE(B3)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302" t="s">
        <v>6</v>
      </c>
      <c r="DH3" s="28">
        <f>+VALUE(B3)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11" t="s">
        <v>1088</v>
      </c>
      <c r="B4" s="311" t="s">
        <v>1089</v>
      </c>
      <c r="C4" s="311"/>
      <c r="D4" s="311" t="s">
        <v>1090</v>
      </c>
      <c r="E4" s="311"/>
      <c r="F4" s="311" t="s">
        <v>1091</v>
      </c>
      <c r="G4" s="312" t="s">
        <v>1092</v>
      </c>
      <c r="H4" s="312" t="s">
        <v>1093</v>
      </c>
      <c r="DA4" s="38" t="str">
        <f>+DA3</f>
        <v xml:space="preserve">Bank of India </v>
      </c>
    </row>
  </sheetData>
  <sheetProtection algorithmName="SHA-512" hashValue="Kkbd1dEFKtBPaKAnKOzsWWPmYSWHzwlHUNW8ZgkVAMUDp/4DuoYC8SHHUoFk+kkp/2IkuqVdvqg17jFtPp6rBw==" saltValue="ec8Q4j+YLBAaadYuz/xE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429" priority="10" operator="equal">
      <formula>#N/A</formula>
    </cfRule>
  </conditionalFormatting>
  <conditionalFormatting sqref="H1">
    <cfRule type="cellIs" dxfId="428" priority="9" operator="equal">
      <formula>#N/A</formula>
    </cfRule>
  </conditionalFormatting>
  <conditionalFormatting sqref="E1">
    <cfRule type="cellIs" dxfId="427" priority="8" operator="equal">
      <formula>#N/A</formula>
    </cfRule>
  </conditionalFormatting>
  <conditionalFormatting sqref="I1">
    <cfRule type="containsText" dxfId="426" priority="6" operator="containsText" text="All Data Import Successfully">
      <formula>NOT(ISERROR(SEARCH("All Data Import Successfully",I1)))</formula>
    </cfRule>
    <cfRule type="containsText" dxfId="425" priority="7" operator="containsText" text="Difference Entry">
      <formula>NOT(ISERROR(SEARCH("Difference Entry",I1)))</formula>
    </cfRule>
  </conditionalFormatting>
  <conditionalFormatting sqref="DG2">
    <cfRule type="cellIs" dxfId="424" priority="5" operator="equal">
      <formula>#N/A</formula>
    </cfRule>
  </conditionalFormatting>
  <conditionalFormatting sqref="DH2:DI2">
    <cfRule type="cellIs" dxfId="423" priority="4" operator="equal">
      <formula>#N/A</formula>
    </cfRule>
  </conditionalFormatting>
  <conditionalFormatting sqref="E2:G2">
    <cfRule type="cellIs" dxfId="422" priority="3" operator="equal">
      <formula>#N/A</formula>
    </cfRule>
  </conditionalFormatting>
  <conditionalFormatting sqref="H2">
    <cfRule type="cellIs" dxfId="421" priority="2" operator="equal">
      <formula>#N/A</formula>
    </cfRule>
  </conditionalFormatting>
  <conditionalFormatting sqref="I2">
    <cfRule type="cellIs" dxfId="42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4A94-46F0-4AB5-AD35-4EC537ECC85A}">
  <sheetPr codeName="Sheet61"/>
  <dimension ref="A1:DZ294"/>
  <sheetViews>
    <sheetView zoomScale="106" zoomScaleNormal="106" workbookViewId="0">
      <selection activeCell="E11" sqref="E11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0" width="24.7109375" style="6" customWidth="1"/>
    <col min="111" max="111" width="54.140625" style="6" bestFit="1" customWidth="1"/>
    <col min="112" max="113" width="24.7109375" style="6" customWidth="1"/>
    <col min="114" max="114" width="132" style="6" bestFit="1" customWidth="1"/>
    <col min="11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6</v>
      </c>
      <c r="U1" s="92" t="s">
        <v>184</v>
      </c>
      <c r="V1" s="92" t="s">
        <v>197</v>
      </c>
      <c r="W1" s="92" t="s">
        <v>181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430</v>
      </c>
      <c r="B3" s="56"/>
      <c r="C3" s="55"/>
      <c r="D3" s="55" t="s">
        <v>433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Canara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IF(C3=" ",VALUE("0"),VALUE(SUBSTITUTE((C3),",","")))</f>
        <v>#VALUE!</v>
      </c>
      <c r="DE3" s="26" t="e">
        <f>IF(D3=" ",VALUE("0"),VALUE(SUBSTITUTE((D3),",","")))</f>
        <v>#VALUE!</v>
      </c>
      <c r="DF3" s="26" t="e">
        <f>IF(E3=" ","",VALUE(SUBSTITUTE((SUBSTITUTE((E3),"Cr","")),",","")))</f>
        <v>#VALUE!</v>
      </c>
      <c r="DG3" s="294" t="s">
        <v>6</v>
      </c>
      <c r="DH3" s="28" t="e">
        <f>+VALUE(A3)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91" t="s">
        <v>32</v>
      </c>
      <c r="B4" s="292" t="s">
        <v>431</v>
      </c>
      <c r="C4" s="292" t="s">
        <v>68</v>
      </c>
      <c r="D4" s="292" t="s">
        <v>69</v>
      </c>
      <c r="E4" s="292" t="s">
        <v>11</v>
      </c>
      <c r="F4" s="293" t="s">
        <v>125</v>
      </c>
      <c r="DA4" s="38" t="str">
        <f>+DA3</f>
        <v>Canara Bank</v>
      </c>
    </row>
    <row r="5" spans="1:130">
      <c r="DJ5" s="295"/>
    </row>
    <row r="6" spans="1:130">
      <c r="DJ6" s="295"/>
    </row>
    <row r="7" spans="1:130">
      <c r="DJ7" s="295"/>
    </row>
    <row r="8" spans="1:130">
      <c r="DJ8" s="295"/>
    </row>
    <row r="9" spans="1:130">
      <c r="DJ9" s="295"/>
    </row>
    <row r="10" spans="1:130">
      <c r="DJ10" s="295"/>
    </row>
    <row r="11" spans="1:130">
      <c r="DJ11" s="295"/>
    </row>
    <row r="12" spans="1:130">
      <c r="DJ12" s="295"/>
    </row>
    <row r="13" spans="1:130">
      <c r="DJ13" s="295"/>
    </row>
    <row r="14" spans="1:130">
      <c r="DJ14" s="295"/>
    </row>
    <row r="15" spans="1:130">
      <c r="DJ15" s="295"/>
    </row>
    <row r="16" spans="1:130">
      <c r="DJ16" s="295"/>
    </row>
    <row r="17" spans="114:114">
      <c r="DJ17" s="295"/>
    </row>
    <row r="18" spans="114:114">
      <c r="DJ18" s="295"/>
    </row>
    <row r="19" spans="114:114">
      <c r="DJ19" s="295"/>
    </row>
    <row r="20" spans="114:114">
      <c r="DJ20" s="295"/>
    </row>
    <row r="21" spans="114:114">
      <c r="DJ21" s="295"/>
    </row>
    <row r="22" spans="114:114">
      <c r="DJ22" s="295"/>
    </row>
    <row r="23" spans="114:114">
      <c r="DJ23" s="295"/>
    </row>
    <row r="24" spans="114:114">
      <c r="DJ24" s="295"/>
    </row>
    <row r="25" spans="114:114">
      <c r="DJ25" s="295"/>
    </row>
    <row r="26" spans="114:114">
      <c r="DJ26" s="295"/>
    </row>
    <row r="27" spans="114:114">
      <c r="DJ27" s="295"/>
    </row>
    <row r="28" spans="114:114">
      <c r="DJ28" s="295"/>
    </row>
    <row r="29" spans="114:114">
      <c r="DJ29" s="295"/>
    </row>
    <row r="30" spans="114:114">
      <c r="DJ30" s="295"/>
    </row>
    <row r="31" spans="114:114">
      <c r="DJ31" s="295"/>
    </row>
    <row r="32" spans="114:114">
      <c r="DJ32" s="295"/>
    </row>
    <row r="33" spans="114:114">
      <c r="DJ33" s="295"/>
    </row>
    <row r="34" spans="114:114">
      <c r="DJ34" s="295"/>
    </row>
    <row r="35" spans="114:114">
      <c r="DJ35" s="295"/>
    </row>
    <row r="36" spans="114:114">
      <c r="DJ36" s="295"/>
    </row>
    <row r="37" spans="114:114">
      <c r="DJ37" s="295"/>
    </row>
    <row r="38" spans="114:114">
      <c r="DJ38" s="295"/>
    </row>
    <row r="39" spans="114:114">
      <c r="DJ39" s="295"/>
    </row>
    <row r="40" spans="114:114">
      <c r="DJ40" s="295"/>
    </row>
    <row r="41" spans="114:114">
      <c r="DJ41" s="295"/>
    </row>
    <row r="42" spans="114:114">
      <c r="DJ42" s="295"/>
    </row>
    <row r="43" spans="114:114">
      <c r="DJ43" s="295"/>
    </row>
    <row r="44" spans="114:114">
      <c r="DJ44" s="295"/>
    </row>
    <row r="45" spans="114:114">
      <c r="DJ45" s="295"/>
    </row>
    <row r="46" spans="114:114">
      <c r="DJ46" s="295"/>
    </row>
    <row r="47" spans="114:114">
      <c r="DJ47" s="295"/>
    </row>
    <row r="48" spans="114:114">
      <c r="DJ48" s="295"/>
    </row>
    <row r="49" spans="114:114">
      <c r="DJ49" s="295"/>
    </row>
    <row r="50" spans="114:114">
      <c r="DJ50" s="295"/>
    </row>
    <row r="51" spans="114:114">
      <c r="DJ51" s="295"/>
    </row>
    <row r="52" spans="114:114">
      <c r="DJ52" s="295"/>
    </row>
    <row r="53" spans="114:114">
      <c r="DJ53" s="295"/>
    </row>
    <row r="54" spans="114:114">
      <c r="DJ54" s="295"/>
    </row>
    <row r="55" spans="114:114">
      <c r="DJ55" s="295"/>
    </row>
    <row r="56" spans="114:114">
      <c r="DJ56" s="295"/>
    </row>
    <row r="57" spans="114:114">
      <c r="DJ57" s="295"/>
    </row>
    <row r="58" spans="114:114">
      <c r="DJ58" s="295"/>
    </row>
    <row r="59" spans="114:114">
      <c r="DJ59" s="295"/>
    </row>
    <row r="60" spans="114:114">
      <c r="DJ60" s="295"/>
    </row>
    <row r="61" spans="114:114">
      <c r="DJ61" s="295"/>
    </row>
    <row r="62" spans="114:114">
      <c r="DJ62" s="295"/>
    </row>
    <row r="63" spans="114:114">
      <c r="DJ63" s="295"/>
    </row>
    <row r="64" spans="114:114">
      <c r="DJ64" s="295"/>
    </row>
    <row r="65" spans="114:114">
      <c r="DJ65" s="295"/>
    </row>
    <row r="66" spans="114:114">
      <c r="DJ66" s="295"/>
    </row>
    <row r="67" spans="114:114">
      <c r="DJ67" s="295"/>
    </row>
    <row r="68" spans="114:114">
      <c r="DJ68" s="295"/>
    </row>
    <row r="69" spans="114:114">
      <c r="DJ69" s="295"/>
    </row>
    <row r="70" spans="114:114">
      <c r="DJ70" s="295"/>
    </row>
    <row r="71" spans="114:114">
      <c r="DJ71" s="295"/>
    </row>
    <row r="72" spans="114:114">
      <c r="DJ72" s="295"/>
    </row>
    <row r="73" spans="114:114">
      <c r="DJ73" s="295"/>
    </row>
    <row r="74" spans="114:114">
      <c r="DJ74" s="295"/>
    </row>
    <row r="75" spans="114:114">
      <c r="DJ75" s="295"/>
    </row>
    <row r="76" spans="114:114">
      <c r="DJ76" s="295"/>
    </row>
    <row r="77" spans="114:114">
      <c r="DJ77" s="295"/>
    </row>
    <row r="78" spans="114:114">
      <c r="DJ78" s="295"/>
    </row>
    <row r="79" spans="114:114">
      <c r="DJ79" s="295"/>
    </row>
    <row r="80" spans="114:114">
      <c r="DJ80" s="295"/>
    </row>
    <row r="81" spans="114:114">
      <c r="DJ81" s="295"/>
    </row>
    <row r="82" spans="114:114">
      <c r="DJ82" s="295"/>
    </row>
    <row r="83" spans="114:114">
      <c r="DJ83" s="295"/>
    </row>
    <row r="84" spans="114:114">
      <c r="DJ84" s="295"/>
    </row>
    <row r="85" spans="114:114">
      <c r="DJ85" s="295"/>
    </row>
    <row r="86" spans="114:114">
      <c r="DJ86" s="295"/>
    </row>
    <row r="87" spans="114:114">
      <c r="DJ87" s="295"/>
    </row>
    <row r="88" spans="114:114">
      <c r="DJ88" s="295"/>
    </row>
    <row r="89" spans="114:114">
      <c r="DJ89" s="295"/>
    </row>
    <row r="90" spans="114:114">
      <c r="DJ90" s="295"/>
    </row>
    <row r="91" spans="114:114">
      <c r="DJ91" s="295"/>
    </row>
    <row r="92" spans="114:114">
      <c r="DJ92" s="295"/>
    </row>
    <row r="93" spans="114:114">
      <c r="DJ93" s="295"/>
    </row>
    <row r="94" spans="114:114">
      <c r="DJ94" s="295"/>
    </row>
    <row r="95" spans="114:114">
      <c r="DJ95" s="295"/>
    </row>
    <row r="96" spans="114:114">
      <c r="DJ96" s="295"/>
    </row>
    <row r="97" spans="114:114">
      <c r="DJ97" s="295"/>
    </row>
    <row r="98" spans="114:114">
      <c r="DJ98" s="295"/>
    </row>
    <row r="99" spans="114:114">
      <c r="DJ99" s="295"/>
    </row>
    <row r="100" spans="114:114">
      <c r="DJ100" s="295"/>
    </row>
    <row r="101" spans="114:114">
      <c r="DJ101" s="295"/>
    </row>
    <row r="102" spans="114:114">
      <c r="DJ102" s="295"/>
    </row>
    <row r="103" spans="114:114">
      <c r="DJ103" s="295"/>
    </row>
    <row r="104" spans="114:114">
      <c r="DJ104" s="295"/>
    </row>
    <row r="105" spans="114:114">
      <c r="DJ105" s="295"/>
    </row>
    <row r="106" spans="114:114">
      <c r="DJ106" s="295"/>
    </row>
    <row r="107" spans="114:114">
      <c r="DJ107" s="295"/>
    </row>
    <row r="108" spans="114:114">
      <c r="DJ108" s="295"/>
    </row>
    <row r="109" spans="114:114">
      <c r="DJ109" s="295"/>
    </row>
    <row r="110" spans="114:114">
      <c r="DJ110" s="295"/>
    </row>
    <row r="111" spans="114:114">
      <c r="DJ111" s="295"/>
    </row>
    <row r="112" spans="114:114">
      <c r="DJ112" s="295"/>
    </row>
    <row r="113" spans="114:114">
      <c r="DJ113" s="295"/>
    </row>
    <row r="114" spans="114:114">
      <c r="DJ114" s="295"/>
    </row>
    <row r="115" spans="114:114">
      <c r="DJ115" s="295"/>
    </row>
    <row r="116" spans="114:114">
      <c r="DJ116" s="295"/>
    </row>
    <row r="117" spans="114:114">
      <c r="DJ117" s="295"/>
    </row>
    <row r="118" spans="114:114">
      <c r="DJ118" s="295"/>
    </row>
    <row r="119" spans="114:114">
      <c r="DJ119" s="295"/>
    </row>
    <row r="120" spans="114:114">
      <c r="DJ120" s="295"/>
    </row>
    <row r="121" spans="114:114">
      <c r="DJ121" s="295"/>
    </row>
    <row r="122" spans="114:114">
      <c r="DJ122" s="295"/>
    </row>
    <row r="123" spans="114:114">
      <c r="DJ123" s="295"/>
    </row>
    <row r="124" spans="114:114">
      <c r="DJ124" s="295"/>
    </row>
    <row r="125" spans="114:114">
      <c r="DJ125" s="295"/>
    </row>
    <row r="126" spans="114:114">
      <c r="DJ126" s="295"/>
    </row>
    <row r="127" spans="114:114">
      <c r="DJ127" s="295"/>
    </row>
    <row r="128" spans="114:114">
      <c r="DJ128" s="295"/>
    </row>
    <row r="129" spans="114:114">
      <c r="DJ129" s="295"/>
    </row>
    <row r="130" spans="114:114">
      <c r="DJ130" s="295"/>
    </row>
    <row r="131" spans="114:114">
      <c r="DJ131" s="295"/>
    </row>
    <row r="132" spans="114:114">
      <c r="DJ132" s="295"/>
    </row>
    <row r="133" spans="114:114">
      <c r="DJ133" s="295"/>
    </row>
    <row r="134" spans="114:114">
      <c r="DJ134" s="295"/>
    </row>
    <row r="135" spans="114:114">
      <c r="DJ135" s="295"/>
    </row>
    <row r="136" spans="114:114">
      <c r="DJ136" s="295"/>
    </row>
    <row r="137" spans="114:114">
      <c r="DJ137" s="295"/>
    </row>
    <row r="138" spans="114:114">
      <c r="DJ138" s="295"/>
    </row>
    <row r="139" spans="114:114">
      <c r="DJ139" s="295"/>
    </row>
    <row r="140" spans="114:114">
      <c r="DJ140" s="295"/>
    </row>
    <row r="141" spans="114:114">
      <c r="DJ141" s="295"/>
    </row>
    <row r="142" spans="114:114">
      <c r="DJ142" s="295"/>
    </row>
    <row r="143" spans="114:114">
      <c r="DJ143" s="295"/>
    </row>
    <row r="144" spans="114:114">
      <c r="DJ144" s="295"/>
    </row>
    <row r="145" spans="114:114">
      <c r="DJ145" s="295"/>
    </row>
    <row r="146" spans="114:114">
      <c r="DJ146" s="295"/>
    </row>
    <row r="147" spans="114:114">
      <c r="DJ147" s="295"/>
    </row>
    <row r="148" spans="114:114">
      <c r="DJ148" s="295"/>
    </row>
    <row r="149" spans="114:114">
      <c r="DJ149" s="295"/>
    </row>
    <row r="150" spans="114:114">
      <c r="DJ150" s="295"/>
    </row>
    <row r="151" spans="114:114">
      <c r="DJ151" s="295"/>
    </row>
    <row r="152" spans="114:114">
      <c r="DJ152" s="295"/>
    </row>
    <row r="153" spans="114:114">
      <c r="DJ153" s="295"/>
    </row>
    <row r="154" spans="114:114">
      <c r="DJ154" s="295"/>
    </row>
    <row r="155" spans="114:114">
      <c r="DJ155" s="295"/>
    </row>
    <row r="156" spans="114:114">
      <c r="DJ156" s="295"/>
    </row>
    <row r="157" spans="114:114">
      <c r="DJ157" s="295"/>
    </row>
    <row r="158" spans="114:114">
      <c r="DJ158" s="295"/>
    </row>
    <row r="159" spans="114:114">
      <c r="DJ159" s="295"/>
    </row>
    <row r="160" spans="114:114">
      <c r="DJ160" s="295"/>
    </row>
    <row r="161" spans="114:114">
      <c r="DJ161" s="295"/>
    </row>
    <row r="162" spans="114:114">
      <c r="DJ162" s="295"/>
    </row>
    <row r="163" spans="114:114">
      <c r="DJ163" s="295"/>
    </row>
    <row r="164" spans="114:114">
      <c r="DJ164" s="295"/>
    </row>
    <row r="165" spans="114:114">
      <c r="DJ165" s="295"/>
    </row>
    <row r="166" spans="114:114">
      <c r="DJ166" s="295"/>
    </row>
    <row r="167" spans="114:114">
      <c r="DJ167" s="295"/>
    </row>
    <row r="168" spans="114:114">
      <c r="DJ168" s="295"/>
    </row>
    <row r="169" spans="114:114">
      <c r="DJ169" s="295"/>
    </row>
    <row r="170" spans="114:114">
      <c r="DJ170" s="295"/>
    </row>
    <row r="171" spans="114:114">
      <c r="DJ171" s="295"/>
    </row>
    <row r="172" spans="114:114">
      <c r="DJ172" s="295"/>
    </row>
    <row r="173" spans="114:114">
      <c r="DJ173" s="295"/>
    </row>
    <row r="174" spans="114:114">
      <c r="DJ174" s="295"/>
    </row>
    <row r="175" spans="114:114">
      <c r="DJ175" s="295"/>
    </row>
    <row r="176" spans="114:114">
      <c r="DJ176" s="295"/>
    </row>
    <row r="177" spans="114:114">
      <c r="DJ177" s="295"/>
    </row>
    <row r="178" spans="114:114">
      <c r="DJ178" s="295"/>
    </row>
    <row r="179" spans="114:114">
      <c r="DJ179" s="295"/>
    </row>
    <row r="180" spans="114:114">
      <c r="DJ180" s="295"/>
    </row>
    <row r="181" spans="114:114">
      <c r="DJ181" s="295"/>
    </row>
    <row r="182" spans="114:114">
      <c r="DJ182" s="295"/>
    </row>
    <row r="183" spans="114:114">
      <c r="DJ183" s="295"/>
    </row>
    <row r="184" spans="114:114">
      <c r="DJ184" s="295"/>
    </row>
    <row r="185" spans="114:114">
      <c r="DJ185" s="295"/>
    </row>
    <row r="186" spans="114:114">
      <c r="DJ186" s="295"/>
    </row>
    <row r="187" spans="114:114">
      <c r="DJ187" s="295"/>
    </row>
    <row r="188" spans="114:114">
      <c r="DJ188" s="295"/>
    </row>
    <row r="189" spans="114:114">
      <c r="DJ189" s="295"/>
    </row>
    <row r="190" spans="114:114">
      <c r="DJ190" s="295"/>
    </row>
    <row r="191" spans="114:114">
      <c r="DJ191" s="295"/>
    </row>
    <row r="192" spans="114:114">
      <c r="DJ192" s="295"/>
    </row>
    <row r="193" spans="114:114">
      <c r="DJ193" s="295"/>
    </row>
    <row r="194" spans="114:114">
      <c r="DJ194" s="295"/>
    </row>
    <row r="195" spans="114:114">
      <c r="DJ195" s="295"/>
    </row>
    <row r="196" spans="114:114">
      <c r="DJ196" s="295"/>
    </row>
    <row r="197" spans="114:114">
      <c r="DJ197" s="295"/>
    </row>
    <row r="198" spans="114:114">
      <c r="DJ198" s="295"/>
    </row>
    <row r="199" spans="114:114">
      <c r="DJ199" s="295"/>
    </row>
    <row r="200" spans="114:114">
      <c r="DJ200" s="295"/>
    </row>
    <row r="201" spans="114:114">
      <c r="DJ201" s="295"/>
    </row>
    <row r="202" spans="114:114">
      <c r="DJ202" s="295"/>
    </row>
    <row r="203" spans="114:114">
      <c r="DJ203" s="295"/>
    </row>
    <row r="204" spans="114:114">
      <c r="DJ204" s="295"/>
    </row>
    <row r="205" spans="114:114">
      <c r="DJ205" s="295"/>
    </row>
    <row r="206" spans="114:114">
      <c r="DJ206" s="295"/>
    </row>
    <row r="207" spans="114:114">
      <c r="DJ207" s="295"/>
    </row>
    <row r="208" spans="114:114">
      <c r="DJ208" s="295"/>
    </row>
    <row r="209" spans="114:114">
      <c r="DJ209" s="295"/>
    </row>
    <row r="210" spans="114:114">
      <c r="DJ210" s="295"/>
    </row>
    <row r="211" spans="114:114">
      <c r="DJ211" s="295"/>
    </row>
    <row r="212" spans="114:114">
      <c r="DJ212" s="295"/>
    </row>
    <row r="213" spans="114:114">
      <c r="DJ213" s="295"/>
    </row>
    <row r="214" spans="114:114">
      <c r="DJ214" s="295"/>
    </row>
    <row r="215" spans="114:114">
      <c r="DJ215" s="295"/>
    </row>
    <row r="216" spans="114:114">
      <c r="DJ216" s="295"/>
    </row>
    <row r="217" spans="114:114">
      <c r="DJ217" s="295"/>
    </row>
    <row r="218" spans="114:114">
      <c r="DJ218" s="295"/>
    </row>
    <row r="219" spans="114:114">
      <c r="DJ219" s="295"/>
    </row>
    <row r="220" spans="114:114">
      <c r="DJ220" s="295"/>
    </row>
    <row r="221" spans="114:114">
      <c r="DJ221" s="295"/>
    </row>
    <row r="222" spans="114:114">
      <c r="DJ222" s="295"/>
    </row>
    <row r="223" spans="114:114">
      <c r="DJ223" s="295"/>
    </row>
    <row r="224" spans="114:114">
      <c r="DJ224" s="295"/>
    </row>
    <row r="225" spans="114:114">
      <c r="DJ225" s="295"/>
    </row>
    <row r="226" spans="114:114">
      <c r="DJ226" s="295"/>
    </row>
    <row r="227" spans="114:114">
      <c r="DJ227" s="295"/>
    </row>
    <row r="228" spans="114:114">
      <c r="DJ228" s="295"/>
    </row>
    <row r="229" spans="114:114">
      <c r="DJ229" s="295"/>
    </row>
    <row r="230" spans="114:114">
      <c r="DJ230" s="295"/>
    </row>
    <row r="231" spans="114:114">
      <c r="DJ231" s="295"/>
    </row>
    <row r="232" spans="114:114">
      <c r="DJ232" s="295"/>
    </row>
    <row r="233" spans="114:114">
      <c r="DJ233" s="295"/>
    </row>
    <row r="234" spans="114:114">
      <c r="DJ234" s="295"/>
    </row>
    <row r="235" spans="114:114">
      <c r="DJ235" s="295"/>
    </row>
    <row r="236" spans="114:114">
      <c r="DJ236" s="295"/>
    </row>
    <row r="237" spans="114:114">
      <c r="DJ237" s="295"/>
    </row>
    <row r="238" spans="114:114">
      <c r="DJ238" s="295"/>
    </row>
    <row r="239" spans="114:114">
      <c r="DJ239" s="295"/>
    </row>
    <row r="240" spans="114:114">
      <c r="DJ240" s="295"/>
    </row>
    <row r="241" spans="114:114">
      <c r="DJ241" s="295"/>
    </row>
    <row r="242" spans="114:114">
      <c r="DJ242" s="295"/>
    </row>
    <row r="243" spans="114:114">
      <c r="DJ243" s="295"/>
    </row>
    <row r="244" spans="114:114">
      <c r="DJ244" s="295"/>
    </row>
    <row r="245" spans="114:114">
      <c r="DJ245" s="295"/>
    </row>
    <row r="246" spans="114:114">
      <c r="DJ246" s="295"/>
    </row>
    <row r="247" spans="114:114">
      <c r="DJ247" s="295"/>
    </row>
    <row r="248" spans="114:114">
      <c r="DJ248" s="295"/>
    </row>
    <row r="249" spans="114:114">
      <c r="DJ249" s="295"/>
    </row>
    <row r="250" spans="114:114">
      <c r="DJ250" s="295"/>
    </row>
    <row r="251" spans="114:114">
      <c r="DJ251" s="295"/>
    </row>
    <row r="252" spans="114:114">
      <c r="DJ252" s="295"/>
    </row>
    <row r="253" spans="114:114">
      <c r="DJ253" s="295"/>
    </row>
    <row r="254" spans="114:114">
      <c r="DJ254" s="295"/>
    </row>
    <row r="255" spans="114:114">
      <c r="DJ255" s="295"/>
    </row>
    <row r="256" spans="114:114">
      <c r="DJ256" s="295"/>
    </row>
    <row r="257" spans="114:114">
      <c r="DJ257" s="295"/>
    </row>
    <row r="258" spans="114:114">
      <c r="DJ258" s="295"/>
    </row>
    <row r="259" spans="114:114">
      <c r="DJ259" s="295"/>
    </row>
    <row r="260" spans="114:114">
      <c r="DJ260" s="295"/>
    </row>
    <row r="261" spans="114:114">
      <c r="DJ261" s="295"/>
    </row>
    <row r="262" spans="114:114">
      <c r="DJ262" s="295"/>
    </row>
    <row r="263" spans="114:114">
      <c r="DJ263" s="295"/>
    </row>
    <row r="264" spans="114:114">
      <c r="DJ264" s="295"/>
    </row>
    <row r="265" spans="114:114">
      <c r="DJ265" s="295"/>
    </row>
    <row r="266" spans="114:114">
      <c r="DJ266" s="295"/>
    </row>
    <row r="267" spans="114:114">
      <c r="DJ267" s="295"/>
    </row>
    <row r="268" spans="114:114">
      <c r="DJ268" s="295"/>
    </row>
    <row r="269" spans="114:114">
      <c r="DJ269" s="295"/>
    </row>
    <row r="270" spans="114:114">
      <c r="DJ270" s="295"/>
    </row>
    <row r="271" spans="114:114">
      <c r="DJ271" s="295"/>
    </row>
    <row r="272" spans="114:114">
      <c r="DJ272" s="295"/>
    </row>
    <row r="273" spans="114:114">
      <c r="DJ273" s="295"/>
    </row>
    <row r="274" spans="114:114">
      <c r="DJ274" s="295"/>
    </row>
    <row r="275" spans="114:114">
      <c r="DJ275" s="295"/>
    </row>
    <row r="276" spans="114:114">
      <c r="DJ276" s="295"/>
    </row>
    <row r="277" spans="114:114">
      <c r="DJ277" s="295"/>
    </row>
    <row r="278" spans="114:114">
      <c r="DJ278" s="295"/>
    </row>
    <row r="279" spans="114:114">
      <c r="DJ279" s="295"/>
    </row>
    <row r="280" spans="114:114">
      <c r="DJ280" s="295"/>
    </row>
    <row r="281" spans="114:114">
      <c r="DJ281" s="295"/>
    </row>
    <row r="282" spans="114:114">
      <c r="DJ282" s="295"/>
    </row>
    <row r="283" spans="114:114">
      <c r="DJ283" s="295"/>
    </row>
    <row r="284" spans="114:114">
      <c r="DJ284" s="295"/>
    </row>
    <row r="285" spans="114:114">
      <c r="DJ285" s="295"/>
    </row>
    <row r="286" spans="114:114">
      <c r="DJ286" s="295"/>
    </row>
    <row r="287" spans="114:114">
      <c r="DJ287" s="295"/>
    </row>
    <row r="288" spans="114:114">
      <c r="DJ288" s="295"/>
    </row>
    <row r="289" spans="114:114">
      <c r="DJ289" s="295"/>
    </row>
    <row r="290" spans="114:114">
      <c r="DJ290" s="295"/>
    </row>
    <row r="291" spans="114:114">
      <c r="DJ291" s="295"/>
    </row>
    <row r="292" spans="114:114">
      <c r="DJ292" s="295"/>
    </row>
    <row r="293" spans="114:114">
      <c r="DJ293" s="295"/>
    </row>
    <row r="294" spans="114:114">
      <c r="DJ294" s="295"/>
    </row>
  </sheetData>
  <sheetProtection algorithmName="SHA-512" hashValue="YbSfDLt8ynuAMbOQb7eTZWmHKtF5ZygM3xenTYXA6aK3Bkr1a6SBktID7k7Ao87boUThLENfBfDqZSNnHvPHkg==" saltValue="SwKly2UZFsAhS1Mwah1G0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92"/>
  <sheetViews>
    <sheetView topLeftCell="CY1" workbookViewId="0">
      <selection activeCell="DD3" sqref="DD3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144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5" t="s">
        <v>72</v>
      </c>
      <c r="B4" s="65" t="s">
        <v>18</v>
      </c>
      <c r="C4" s="65" t="s">
        <v>145</v>
      </c>
      <c r="D4" s="65" t="s">
        <v>137</v>
      </c>
      <c r="E4" s="65" t="s">
        <v>146</v>
      </c>
      <c r="F4" s="65" t="s">
        <v>100</v>
      </c>
      <c r="G4" s="65" t="s">
        <v>22</v>
      </c>
      <c r="H4" s="65" t="s">
        <v>11</v>
      </c>
      <c r="DA4" s="38" t="str">
        <f>+DA3</f>
        <v>Central Bank of India</v>
      </c>
    </row>
    <row r="5" spans="1:130">
      <c r="A5" s="305" t="s">
        <v>445</v>
      </c>
      <c r="B5" s="305" t="s">
        <v>445</v>
      </c>
      <c r="C5" s="305" t="s">
        <v>446</v>
      </c>
      <c r="D5" s="305" t="s">
        <v>447</v>
      </c>
      <c r="E5" s="305" t="s">
        <v>448</v>
      </c>
      <c r="F5" s="305" t="s">
        <v>449</v>
      </c>
      <c r="G5" s="305" t="s">
        <v>450</v>
      </c>
      <c r="H5" s="305" t="s">
        <v>451</v>
      </c>
      <c r="DA5" s="278" t="s">
        <v>144</v>
      </c>
      <c r="DB5" s="279" t="s">
        <v>445</v>
      </c>
      <c r="DC5" s="280" t="s">
        <v>760</v>
      </c>
      <c r="DD5" s="281">
        <v>0</v>
      </c>
      <c r="DE5" s="281">
        <v>30451</v>
      </c>
      <c r="DF5" s="281" t="s">
        <v>761</v>
      </c>
      <c r="DG5" s="306" t="s">
        <v>936</v>
      </c>
      <c r="DH5" s="283" t="s">
        <v>445</v>
      </c>
      <c r="DI5" s="284" t="s">
        <v>762</v>
      </c>
      <c r="DJ5" s="285" t="s">
        <v>448</v>
      </c>
      <c r="DK5" s="286">
        <v>1</v>
      </c>
    </row>
    <row r="6" spans="1:130">
      <c r="A6" s="305" t="s">
        <v>452</v>
      </c>
      <c r="B6" s="305" t="s">
        <v>452</v>
      </c>
      <c r="C6" s="305" t="s">
        <v>453</v>
      </c>
      <c r="D6" s="305" t="s">
        <v>454</v>
      </c>
      <c r="E6" s="305" t="s">
        <v>455</v>
      </c>
      <c r="F6" s="305" t="s">
        <v>449</v>
      </c>
      <c r="G6" s="305" t="s">
        <v>456</v>
      </c>
      <c r="H6" s="305" t="s">
        <v>457</v>
      </c>
      <c r="DA6" s="278" t="s">
        <v>144</v>
      </c>
      <c r="DB6" s="279" t="s">
        <v>452</v>
      </c>
      <c r="DC6" s="280" t="s">
        <v>763</v>
      </c>
      <c r="DD6" s="281">
        <v>0</v>
      </c>
      <c r="DE6" s="281">
        <v>36190</v>
      </c>
      <c r="DF6" s="281" t="s">
        <v>764</v>
      </c>
      <c r="DG6" s="282" t="s">
        <v>937</v>
      </c>
      <c r="DH6" s="283" t="s">
        <v>452</v>
      </c>
      <c r="DI6" s="284" t="s">
        <v>762</v>
      </c>
      <c r="DJ6" s="285" t="s">
        <v>455</v>
      </c>
      <c r="DK6" s="286">
        <v>2</v>
      </c>
    </row>
    <row r="7" spans="1:130">
      <c r="A7" s="305" t="s">
        <v>452</v>
      </c>
      <c r="B7" s="305" t="s">
        <v>452</v>
      </c>
      <c r="C7" s="305" t="s">
        <v>458</v>
      </c>
      <c r="D7" s="305" t="s">
        <v>454</v>
      </c>
      <c r="E7" s="305" t="s">
        <v>459</v>
      </c>
      <c r="F7" s="305" t="s">
        <v>460</v>
      </c>
      <c r="G7" s="305" t="s">
        <v>449</v>
      </c>
      <c r="H7" s="305" t="s">
        <v>461</v>
      </c>
      <c r="DA7" s="278" t="s">
        <v>144</v>
      </c>
      <c r="DB7" s="279" t="s">
        <v>452</v>
      </c>
      <c r="DC7" s="280" t="s">
        <v>765</v>
      </c>
      <c r="DD7" s="281">
        <v>10000</v>
      </c>
      <c r="DE7" s="281">
        <v>0</v>
      </c>
      <c r="DF7" s="281" t="s">
        <v>766</v>
      </c>
      <c r="DG7" s="282" t="s">
        <v>938</v>
      </c>
      <c r="DH7" s="283" t="s">
        <v>452</v>
      </c>
      <c r="DI7" s="284" t="s">
        <v>767</v>
      </c>
      <c r="DJ7" s="285" t="s">
        <v>459</v>
      </c>
      <c r="DK7" s="286">
        <v>3</v>
      </c>
    </row>
    <row r="8" spans="1:130">
      <c r="A8" s="305" t="s">
        <v>452</v>
      </c>
      <c r="B8" s="305" t="s">
        <v>452</v>
      </c>
      <c r="C8" s="305" t="s">
        <v>458</v>
      </c>
      <c r="D8" s="305" t="s">
        <v>454</v>
      </c>
      <c r="E8" s="305" t="s">
        <v>459</v>
      </c>
      <c r="F8" s="305" t="s">
        <v>462</v>
      </c>
      <c r="G8" s="305" t="s">
        <v>449</v>
      </c>
      <c r="H8" s="305" t="s">
        <v>463</v>
      </c>
      <c r="DA8" s="278" t="s">
        <v>144</v>
      </c>
      <c r="DB8" s="279" t="s">
        <v>452</v>
      </c>
      <c r="DC8" s="280" t="s">
        <v>768</v>
      </c>
      <c r="DD8" s="281">
        <v>1100</v>
      </c>
      <c r="DE8" s="281">
        <v>0</v>
      </c>
      <c r="DF8" s="281" t="s">
        <v>769</v>
      </c>
      <c r="DG8" s="282" t="s">
        <v>938</v>
      </c>
      <c r="DH8" s="283" t="s">
        <v>452</v>
      </c>
      <c r="DI8" s="284" t="s">
        <v>767</v>
      </c>
      <c r="DJ8" s="285" t="s">
        <v>459</v>
      </c>
      <c r="DK8" s="286">
        <v>4</v>
      </c>
    </row>
    <row r="9" spans="1:130">
      <c r="A9" s="305" t="s">
        <v>452</v>
      </c>
      <c r="B9" s="305" t="s">
        <v>452</v>
      </c>
      <c r="C9" s="305" t="s">
        <v>453</v>
      </c>
      <c r="D9" s="305" t="s">
        <v>464</v>
      </c>
      <c r="E9" s="305" t="s">
        <v>465</v>
      </c>
      <c r="F9" s="305" t="s">
        <v>449</v>
      </c>
      <c r="G9" s="305" t="s">
        <v>466</v>
      </c>
      <c r="H9" s="305" t="s">
        <v>467</v>
      </c>
      <c r="DA9" s="278" t="s">
        <v>144</v>
      </c>
      <c r="DB9" s="279" t="s">
        <v>452</v>
      </c>
      <c r="DC9" s="280" t="s">
        <v>770</v>
      </c>
      <c r="DD9" s="281">
        <v>0</v>
      </c>
      <c r="DE9" s="281">
        <v>49710</v>
      </c>
      <c r="DF9" s="281" t="s">
        <v>771</v>
      </c>
      <c r="DG9" s="306" t="s">
        <v>939</v>
      </c>
      <c r="DH9" s="283" t="s">
        <v>452</v>
      </c>
      <c r="DI9" s="284" t="s">
        <v>762</v>
      </c>
      <c r="DJ9" s="285" t="s">
        <v>465</v>
      </c>
      <c r="DK9" s="286">
        <v>5</v>
      </c>
    </row>
    <row r="10" spans="1:130">
      <c r="A10" s="305" t="s">
        <v>468</v>
      </c>
      <c r="B10" s="305" t="s">
        <v>468</v>
      </c>
      <c r="C10" s="305" t="s">
        <v>469</v>
      </c>
      <c r="D10" s="305" t="s">
        <v>454</v>
      </c>
      <c r="E10" s="305" t="s">
        <v>470</v>
      </c>
      <c r="F10" s="305" t="s">
        <v>471</v>
      </c>
      <c r="G10" s="305" t="s">
        <v>449</v>
      </c>
      <c r="H10" s="305" t="s">
        <v>472</v>
      </c>
      <c r="DA10" s="278" t="s">
        <v>144</v>
      </c>
      <c r="DB10" s="279" t="s">
        <v>468</v>
      </c>
      <c r="DC10" s="280" t="s">
        <v>772</v>
      </c>
      <c r="DD10" s="281">
        <v>20000</v>
      </c>
      <c r="DE10" s="281">
        <v>0</v>
      </c>
      <c r="DF10" s="281" t="s">
        <v>773</v>
      </c>
      <c r="DG10" s="282" t="s">
        <v>940</v>
      </c>
      <c r="DH10" s="283" t="s">
        <v>468</v>
      </c>
      <c r="DI10" s="284" t="s">
        <v>767</v>
      </c>
      <c r="DJ10" s="285" t="s">
        <v>470</v>
      </c>
      <c r="DK10" s="286">
        <v>6</v>
      </c>
    </row>
    <row r="11" spans="1:130">
      <c r="A11" s="305" t="s">
        <v>473</v>
      </c>
      <c r="B11" s="305" t="s">
        <v>473</v>
      </c>
      <c r="C11" s="305" t="s">
        <v>458</v>
      </c>
      <c r="D11" s="305" t="s">
        <v>454</v>
      </c>
      <c r="E11" s="305" t="s">
        <v>459</v>
      </c>
      <c r="F11" s="305" t="s">
        <v>471</v>
      </c>
      <c r="G11" s="305" t="s">
        <v>449</v>
      </c>
      <c r="H11" s="305" t="s">
        <v>474</v>
      </c>
      <c r="DA11" s="278" t="s">
        <v>144</v>
      </c>
      <c r="DB11" s="279" t="s">
        <v>473</v>
      </c>
      <c r="DC11" s="280" t="s">
        <v>774</v>
      </c>
      <c r="DD11" s="281">
        <v>20000</v>
      </c>
      <c r="DE11" s="281">
        <v>0</v>
      </c>
      <c r="DF11" s="281" t="s">
        <v>775</v>
      </c>
      <c r="DG11" s="282" t="s">
        <v>938</v>
      </c>
      <c r="DH11" s="283" t="s">
        <v>473</v>
      </c>
      <c r="DI11" s="284" t="s">
        <v>767</v>
      </c>
      <c r="DJ11" s="285" t="s">
        <v>459</v>
      </c>
      <c r="DK11" s="286">
        <v>7</v>
      </c>
    </row>
    <row r="12" spans="1:130">
      <c r="A12" s="305" t="s">
        <v>475</v>
      </c>
      <c r="B12" s="305" t="s">
        <v>475</v>
      </c>
      <c r="C12" s="305" t="s">
        <v>453</v>
      </c>
      <c r="D12" s="305" t="s">
        <v>454</v>
      </c>
      <c r="E12" s="305" t="s">
        <v>476</v>
      </c>
      <c r="F12" s="305" t="s">
        <v>449</v>
      </c>
      <c r="G12" s="305" t="s">
        <v>477</v>
      </c>
      <c r="H12" s="305" t="s">
        <v>478</v>
      </c>
      <c r="DA12" s="278" t="s">
        <v>144</v>
      </c>
      <c r="DB12" s="279" t="s">
        <v>475</v>
      </c>
      <c r="DC12" s="280" t="s">
        <v>776</v>
      </c>
      <c r="DD12" s="281">
        <v>0</v>
      </c>
      <c r="DE12" s="281">
        <v>35000</v>
      </c>
      <c r="DF12" s="281" t="s">
        <v>777</v>
      </c>
      <c r="DG12" s="282" t="s">
        <v>941</v>
      </c>
      <c r="DH12" s="283" t="s">
        <v>475</v>
      </c>
      <c r="DI12" s="284" t="s">
        <v>762</v>
      </c>
      <c r="DJ12" s="285" t="s">
        <v>476</v>
      </c>
      <c r="DK12" s="286">
        <v>8</v>
      </c>
    </row>
    <row r="13" spans="1:130">
      <c r="A13" s="305" t="s">
        <v>479</v>
      </c>
      <c r="B13" s="305" t="s">
        <v>479</v>
      </c>
      <c r="C13" s="305" t="s">
        <v>469</v>
      </c>
      <c r="D13" s="305" t="s">
        <v>454</v>
      </c>
      <c r="E13" s="305" t="s">
        <v>480</v>
      </c>
      <c r="F13" s="305" t="s">
        <v>481</v>
      </c>
      <c r="G13" s="305" t="s">
        <v>449</v>
      </c>
      <c r="H13" s="305" t="s">
        <v>482</v>
      </c>
      <c r="DA13" s="278" t="s">
        <v>144</v>
      </c>
      <c r="DB13" s="279" t="s">
        <v>479</v>
      </c>
      <c r="DC13" s="280" t="s">
        <v>778</v>
      </c>
      <c r="DD13" s="281">
        <v>23.6</v>
      </c>
      <c r="DE13" s="281">
        <v>0</v>
      </c>
      <c r="DF13" s="281" t="s">
        <v>779</v>
      </c>
      <c r="DG13" s="282" t="s">
        <v>942</v>
      </c>
      <c r="DH13" s="283" t="s">
        <v>479</v>
      </c>
      <c r="DI13" s="284" t="s">
        <v>767</v>
      </c>
      <c r="DJ13" s="285" t="s">
        <v>480</v>
      </c>
      <c r="DK13" s="286">
        <v>9</v>
      </c>
    </row>
    <row r="14" spans="1:130">
      <c r="A14" s="305" t="s">
        <v>483</v>
      </c>
      <c r="B14" s="305" t="s">
        <v>483</v>
      </c>
      <c r="C14" s="305" t="s">
        <v>453</v>
      </c>
      <c r="D14" s="305" t="s">
        <v>454</v>
      </c>
      <c r="E14" s="305" t="s">
        <v>484</v>
      </c>
      <c r="F14" s="305" t="s">
        <v>449</v>
      </c>
      <c r="G14" s="305" t="s">
        <v>485</v>
      </c>
      <c r="H14" s="305" t="s">
        <v>486</v>
      </c>
      <c r="DA14" s="278" t="s">
        <v>144</v>
      </c>
      <c r="DB14" s="279" t="s">
        <v>483</v>
      </c>
      <c r="DC14" s="280" t="s">
        <v>780</v>
      </c>
      <c r="DD14" s="281">
        <v>0</v>
      </c>
      <c r="DE14" s="281">
        <v>50000</v>
      </c>
      <c r="DF14" s="281" t="s">
        <v>781</v>
      </c>
      <c r="DG14" s="282" t="s">
        <v>943</v>
      </c>
      <c r="DH14" s="283" t="s">
        <v>483</v>
      </c>
      <c r="DI14" s="284" t="s">
        <v>762</v>
      </c>
      <c r="DJ14" s="285" t="s">
        <v>484</v>
      </c>
      <c r="DK14" s="286">
        <v>10</v>
      </c>
    </row>
    <row r="15" spans="1:130">
      <c r="A15" s="305" t="s">
        <v>483</v>
      </c>
      <c r="B15" s="305" t="s">
        <v>483</v>
      </c>
      <c r="C15" s="305" t="s">
        <v>458</v>
      </c>
      <c r="D15" s="305" t="s">
        <v>487</v>
      </c>
      <c r="E15" s="305" t="s">
        <v>488</v>
      </c>
      <c r="F15" s="305" t="s">
        <v>477</v>
      </c>
      <c r="G15" s="305" t="s">
        <v>449</v>
      </c>
      <c r="H15" s="305" t="s">
        <v>489</v>
      </c>
      <c r="DA15" s="278" t="s">
        <v>144</v>
      </c>
      <c r="DB15" s="279" t="s">
        <v>483</v>
      </c>
      <c r="DC15" s="280" t="s">
        <v>782</v>
      </c>
      <c r="DD15" s="281">
        <v>35000</v>
      </c>
      <c r="DE15" s="281">
        <v>0</v>
      </c>
      <c r="DF15" s="281" t="s">
        <v>783</v>
      </c>
      <c r="DG15" s="282" t="s">
        <v>944</v>
      </c>
      <c r="DH15" s="283" t="s">
        <v>483</v>
      </c>
      <c r="DI15" s="284" t="s">
        <v>767</v>
      </c>
      <c r="DJ15" s="285" t="s">
        <v>488</v>
      </c>
      <c r="DK15" s="286">
        <v>11</v>
      </c>
    </row>
    <row r="16" spans="1:130">
      <c r="A16" s="305" t="s">
        <v>483</v>
      </c>
      <c r="B16" s="305" t="s">
        <v>483</v>
      </c>
      <c r="C16" s="305" t="s">
        <v>453</v>
      </c>
      <c r="D16" s="305" t="s">
        <v>454</v>
      </c>
      <c r="E16" s="305" t="s">
        <v>490</v>
      </c>
      <c r="F16" s="305" t="s">
        <v>449</v>
      </c>
      <c r="G16" s="305" t="s">
        <v>485</v>
      </c>
      <c r="H16" s="305" t="s">
        <v>491</v>
      </c>
      <c r="DA16" s="278" t="s">
        <v>144</v>
      </c>
      <c r="DB16" s="279" t="s">
        <v>483</v>
      </c>
      <c r="DC16" s="280" t="s">
        <v>784</v>
      </c>
      <c r="DD16" s="281">
        <v>0</v>
      </c>
      <c r="DE16" s="281">
        <v>50000</v>
      </c>
      <c r="DF16" s="281" t="s">
        <v>785</v>
      </c>
      <c r="DG16" s="282" t="s">
        <v>945</v>
      </c>
      <c r="DH16" s="283" t="s">
        <v>483</v>
      </c>
      <c r="DI16" s="284" t="s">
        <v>762</v>
      </c>
      <c r="DJ16" s="285" t="s">
        <v>490</v>
      </c>
      <c r="DK16" s="286">
        <v>12</v>
      </c>
    </row>
    <row r="17" spans="1:115">
      <c r="A17" s="305" t="s">
        <v>492</v>
      </c>
      <c r="B17" s="305" t="s">
        <v>492</v>
      </c>
      <c r="C17" s="305" t="s">
        <v>458</v>
      </c>
      <c r="D17" s="305" t="s">
        <v>454</v>
      </c>
      <c r="E17" s="305" t="s">
        <v>459</v>
      </c>
      <c r="F17" s="305" t="s">
        <v>493</v>
      </c>
      <c r="G17" s="305" t="s">
        <v>449</v>
      </c>
      <c r="H17" s="305" t="s">
        <v>494</v>
      </c>
      <c r="DA17" s="278" t="s">
        <v>144</v>
      </c>
      <c r="DB17" s="279" t="s">
        <v>492</v>
      </c>
      <c r="DC17" s="280" t="s">
        <v>786</v>
      </c>
      <c r="DD17" s="281">
        <v>15000</v>
      </c>
      <c r="DE17" s="281">
        <v>0</v>
      </c>
      <c r="DF17" s="281" t="s">
        <v>787</v>
      </c>
      <c r="DG17" s="282" t="s">
        <v>938</v>
      </c>
      <c r="DH17" s="283" t="s">
        <v>492</v>
      </c>
      <c r="DI17" s="284" t="s">
        <v>767</v>
      </c>
      <c r="DJ17" s="285" t="s">
        <v>459</v>
      </c>
      <c r="DK17" s="286">
        <v>13</v>
      </c>
    </row>
    <row r="18" spans="1:115">
      <c r="A18" s="305" t="s">
        <v>492</v>
      </c>
      <c r="B18" s="305" t="s">
        <v>492</v>
      </c>
      <c r="C18" s="305" t="s">
        <v>453</v>
      </c>
      <c r="D18" s="305" t="s">
        <v>454</v>
      </c>
      <c r="E18" s="305" t="s">
        <v>495</v>
      </c>
      <c r="F18" s="305" t="s">
        <v>449</v>
      </c>
      <c r="G18" s="305" t="s">
        <v>485</v>
      </c>
      <c r="H18" s="305" t="s">
        <v>489</v>
      </c>
      <c r="DA18" s="278" t="s">
        <v>144</v>
      </c>
      <c r="DB18" s="279" t="s">
        <v>492</v>
      </c>
      <c r="DC18" s="280" t="s">
        <v>788</v>
      </c>
      <c r="DD18" s="281">
        <v>0</v>
      </c>
      <c r="DE18" s="281">
        <v>50000</v>
      </c>
      <c r="DF18" s="281" t="s">
        <v>783</v>
      </c>
      <c r="DG18" s="282" t="s">
        <v>946</v>
      </c>
      <c r="DH18" s="283" t="s">
        <v>492</v>
      </c>
      <c r="DI18" s="284" t="s">
        <v>762</v>
      </c>
      <c r="DJ18" s="285" t="s">
        <v>495</v>
      </c>
      <c r="DK18" s="286">
        <v>14</v>
      </c>
    </row>
    <row r="19" spans="1:115">
      <c r="A19" s="305" t="s">
        <v>496</v>
      </c>
      <c r="B19" s="305" t="s">
        <v>496</v>
      </c>
      <c r="C19" s="305" t="s">
        <v>497</v>
      </c>
      <c r="D19" s="305" t="s">
        <v>454</v>
      </c>
      <c r="E19" s="305" t="s">
        <v>498</v>
      </c>
      <c r="F19" s="305" t="s">
        <v>460</v>
      </c>
      <c r="G19" s="305" t="s">
        <v>449</v>
      </c>
      <c r="H19" s="305" t="s">
        <v>499</v>
      </c>
      <c r="DA19" s="278" t="s">
        <v>144</v>
      </c>
      <c r="DB19" s="279" t="s">
        <v>496</v>
      </c>
      <c r="DC19" s="280" t="s">
        <v>789</v>
      </c>
      <c r="DD19" s="281">
        <v>10000</v>
      </c>
      <c r="DE19" s="281">
        <v>0</v>
      </c>
      <c r="DF19" s="281" t="s">
        <v>790</v>
      </c>
      <c r="DG19" s="282" t="s">
        <v>947</v>
      </c>
      <c r="DH19" s="283" t="s">
        <v>496</v>
      </c>
      <c r="DI19" s="284" t="s">
        <v>767</v>
      </c>
      <c r="DJ19" s="285" t="s">
        <v>498</v>
      </c>
      <c r="DK19" s="286">
        <v>15</v>
      </c>
    </row>
    <row r="20" spans="1:115">
      <c r="A20" s="305" t="s">
        <v>496</v>
      </c>
      <c r="B20" s="305" t="s">
        <v>496</v>
      </c>
      <c r="C20" s="305" t="s">
        <v>497</v>
      </c>
      <c r="D20" s="305" t="s">
        <v>454</v>
      </c>
      <c r="E20" s="305" t="s">
        <v>498</v>
      </c>
      <c r="F20" s="305" t="s">
        <v>460</v>
      </c>
      <c r="G20" s="305" t="s">
        <v>449</v>
      </c>
      <c r="H20" s="305" t="s">
        <v>500</v>
      </c>
      <c r="DA20" s="278" t="s">
        <v>144</v>
      </c>
      <c r="DB20" s="279" t="s">
        <v>496</v>
      </c>
      <c r="DC20" s="280" t="s">
        <v>791</v>
      </c>
      <c r="DD20" s="281">
        <v>10000</v>
      </c>
      <c r="DE20" s="281">
        <v>0</v>
      </c>
      <c r="DF20" s="281" t="s">
        <v>792</v>
      </c>
      <c r="DG20" s="282" t="s">
        <v>947</v>
      </c>
      <c r="DH20" s="283" t="s">
        <v>496</v>
      </c>
      <c r="DI20" s="284" t="s">
        <v>767</v>
      </c>
      <c r="DJ20" s="285" t="s">
        <v>498</v>
      </c>
      <c r="DK20" s="286">
        <v>16</v>
      </c>
    </row>
    <row r="21" spans="1:115">
      <c r="A21" s="305" t="s">
        <v>496</v>
      </c>
      <c r="B21" s="305" t="s">
        <v>496</v>
      </c>
      <c r="C21" s="305" t="s">
        <v>497</v>
      </c>
      <c r="D21" s="305" t="s">
        <v>454</v>
      </c>
      <c r="E21" s="305" t="s">
        <v>498</v>
      </c>
      <c r="F21" s="305" t="s">
        <v>460</v>
      </c>
      <c r="G21" s="305" t="s">
        <v>449</v>
      </c>
      <c r="H21" s="305" t="s">
        <v>501</v>
      </c>
      <c r="DA21" s="278" t="s">
        <v>144</v>
      </c>
      <c r="DB21" s="279" t="s">
        <v>496</v>
      </c>
      <c r="DC21" s="280" t="s">
        <v>793</v>
      </c>
      <c r="DD21" s="281">
        <v>10000</v>
      </c>
      <c r="DE21" s="281">
        <v>0</v>
      </c>
      <c r="DF21" s="281" t="s">
        <v>794</v>
      </c>
      <c r="DG21" s="282" t="s">
        <v>947</v>
      </c>
      <c r="DH21" s="283" t="s">
        <v>496</v>
      </c>
      <c r="DI21" s="284" t="s">
        <v>767</v>
      </c>
      <c r="DJ21" s="285" t="s">
        <v>498</v>
      </c>
      <c r="DK21" s="286">
        <v>17</v>
      </c>
    </row>
    <row r="22" spans="1:115">
      <c r="A22" s="305" t="s">
        <v>502</v>
      </c>
      <c r="B22" s="305" t="s">
        <v>502</v>
      </c>
      <c r="C22" s="305" t="s">
        <v>497</v>
      </c>
      <c r="D22" s="305" t="s">
        <v>454</v>
      </c>
      <c r="E22" s="305" t="s">
        <v>503</v>
      </c>
      <c r="F22" s="305" t="s">
        <v>504</v>
      </c>
      <c r="G22" s="305" t="s">
        <v>449</v>
      </c>
      <c r="H22" s="305" t="s">
        <v>505</v>
      </c>
      <c r="DA22" s="278" t="s">
        <v>144</v>
      </c>
      <c r="DB22" s="279" t="s">
        <v>502</v>
      </c>
      <c r="DC22" s="280" t="s">
        <v>795</v>
      </c>
      <c r="DD22" s="281">
        <v>2000</v>
      </c>
      <c r="DE22" s="281">
        <v>0</v>
      </c>
      <c r="DF22" s="281" t="s">
        <v>796</v>
      </c>
      <c r="DG22" s="282" t="s">
        <v>948</v>
      </c>
      <c r="DH22" s="283" t="s">
        <v>502</v>
      </c>
      <c r="DI22" s="284" t="s">
        <v>767</v>
      </c>
      <c r="DJ22" s="285" t="s">
        <v>503</v>
      </c>
      <c r="DK22" s="286">
        <v>18</v>
      </c>
    </row>
    <row r="23" spans="1:115">
      <c r="A23" s="305" t="s">
        <v>502</v>
      </c>
      <c r="B23" s="305" t="s">
        <v>502</v>
      </c>
      <c r="C23" s="305" t="s">
        <v>453</v>
      </c>
      <c r="D23" s="305" t="s">
        <v>506</v>
      </c>
      <c r="E23" s="305" t="s">
        <v>507</v>
      </c>
      <c r="F23" s="305" t="s">
        <v>508</v>
      </c>
      <c r="G23" s="305" t="s">
        <v>449</v>
      </c>
      <c r="H23" s="305" t="s">
        <v>509</v>
      </c>
      <c r="DA23" s="278" t="s">
        <v>144</v>
      </c>
      <c r="DB23" s="279" t="s">
        <v>502</v>
      </c>
      <c r="DC23" s="280" t="s">
        <v>797</v>
      </c>
      <c r="DD23" s="281">
        <v>72954</v>
      </c>
      <c r="DE23" s="281">
        <v>0</v>
      </c>
      <c r="DF23" s="281" t="s">
        <v>798</v>
      </c>
      <c r="DG23" s="282" t="s">
        <v>949</v>
      </c>
      <c r="DH23" s="283" t="s">
        <v>502</v>
      </c>
      <c r="DI23" s="284" t="s">
        <v>767</v>
      </c>
      <c r="DJ23" s="285" t="s">
        <v>507</v>
      </c>
      <c r="DK23" s="286">
        <v>19</v>
      </c>
    </row>
    <row r="24" spans="1:115">
      <c r="A24" s="305" t="s">
        <v>510</v>
      </c>
      <c r="B24" s="305" t="s">
        <v>510</v>
      </c>
      <c r="C24" s="305" t="s">
        <v>453</v>
      </c>
      <c r="D24" s="305" t="s">
        <v>511</v>
      </c>
      <c r="E24" s="305" t="s">
        <v>512</v>
      </c>
      <c r="F24" s="305" t="s">
        <v>513</v>
      </c>
      <c r="G24" s="305" t="s">
        <v>449</v>
      </c>
      <c r="H24" s="305" t="s">
        <v>514</v>
      </c>
      <c r="DA24" s="278" t="s">
        <v>144</v>
      </c>
      <c r="DB24" s="279" t="s">
        <v>510</v>
      </c>
      <c r="DC24" s="280" t="s">
        <v>799</v>
      </c>
      <c r="DD24" s="281">
        <v>83475</v>
      </c>
      <c r="DE24" s="281">
        <v>0</v>
      </c>
      <c r="DF24" s="281" t="s">
        <v>800</v>
      </c>
      <c r="DG24" s="282" t="s">
        <v>950</v>
      </c>
      <c r="DH24" s="283" t="s">
        <v>510</v>
      </c>
      <c r="DI24" s="284" t="s">
        <v>767</v>
      </c>
      <c r="DJ24" s="285" t="s">
        <v>512</v>
      </c>
      <c r="DK24" s="286">
        <v>20</v>
      </c>
    </row>
    <row r="25" spans="1:115" ht="25.5">
      <c r="A25" s="305" t="s">
        <v>510</v>
      </c>
      <c r="B25" s="305" t="s">
        <v>510</v>
      </c>
      <c r="C25" s="305" t="s">
        <v>453</v>
      </c>
      <c r="D25" s="305" t="s">
        <v>454</v>
      </c>
      <c r="E25" s="305" t="s">
        <v>515</v>
      </c>
      <c r="F25" s="305" t="s">
        <v>449</v>
      </c>
      <c r="G25" s="305" t="s">
        <v>516</v>
      </c>
      <c r="H25" s="305" t="s">
        <v>517</v>
      </c>
      <c r="DA25" s="278" t="s">
        <v>144</v>
      </c>
      <c r="DB25" s="279" t="s">
        <v>510</v>
      </c>
      <c r="DC25" s="280" t="s">
        <v>801</v>
      </c>
      <c r="DD25" s="281">
        <v>0</v>
      </c>
      <c r="DE25" s="281">
        <v>30000</v>
      </c>
      <c r="DF25" s="281" t="s">
        <v>802</v>
      </c>
      <c r="DG25" s="282" t="s">
        <v>951</v>
      </c>
      <c r="DH25" s="283" t="s">
        <v>510</v>
      </c>
      <c r="DI25" s="284" t="s">
        <v>762</v>
      </c>
      <c r="DJ25" s="285" t="s">
        <v>515</v>
      </c>
      <c r="DK25" s="286">
        <v>21</v>
      </c>
    </row>
    <row r="26" spans="1:115">
      <c r="A26" s="305" t="s">
        <v>510</v>
      </c>
      <c r="B26" s="305" t="s">
        <v>510</v>
      </c>
      <c r="C26" s="305" t="s">
        <v>446</v>
      </c>
      <c r="D26" s="305" t="s">
        <v>518</v>
      </c>
      <c r="E26" s="305" t="s">
        <v>448</v>
      </c>
      <c r="F26" s="305" t="s">
        <v>449</v>
      </c>
      <c r="G26" s="305" t="s">
        <v>519</v>
      </c>
      <c r="H26" s="305" t="s">
        <v>520</v>
      </c>
      <c r="DA26" s="278" t="s">
        <v>144</v>
      </c>
      <c r="DB26" s="279" t="s">
        <v>510</v>
      </c>
      <c r="DC26" s="280" t="s">
        <v>803</v>
      </c>
      <c r="DD26" s="281">
        <v>0</v>
      </c>
      <c r="DE26" s="281">
        <v>101850</v>
      </c>
      <c r="DF26" s="281" t="s">
        <v>804</v>
      </c>
      <c r="DG26" s="306" t="s">
        <v>936</v>
      </c>
      <c r="DH26" s="283" t="s">
        <v>510</v>
      </c>
      <c r="DI26" s="284" t="s">
        <v>762</v>
      </c>
      <c r="DJ26" s="285" t="s">
        <v>448</v>
      </c>
      <c r="DK26" s="286">
        <v>22</v>
      </c>
    </row>
    <row r="27" spans="1:115">
      <c r="A27" s="305" t="s">
        <v>521</v>
      </c>
      <c r="B27" s="305" t="s">
        <v>521</v>
      </c>
      <c r="C27" s="305" t="s">
        <v>453</v>
      </c>
      <c r="D27" s="305" t="s">
        <v>454</v>
      </c>
      <c r="E27" s="305" t="s">
        <v>522</v>
      </c>
      <c r="F27" s="305" t="s">
        <v>523</v>
      </c>
      <c r="G27" s="305" t="s">
        <v>449</v>
      </c>
      <c r="H27" s="305" t="s">
        <v>524</v>
      </c>
      <c r="DA27" s="278" t="s">
        <v>144</v>
      </c>
      <c r="DB27" s="279" t="s">
        <v>521</v>
      </c>
      <c r="DC27" s="280" t="s">
        <v>805</v>
      </c>
      <c r="DD27" s="281">
        <v>30317</v>
      </c>
      <c r="DE27" s="281">
        <v>0</v>
      </c>
      <c r="DF27" s="281" t="s">
        <v>806</v>
      </c>
      <c r="DG27" s="282" t="s">
        <v>952</v>
      </c>
      <c r="DH27" s="283" t="s">
        <v>521</v>
      </c>
      <c r="DI27" s="284" t="s">
        <v>767</v>
      </c>
      <c r="DJ27" s="285" t="s">
        <v>522</v>
      </c>
      <c r="DK27" s="286">
        <v>23</v>
      </c>
    </row>
    <row r="28" spans="1:115">
      <c r="A28" s="305" t="s">
        <v>525</v>
      </c>
      <c r="B28" s="305" t="s">
        <v>525</v>
      </c>
      <c r="C28" s="305" t="s">
        <v>526</v>
      </c>
      <c r="D28" s="305" t="s">
        <v>454</v>
      </c>
      <c r="E28" s="305" t="s">
        <v>527</v>
      </c>
      <c r="F28" s="305" t="s">
        <v>449</v>
      </c>
      <c r="G28" s="305" t="s">
        <v>516</v>
      </c>
      <c r="H28" s="305" t="s">
        <v>528</v>
      </c>
      <c r="DA28" s="278" t="s">
        <v>144</v>
      </c>
      <c r="DB28" s="279" t="s">
        <v>525</v>
      </c>
      <c r="DC28" s="280" t="s">
        <v>807</v>
      </c>
      <c r="DD28" s="281">
        <v>0</v>
      </c>
      <c r="DE28" s="281">
        <v>30000</v>
      </c>
      <c r="DF28" s="281" t="s">
        <v>808</v>
      </c>
      <c r="DG28" s="282" t="s">
        <v>953</v>
      </c>
      <c r="DH28" s="283" t="s">
        <v>525</v>
      </c>
      <c r="DI28" s="284" t="s">
        <v>762</v>
      </c>
      <c r="DJ28" s="285" t="s">
        <v>527</v>
      </c>
      <c r="DK28" s="286">
        <v>24</v>
      </c>
    </row>
    <row r="29" spans="1:115">
      <c r="A29" s="305" t="s">
        <v>529</v>
      </c>
      <c r="B29" s="305" t="s">
        <v>529</v>
      </c>
      <c r="C29" s="305" t="s">
        <v>453</v>
      </c>
      <c r="D29" s="305" t="s">
        <v>530</v>
      </c>
      <c r="E29" s="305" t="s">
        <v>531</v>
      </c>
      <c r="F29" s="305" t="s">
        <v>532</v>
      </c>
      <c r="G29" s="305" t="s">
        <v>449</v>
      </c>
      <c r="H29" s="305" t="s">
        <v>533</v>
      </c>
      <c r="DA29" s="278" t="s">
        <v>144</v>
      </c>
      <c r="DB29" s="279" t="s">
        <v>529</v>
      </c>
      <c r="DC29" s="280" t="s">
        <v>809</v>
      </c>
      <c r="DD29" s="281">
        <v>16205</v>
      </c>
      <c r="DE29" s="281">
        <v>0</v>
      </c>
      <c r="DF29" s="281" t="s">
        <v>810</v>
      </c>
      <c r="DG29" s="282" t="s">
        <v>954</v>
      </c>
      <c r="DH29" s="283" t="s">
        <v>529</v>
      </c>
      <c r="DI29" s="284" t="s">
        <v>767</v>
      </c>
      <c r="DJ29" s="285" t="s">
        <v>531</v>
      </c>
      <c r="DK29" s="286">
        <v>25</v>
      </c>
    </row>
    <row r="30" spans="1:115" ht="25.5">
      <c r="A30" s="305" t="s">
        <v>534</v>
      </c>
      <c r="B30" s="305" t="s">
        <v>534</v>
      </c>
      <c r="C30" s="305" t="s">
        <v>535</v>
      </c>
      <c r="D30" s="305" t="s">
        <v>454</v>
      </c>
      <c r="E30" s="305" t="s">
        <v>536</v>
      </c>
      <c r="F30" s="305" t="s">
        <v>449</v>
      </c>
      <c r="G30" s="305" t="s">
        <v>537</v>
      </c>
      <c r="H30" s="305" t="s">
        <v>538</v>
      </c>
      <c r="DA30" s="278" t="s">
        <v>144</v>
      </c>
      <c r="DB30" s="279" t="s">
        <v>534</v>
      </c>
      <c r="DC30" s="280" t="s">
        <v>811</v>
      </c>
      <c r="DD30" s="281">
        <v>0</v>
      </c>
      <c r="DE30" s="281">
        <v>27641</v>
      </c>
      <c r="DF30" s="281" t="s">
        <v>812</v>
      </c>
      <c r="DG30" s="282" t="s">
        <v>955</v>
      </c>
      <c r="DH30" s="283" t="s">
        <v>534</v>
      </c>
      <c r="DI30" s="284" t="s">
        <v>762</v>
      </c>
      <c r="DJ30" s="285" t="s">
        <v>536</v>
      </c>
      <c r="DK30" s="286">
        <v>26</v>
      </c>
    </row>
    <row r="31" spans="1:115">
      <c r="A31" s="305" t="s">
        <v>534</v>
      </c>
      <c r="B31" s="305" t="s">
        <v>534</v>
      </c>
      <c r="C31" s="305" t="s">
        <v>458</v>
      </c>
      <c r="D31" s="305" t="s">
        <v>539</v>
      </c>
      <c r="E31" s="305" t="s">
        <v>488</v>
      </c>
      <c r="F31" s="305" t="s">
        <v>540</v>
      </c>
      <c r="G31" s="305" t="s">
        <v>449</v>
      </c>
      <c r="H31" s="305" t="s">
        <v>541</v>
      </c>
      <c r="DA31" s="278" t="s">
        <v>144</v>
      </c>
      <c r="DB31" s="279" t="s">
        <v>534</v>
      </c>
      <c r="DC31" s="280" t="s">
        <v>813</v>
      </c>
      <c r="DD31" s="281">
        <v>60000</v>
      </c>
      <c r="DE31" s="281">
        <v>0</v>
      </c>
      <c r="DF31" s="281" t="s">
        <v>814</v>
      </c>
      <c r="DG31" s="282" t="s">
        <v>944</v>
      </c>
      <c r="DH31" s="283" t="s">
        <v>534</v>
      </c>
      <c r="DI31" s="284" t="s">
        <v>767</v>
      </c>
      <c r="DJ31" s="285" t="s">
        <v>488</v>
      </c>
      <c r="DK31" s="286">
        <v>27</v>
      </c>
    </row>
    <row r="32" spans="1:115">
      <c r="A32" s="305" t="s">
        <v>542</v>
      </c>
      <c r="B32" s="305" t="s">
        <v>542</v>
      </c>
      <c r="C32" s="305" t="s">
        <v>453</v>
      </c>
      <c r="D32" s="305" t="s">
        <v>543</v>
      </c>
      <c r="E32" s="305" t="s">
        <v>544</v>
      </c>
      <c r="F32" s="305" t="s">
        <v>485</v>
      </c>
      <c r="G32" s="305" t="s">
        <v>449</v>
      </c>
      <c r="H32" s="305" t="s">
        <v>545</v>
      </c>
      <c r="DA32" s="278" t="s">
        <v>144</v>
      </c>
      <c r="DB32" s="279" t="s">
        <v>542</v>
      </c>
      <c r="DC32" s="280" t="s">
        <v>815</v>
      </c>
      <c r="DD32" s="281">
        <v>50000</v>
      </c>
      <c r="DE32" s="281">
        <v>0</v>
      </c>
      <c r="DF32" s="281" t="s">
        <v>816</v>
      </c>
      <c r="DG32" s="282" t="s">
        <v>956</v>
      </c>
      <c r="DH32" s="283" t="s">
        <v>542</v>
      </c>
      <c r="DI32" s="284" t="s">
        <v>767</v>
      </c>
      <c r="DJ32" s="285" t="s">
        <v>544</v>
      </c>
      <c r="DK32" s="286">
        <v>28</v>
      </c>
    </row>
    <row r="33" spans="1:115">
      <c r="A33" s="305" t="s">
        <v>542</v>
      </c>
      <c r="B33" s="305" t="s">
        <v>542</v>
      </c>
      <c r="C33" s="305" t="s">
        <v>446</v>
      </c>
      <c r="D33" s="305" t="s">
        <v>546</v>
      </c>
      <c r="E33" s="305" t="s">
        <v>547</v>
      </c>
      <c r="F33" s="305" t="s">
        <v>449</v>
      </c>
      <c r="G33" s="305" t="s">
        <v>548</v>
      </c>
      <c r="H33" s="305" t="s">
        <v>549</v>
      </c>
      <c r="DA33" s="278" t="s">
        <v>144</v>
      </c>
      <c r="DB33" s="279" t="s">
        <v>542</v>
      </c>
      <c r="DC33" s="280" t="s">
        <v>817</v>
      </c>
      <c r="DD33" s="281">
        <v>0</v>
      </c>
      <c r="DE33" s="281">
        <v>38588</v>
      </c>
      <c r="DF33" s="281" t="s">
        <v>818</v>
      </c>
      <c r="DG33" s="306" t="s">
        <v>957</v>
      </c>
      <c r="DH33" s="283" t="s">
        <v>542</v>
      </c>
      <c r="DI33" s="284" t="s">
        <v>762</v>
      </c>
      <c r="DJ33" s="285" t="s">
        <v>547</v>
      </c>
      <c r="DK33" s="286">
        <v>29</v>
      </c>
    </row>
    <row r="34" spans="1:115">
      <c r="A34" s="305" t="s">
        <v>542</v>
      </c>
      <c r="B34" s="305" t="s">
        <v>542</v>
      </c>
      <c r="C34" s="305" t="s">
        <v>453</v>
      </c>
      <c r="D34" s="305" t="s">
        <v>550</v>
      </c>
      <c r="E34" s="305" t="s">
        <v>551</v>
      </c>
      <c r="F34" s="305" t="s">
        <v>552</v>
      </c>
      <c r="G34" s="305" t="s">
        <v>449</v>
      </c>
      <c r="H34" s="305" t="s">
        <v>553</v>
      </c>
      <c r="DA34" s="278" t="s">
        <v>144</v>
      </c>
      <c r="DB34" s="279" t="s">
        <v>542</v>
      </c>
      <c r="DC34" s="280" t="s">
        <v>819</v>
      </c>
      <c r="DD34" s="281">
        <v>8269</v>
      </c>
      <c r="DE34" s="281">
        <v>0</v>
      </c>
      <c r="DF34" s="281" t="s">
        <v>820</v>
      </c>
      <c r="DG34" s="282" t="s">
        <v>958</v>
      </c>
      <c r="DH34" s="283" t="s">
        <v>542</v>
      </c>
      <c r="DI34" s="284" t="s">
        <v>767</v>
      </c>
      <c r="DJ34" s="285" t="s">
        <v>551</v>
      </c>
      <c r="DK34" s="286">
        <v>30</v>
      </c>
    </row>
    <row r="35" spans="1:115">
      <c r="A35" s="305" t="s">
        <v>554</v>
      </c>
      <c r="B35" s="305" t="s">
        <v>554</v>
      </c>
      <c r="C35" s="305" t="s">
        <v>453</v>
      </c>
      <c r="D35" s="305" t="s">
        <v>555</v>
      </c>
      <c r="E35" s="305" t="s">
        <v>556</v>
      </c>
      <c r="F35" s="305" t="s">
        <v>557</v>
      </c>
      <c r="G35" s="305" t="s">
        <v>449</v>
      </c>
      <c r="H35" s="305" t="s">
        <v>558</v>
      </c>
      <c r="DA35" s="278" t="s">
        <v>144</v>
      </c>
      <c r="DB35" s="279" t="s">
        <v>554</v>
      </c>
      <c r="DC35" s="280" t="s">
        <v>821</v>
      </c>
      <c r="DD35" s="281">
        <v>100000</v>
      </c>
      <c r="DE35" s="281">
        <v>0</v>
      </c>
      <c r="DF35" s="281" t="s">
        <v>822</v>
      </c>
      <c r="DG35" s="282" t="s">
        <v>959</v>
      </c>
      <c r="DH35" s="283" t="s">
        <v>554</v>
      </c>
      <c r="DI35" s="284" t="s">
        <v>767</v>
      </c>
      <c r="DJ35" s="285" t="s">
        <v>556</v>
      </c>
      <c r="DK35" s="286">
        <v>31</v>
      </c>
    </row>
    <row r="36" spans="1:115">
      <c r="A36" s="305" t="s">
        <v>559</v>
      </c>
      <c r="B36" s="305" t="s">
        <v>559</v>
      </c>
      <c r="C36" s="305" t="s">
        <v>453</v>
      </c>
      <c r="D36" s="305" t="s">
        <v>454</v>
      </c>
      <c r="E36" s="305" t="s">
        <v>560</v>
      </c>
      <c r="F36" s="305" t="s">
        <v>449</v>
      </c>
      <c r="G36" s="305" t="s">
        <v>557</v>
      </c>
      <c r="H36" s="305" t="s">
        <v>561</v>
      </c>
      <c r="DA36" s="278" t="s">
        <v>144</v>
      </c>
      <c r="DB36" s="279" t="s">
        <v>559</v>
      </c>
      <c r="DC36" s="280" t="s">
        <v>823</v>
      </c>
      <c r="DD36" s="281">
        <v>0</v>
      </c>
      <c r="DE36" s="281">
        <v>100000</v>
      </c>
      <c r="DF36" s="281" t="s">
        <v>824</v>
      </c>
      <c r="DG36" s="282" t="s">
        <v>960</v>
      </c>
      <c r="DH36" s="283" t="s">
        <v>559</v>
      </c>
      <c r="DI36" s="284" t="s">
        <v>762</v>
      </c>
      <c r="DJ36" s="285" t="s">
        <v>560</v>
      </c>
      <c r="DK36" s="286">
        <v>32</v>
      </c>
    </row>
    <row r="37" spans="1:115">
      <c r="A37" s="305" t="s">
        <v>562</v>
      </c>
      <c r="B37" s="305" t="s">
        <v>562</v>
      </c>
      <c r="C37" s="305" t="s">
        <v>458</v>
      </c>
      <c r="D37" s="305" t="s">
        <v>454</v>
      </c>
      <c r="E37" s="305" t="s">
        <v>459</v>
      </c>
      <c r="F37" s="305" t="s">
        <v>563</v>
      </c>
      <c r="G37" s="305" t="s">
        <v>449</v>
      </c>
      <c r="H37" s="305" t="s">
        <v>558</v>
      </c>
      <c r="DA37" s="278" t="s">
        <v>144</v>
      </c>
      <c r="DB37" s="279" t="s">
        <v>562</v>
      </c>
      <c r="DC37" s="280" t="s">
        <v>825</v>
      </c>
      <c r="DD37" s="281">
        <v>7000</v>
      </c>
      <c r="DE37" s="281">
        <v>0</v>
      </c>
      <c r="DF37" s="281" t="s">
        <v>822</v>
      </c>
      <c r="DG37" s="282" t="s">
        <v>938</v>
      </c>
      <c r="DH37" s="283" t="s">
        <v>562</v>
      </c>
      <c r="DI37" s="284" t="s">
        <v>767</v>
      </c>
      <c r="DJ37" s="285" t="s">
        <v>459</v>
      </c>
      <c r="DK37" s="286">
        <v>33</v>
      </c>
    </row>
    <row r="38" spans="1:115">
      <c r="A38" s="305" t="s">
        <v>564</v>
      </c>
      <c r="B38" s="305" t="s">
        <v>564</v>
      </c>
      <c r="C38" s="305" t="s">
        <v>453</v>
      </c>
      <c r="D38" s="305" t="s">
        <v>565</v>
      </c>
      <c r="E38" s="305" t="s">
        <v>566</v>
      </c>
      <c r="F38" s="305" t="s">
        <v>567</v>
      </c>
      <c r="G38" s="305" t="s">
        <v>449</v>
      </c>
      <c r="H38" s="305" t="s">
        <v>568</v>
      </c>
      <c r="DA38" s="278" t="s">
        <v>144</v>
      </c>
      <c r="DB38" s="279" t="s">
        <v>564</v>
      </c>
      <c r="DC38" s="280" t="s">
        <v>826</v>
      </c>
      <c r="DD38" s="281">
        <v>23514</v>
      </c>
      <c r="DE38" s="281">
        <v>0</v>
      </c>
      <c r="DF38" s="281" t="s">
        <v>827</v>
      </c>
      <c r="DG38" s="282" t="s">
        <v>961</v>
      </c>
      <c r="DH38" s="283" t="s">
        <v>564</v>
      </c>
      <c r="DI38" s="284" t="s">
        <v>767</v>
      </c>
      <c r="DJ38" s="285" t="s">
        <v>566</v>
      </c>
      <c r="DK38" s="286">
        <v>34</v>
      </c>
    </row>
    <row r="39" spans="1:115">
      <c r="A39" s="305" t="s">
        <v>569</v>
      </c>
      <c r="B39" s="305" t="s">
        <v>569</v>
      </c>
      <c r="C39" s="305" t="s">
        <v>453</v>
      </c>
      <c r="D39" s="305" t="s">
        <v>454</v>
      </c>
      <c r="E39" s="305" t="s">
        <v>570</v>
      </c>
      <c r="F39" s="305" t="s">
        <v>449</v>
      </c>
      <c r="G39" s="305" t="s">
        <v>571</v>
      </c>
      <c r="H39" s="305" t="s">
        <v>572</v>
      </c>
      <c r="DA39" s="278" t="s">
        <v>144</v>
      </c>
      <c r="DB39" s="279" t="s">
        <v>569</v>
      </c>
      <c r="DC39" s="280" t="s">
        <v>828</v>
      </c>
      <c r="DD39" s="281">
        <v>0</v>
      </c>
      <c r="DE39" s="281">
        <v>71016</v>
      </c>
      <c r="DF39" s="281" t="s">
        <v>829</v>
      </c>
      <c r="DG39" s="282" t="s">
        <v>962</v>
      </c>
      <c r="DH39" s="283" t="s">
        <v>569</v>
      </c>
      <c r="DI39" s="284" t="s">
        <v>762</v>
      </c>
      <c r="DJ39" s="285" t="s">
        <v>570</v>
      </c>
      <c r="DK39" s="286">
        <v>35</v>
      </c>
    </row>
    <row r="40" spans="1:115">
      <c r="A40" s="305" t="s">
        <v>573</v>
      </c>
      <c r="B40" s="305" t="s">
        <v>573</v>
      </c>
      <c r="C40" s="305" t="s">
        <v>453</v>
      </c>
      <c r="D40" s="305" t="s">
        <v>454</v>
      </c>
      <c r="E40" s="305" t="s">
        <v>574</v>
      </c>
      <c r="F40" s="305" t="s">
        <v>449</v>
      </c>
      <c r="G40" s="305" t="s">
        <v>575</v>
      </c>
      <c r="H40" s="305" t="s">
        <v>576</v>
      </c>
      <c r="DA40" s="278" t="s">
        <v>144</v>
      </c>
      <c r="DB40" s="279" t="s">
        <v>573</v>
      </c>
      <c r="DC40" s="280" t="s">
        <v>830</v>
      </c>
      <c r="DD40" s="281">
        <v>0</v>
      </c>
      <c r="DE40" s="281">
        <v>41700</v>
      </c>
      <c r="DF40" s="281" t="s">
        <v>831</v>
      </c>
      <c r="DG40" s="282" t="s">
        <v>963</v>
      </c>
      <c r="DH40" s="283" t="s">
        <v>573</v>
      </c>
      <c r="DI40" s="284" t="s">
        <v>762</v>
      </c>
      <c r="DJ40" s="285" t="s">
        <v>574</v>
      </c>
      <c r="DK40" s="286">
        <v>36</v>
      </c>
    </row>
    <row r="41" spans="1:115">
      <c r="A41" s="305" t="s">
        <v>573</v>
      </c>
      <c r="B41" s="305" t="s">
        <v>573</v>
      </c>
      <c r="C41" s="305" t="s">
        <v>497</v>
      </c>
      <c r="D41" s="305" t="s">
        <v>454</v>
      </c>
      <c r="E41" s="305" t="s">
        <v>577</v>
      </c>
      <c r="F41" s="305" t="s">
        <v>578</v>
      </c>
      <c r="G41" s="305" t="s">
        <v>449</v>
      </c>
      <c r="H41" s="305" t="s">
        <v>579</v>
      </c>
      <c r="DA41" s="278" t="s">
        <v>144</v>
      </c>
      <c r="DB41" s="279" t="s">
        <v>573</v>
      </c>
      <c r="DC41" s="280" t="s">
        <v>832</v>
      </c>
      <c r="DD41" s="281">
        <v>3000</v>
      </c>
      <c r="DE41" s="281">
        <v>0</v>
      </c>
      <c r="DF41" s="281" t="s">
        <v>833</v>
      </c>
      <c r="DG41" s="282" t="s">
        <v>964</v>
      </c>
      <c r="DH41" s="283" t="s">
        <v>573</v>
      </c>
      <c r="DI41" s="284" t="s">
        <v>767</v>
      </c>
      <c r="DJ41" s="285" t="s">
        <v>577</v>
      </c>
      <c r="DK41" s="286">
        <v>37</v>
      </c>
    </row>
    <row r="42" spans="1:115">
      <c r="A42" s="305" t="s">
        <v>580</v>
      </c>
      <c r="B42" s="305" t="s">
        <v>580</v>
      </c>
      <c r="C42" s="305" t="s">
        <v>469</v>
      </c>
      <c r="D42" s="305" t="s">
        <v>454</v>
      </c>
      <c r="E42" s="305" t="s">
        <v>470</v>
      </c>
      <c r="F42" s="305" t="s">
        <v>578</v>
      </c>
      <c r="G42" s="305" t="s">
        <v>449</v>
      </c>
      <c r="H42" s="305" t="s">
        <v>581</v>
      </c>
      <c r="DA42" s="278" t="s">
        <v>144</v>
      </c>
      <c r="DB42" s="279" t="s">
        <v>580</v>
      </c>
      <c r="DC42" s="280" t="s">
        <v>834</v>
      </c>
      <c r="DD42" s="281">
        <v>3000</v>
      </c>
      <c r="DE42" s="281">
        <v>0</v>
      </c>
      <c r="DF42" s="281" t="s">
        <v>835</v>
      </c>
      <c r="DG42" s="282" t="s">
        <v>940</v>
      </c>
      <c r="DH42" s="283" t="s">
        <v>580</v>
      </c>
      <c r="DI42" s="284" t="s">
        <v>767</v>
      </c>
      <c r="DJ42" s="285" t="s">
        <v>470</v>
      </c>
      <c r="DK42" s="286">
        <v>38</v>
      </c>
    </row>
    <row r="43" spans="1:115">
      <c r="A43" s="305" t="s">
        <v>582</v>
      </c>
      <c r="B43" s="305" t="s">
        <v>582</v>
      </c>
      <c r="C43" s="305" t="s">
        <v>453</v>
      </c>
      <c r="D43" s="305" t="s">
        <v>583</v>
      </c>
      <c r="E43" s="305" t="s">
        <v>584</v>
      </c>
      <c r="F43" s="305" t="s">
        <v>585</v>
      </c>
      <c r="G43" s="305" t="s">
        <v>449</v>
      </c>
      <c r="H43" s="305" t="s">
        <v>586</v>
      </c>
      <c r="DA43" s="278" t="s">
        <v>144</v>
      </c>
      <c r="DB43" s="279" t="s">
        <v>582</v>
      </c>
      <c r="DC43" s="280" t="s">
        <v>836</v>
      </c>
      <c r="DD43" s="281">
        <v>9555</v>
      </c>
      <c r="DE43" s="281">
        <v>0</v>
      </c>
      <c r="DF43" s="281" t="s">
        <v>837</v>
      </c>
      <c r="DG43" s="282" t="s">
        <v>965</v>
      </c>
      <c r="DH43" s="283" t="s">
        <v>582</v>
      </c>
      <c r="DI43" s="284" t="s">
        <v>767</v>
      </c>
      <c r="DJ43" s="285" t="s">
        <v>584</v>
      </c>
      <c r="DK43" s="286">
        <v>39</v>
      </c>
    </row>
    <row r="44" spans="1:115">
      <c r="A44" s="305" t="s">
        <v>582</v>
      </c>
      <c r="B44" s="305" t="s">
        <v>582</v>
      </c>
      <c r="C44" s="305" t="s">
        <v>446</v>
      </c>
      <c r="D44" s="305" t="s">
        <v>587</v>
      </c>
      <c r="E44" s="305" t="s">
        <v>588</v>
      </c>
      <c r="F44" s="305" t="s">
        <v>449</v>
      </c>
      <c r="G44" s="305" t="s">
        <v>589</v>
      </c>
      <c r="H44" s="305" t="s">
        <v>590</v>
      </c>
      <c r="DA44" s="278" t="s">
        <v>144</v>
      </c>
      <c r="DB44" s="279" t="s">
        <v>582</v>
      </c>
      <c r="DC44" s="280" t="s">
        <v>838</v>
      </c>
      <c r="DD44" s="281">
        <v>0</v>
      </c>
      <c r="DE44" s="281">
        <v>36015</v>
      </c>
      <c r="DF44" s="281" t="s">
        <v>839</v>
      </c>
      <c r="DG44" s="306" t="s">
        <v>936</v>
      </c>
      <c r="DH44" s="283" t="s">
        <v>582</v>
      </c>
      <c r="DI44" s="284" t="s">
        <v>762</v>
      </c>
      <c r="DJ44" s="285" t="s">
        <v>588</v>
      </c>
      <c r="DK44" s="286">
        <v>40</v>
      </c>
    </row>
    <row r="45" spans="1:115">
      <c r="A45" s="305" t="s">
        <v>591</v>
      </c>
      <c r="B45" s="305" t="s">
        <v>591</v>
      </c>
      <c r="C45" s="305" t="s">
        <v>458</v>
      </c>
      <c r="D45" s="305" t="s">
        <v>592</v>
      </c>
      <c r="E45" s="305" t="s">
        <v>593</v>
      </c>
      <c r="F45" s="305" t="s">
        <v>594</v>
      </c>
      <c r="G45" s="305" t="s">
        <v>449</v>
      </c>
      <c r="H45" s="305" t="s">
        <v>595</v>
      </c>
      <c r="DA45" s="278" t="s">
        <v>144</v>
      </c>
      <c r="DB45" s="279" t="s">
        <v>591</v>
      </c>
      <c r="DC45" s="280" t="s">
        <v>840</v>
      </c>
      <c r="DD45" s="281">
        <v>25079</v>
      </c>
      <c r="DE45" s="281">
        <v>0</v>
      </c>
      <c r="DF45" s="281" t="s">
        <v>841</v>
      </c>
      <c r="DG45" s="282"/>
      <c r="DH45" s="283" t="s">
        <v>591</v>
      </c>
      <c r="DI45" s="284" t="s">
        <v>767</v>
      </c>
      <c r="DJ45" s="285" t="s">
        <v>593</v>
      </c>
      <c r="DK45" s="286">
        <v>41</v>
      </c>
    </row>
    <row r="46" spans="1:115">
      <c r="A46" s="305" t="s">
        <v>596</v>
      </c>
      <c r="B46" s="305" t="s">
        <v>596</v>
      </c>
      <c r="C46" s="305" t="s">
        <v>453</v>
      </c>
      <c r="D46" s="305" t="s">
        <v>597</v>
      </c>
      <c r="E46" s="305" t="s">
        <v>598</v>
      </c>
      <c r="F46" s="305" t="s">
        <v>599</v>
      </c>
      <c r="G46" s="305" t="s">
        <v>449</v>
      </c>
      <c r="H46" s="305" t="s">
        <v>600</v>
      </c>
      <c r="DA46" s="278" t="s">
        <v>144</v>
      </c>
      <c r="DB46" s="279" t="s">
        <v>596</v>
      </c>
      <c r="DC46" s="280" t="s">
        <v>842</v>
      </c>
      <c r="DD46" s="281">
        <v>44289</v>
      </c>
      <c r="DE46" s="281">
        <v>0</v>
      </c>
      <c r="DF46" s="281" t="s">
        <v>843</v>
      </c>
      <c r="DG46" s="282" t="s">
        <v>966</v>
      </c>
      <c r="DH46" s="283" t="s">
        <v>596</v>
      </c>
      <c r="DI46" s="284" t="s">
        <v>767</v>
      </c>
      <c r="DJ46" s="285" t="s">
        <v>598</v>
      </c>
      <c r="DK46" s="286">
        <v>42</v>
      </c>
    </row>
    <row r="47" spans="1:115">
      <c r="A47" s="305" t="s">
        <v>601</v>
      </c>
      <c r="B47" s="305" t="s">
        <v>601</v>
      </c>
      <c r="C47" s="305" t="s">
        <v>458</v>
      </c>
      <c r="D47" s="305" t="s">
        <v>602</v>
      </c>
      <c r="E47" s="305" t="s">
        <v>488</v>
      </c>
      <c r="F47" s="305" t="s">
        <v>603</v>
      </c>
      <c r="G47" s="305" t="s">
        <v>449</v>
      </c>
      <c r="H47" s="305" t="s">
        <v>604</v>
      </c>
      <c r="DA47" s="278" t="s">
        <v>144</v>
      </c>
      <c r="DB47" s="279" t="s">
        <v>601</v>
      </c>
      <c r="DC47" s="280" t="s">
        <v>844</v>
      </c>
      <c r="DD47" s="281">
        <v>70000</v>
      </c>
      <c r="DE47" s="281">
        <v>0</v>
      </c>
      <c r="DF47" s="281" t="s">
        <v>845</v>
      </c>
      <c r="DG47" s="282" t="s">
        <v>944</v>
      </c>
      <c r="DH47" s="283" t="s">
        <v>601</v>
      </c>
      <c r="DI47" s="284" t="s">
        <v>767</v>
      </c>
      <c r="DJ47" s="285" t="s">
        <v>488</v>
      </c>
      <c r="DK47" s="286">
        <v>43</v>
      </c>
    </row>
    <row r="48" spans="1:115">
      <c r="A48" s="305" t="s">
        <v>605</v>
      </c>
      <c r="B48" s="305" t="s">
        <v>605</v>
      </c>
      <c r="C48" s="305" t="s">
        <v>458</v>
      </c>
      <c r="D48" s="305" t="s">
        <v>606</v>
      </c>
      <c r="E48" s="305" t="s">
        <v>488</v>
      </c>
      <c r="F48" s="305" t="s">
        <v>607</v>
      </c>
      <c r="G48" s="305" t="s">
        <v>449</v>
      </c>
      <c r="H48" s="305" t="s">
        <v>608</v>
      </c>
      <c r="DA48" s="278" t="s">
        <v>144</v>
      </c>
      <c r="DB48" s="279" t="s">
        <v>605</v>
      </c>
      <c r="DC48" s="280" t="s">
        <v>846</v>
      </c>
      <c r="DD48" s="281">
        <v>54000</v>
      </c>
      <c r="DE48" s="281">
        <v>0</v>
      </c>
      <c r="DF48" s="281" t="s">
        <v>847</v>
      </c>
      <c r="DG48" s="282" t="s">
        <v>944</v>
      </c>
      <c r="DH48" s="283" t="s">
        <v>605</v>
      </c>
      <c r="DI48" s="284" t="s">
        <v>767</v>
      </c>
      <c r="DJ48" s="285" t="s">
        <v>488</v>
      </c>
      <c r="DK48" s="286">
        <v>44</v>
      </c>
    </row>
    <row r="49" spans="1:115">
      <c r="A49" s="305" t="s">
        <v>605</v>
      </c>
      <c r="B49" s="305" t="s">
        <v>605</v>
      </c>
      <c r="C49" s="305" t="s">
        <v>453</v>
      </c>
      <c r="D49" s="305" t="s">
        <v>454</v>
      </c>
      <c r="E49" s="305" t="s">
        <v>609</v>
      </c>
      <c r="F49" s="305" t="s">
        <v>449</v>
      </c>
      <c r="G49" s="305" t="s">
        <v>610</v>
      </c>
      <c r="H49" s="305" t="s">
        <v>611</v>
      </c>
      <c r="DA49" s="278" t="s">
        <v>144</v>
      </c>
      <c r="DB49" s="279" t="s">
        <v>605</v>
      </c>
      <c r="DC49" s="280" t="s">
        <v>848</v>
      </c>
      <c r="DD49" s="281">
        <v>0</v>
      </c>
      <c r="DE49" s="281">
        <v>40000</v>
      </c>
      <c r="DF49" s="281" t="s">
        <v>849</v>
      </c>
      <c r="DG49" s="282" t="s">
        <v>967</v>
      </c>
      <c r="DH49" s="283" t="s">
        <v>605</v>
      </c>
      <c r="DI49" s="284" t="s">
        <v>762</v>
      </c>
      <c r="DJ49" s="285" t="s">
        <v>609</v>
      </c>
      <c r="DK49" s="286">
        <v>45</v>
      </c>
    </row>
    <row r="50" spans="1:115">
      <c r="A50" s="305" t="s">
        <v>605</v>
      </c>
      <c r="B50" s="305" t="s">
        <v>605</v>
      </c>
      <c r="C50" s="305" t="s">
        <v>453</v>
      </c>
      <c r="D50" s="305" t="s">
        <v>454</v>
      </c>
      <c r="E50" s="305" t="s">
        <v>522</v>
      </c>
      <c r="F50" s="305" t="s">
        <v>523</v>
      </c>
      <c r="G50" s="305" t="s">
        <v>449</v>
      </c>
      <c r="H50" s="305" t="s">
        <v>612</v>
      </c>
      <c r="DA50" s="278" t="s">
        <v>144</v>
      </c>
      <c r="DB50" s="279" t="s">
        <v>605</v>
      </c>
      <c r="DC50" s="280" t="s">
        <v>850</v>
      </c>
      <c r="DD50" s="281">
        <v>30317</v>
      </c>
      <c r="DE50" s="281">
        <v>0</v>
      </c>
      <c r="DF50" s="281" t="s">
        <v>851</v>
      </c>
      <c r="DG50" s="282" t="s">
        <v>952</v>
      </c>
      <c r="DH50" s="283" t="s">
        <v>605</v>
      </c>
      <c r="DI50" s="284" t="s">
        <v>767</v>
      </c>
      <c r="DJ50" s="285" t="s">
        <v>522</v>
      </c>
      <c r="DK50" s="286">
        <v>46</v>
      </c>
    </row>
    <row r="51" spans="1:115">
      <c r="A51" s="305" t="s">
        <v>613</v>
      </c>
      <c r="B51" s="305" t="s">
        <v>613</v>
      </c>
      <c r="C51" s="305" t="s">
        <v>453</v>
      </c>
      <c r="D51" s="305" t="s">
        <v>614</v>
      </c>
      <c r="E51" s="305" t="s">
        <v>615</v>
      </c>
      <c r="F51" s="305" t="s">
        <v>449</v>
      </c>
      <c r="G51" s="305" t="s">
        <v>616</v>
      </c>
      <c r="H51" s="305" t="s">
        <v>617</v>
      </c>
      <c r="DA51" s="278" t="s">
        <v>144</v>
      </c>
      <c r="DB51" s="279" t="s">
        <v>613</v>
      </c>
      <c r="DC51" s="280" t="s">
        <v>852</v>
      </c>
      <c r="DD51" s="281">
        <v>0</v>
      </c>
      <c r="DE51" s="281">
        <v>36855</v>
      </c>
      <c r="DF51" s="281" t="s">
        <v>853</v>
      </c>
      <c r="DG51" s="306" t="s">
        <v>968</v>
      </c>
      <c r="DH51" s="283" t="s">
        <v>613</v>
      </c>
      <c r="DI51" s="284" t="s">
        <v>762</v>
      </c>
      <c r="DJ51" s="285" t="s">
        <v>615</v>
      </c>
      <c r="DK51" s="286">
        <v>47</v>
      </c>
    </row>
    <row r="52" spans="1:115">
      <c r="A52" s="305" t="s">
        <v>613</v>
      </c>
      <c r="B52" s="305" t="s">
        <v>613</v>
      </c>
      <c r="C52" s="305" t="s">
        <v>453</v>
      </c>
      <c r="D52" s="305" t="s">
        <v>618</v>
      </c>
      <c r="E52" s="305" t="s">
        <v>619</v>
      </c>
      <c r="F52" s="305" t="s">
        <v>449</v>
      </c>
      <c r="G52" s="305" t="s">
        <v>620</v>
      </c>
      <c r="H52" s="305" t="s">
        <v>621</v>
      </c>
      <c r="DA52" s="278" t="s">
        <v>144</v>
      </c>
      <c r="DB52" s="279" t="s">
        <v>613</v>
      </c>
      <c r="DC52" s="280" t="s">
        <v>854</v>
      </c>
      <c r="DD52" s="281">
        <v>0</v>
      </c>
      <c r="DE52" s="281">
        <v>43659</v>
      </c>
      <c r="DF52" s="281" t="s">
        <v>855</v>
      </c>
      <c r="DG52" s="306" t="s">
        <v>969</v>
      </c>
      <c r="DH52" s="283" t="s">
        <v>613</v>
      </c>
      <c r="DI52" s="284" t="s">
        <v>762</v>
      </c>
      <c r="DJ52" s="285" t="s">
        <v>619</v>
      </c>
      <c r="DK52" s="286">
        <v>48</v>
      </c>
    </row>
    <row r="53" spans="1:115">
      <c r="A53" s="305" t="s">
        <v>613</v>
      </c>
      <c r="B53" s="305" t="s">
        <v>613</v>
      </c>
      <c r="C53" s="305" t="s">
        <v>453</v>
      </c>
      <c r="D53" s="305" t="s">
        <v>622</v>
      </c>
      <c r="E53" s="305" t="s">
        <v>615</v>
      </c>
      <c r="F53" s="305" t="s">
        <v>449</v>
      </c>
      <c r="G53" s="305" t="s">
        <v>623</v>
      </c>
      <c r="H53" s="305" t="s">
        <v>624</v>
      </c>
      <c r="DA53" s="278" t="s">
        <v>144</v>
      </c>
      <c r="DB53" s="279" t="s">
        <v>613</v>
      </c>
      <c r="DC53" s="280" t="s">
        <v>856</v>
      </c>
      <c r="DD53" s="281">
        <v>0</v>
      </c>
      <c r="DE53" s="281">
        <v>45360</v>
      </c>
      <c r="DF53" s="281" t="s">
        <v>857</v>
      </c>
      <c r="DG53" s="306" t="s">
        <v>968</v>
      </c>
      <c r="DH53" s="283" t="s">
        <v>613</v>
      </c>
      <c r="DI53" s="284" t="s">
        <v>762</v>
      </c>
      <c r="DJ53" s="285" t="s">
        <v>615</v>
      </c>
      <c r="DK53" s="286">
        <v>49</v>
      </c>
    </row>
    <row r="54" spans="1:115">
      <c r="A54" s="305" t="s">
        <v>625</v>
      </c>
      <c r="B54" s="305" t="s">
        <v>625</v>
      </c>
      <c r="C54" s="305" t="s">
        <v>453</v>
      </c>
      <c r="D54" s="305" t="s">
        <v>626</v>
      </c>
      <c r="E54" s="305" t="s">
        <v>627</v>
      </c>
      <c r="F54" s="305" t="s">
        <v>471</v>
      </c>
      <c r="G54" s="305" t="s">
        <v>449</v>
      </c>
      <c r="H54" s="305" t="s">
        <v>628</v>
      </c>
      <c r="DA54" s="278" t="s">
        <v>144</v>
      </c>
      <c r="DB54" s="279" t="s">
        <v>625</v>
      </c>
      <c r="DC54" s="280" t="s">
        <v>858</v>
      </c>
      <c r="DD54" s="281">
        <v>20000</v>
      </c>
      <c r="DE54" s="281">
        <v>0</v>
      </c>
      <c r="DF54" s="281" t="s">
        <v>859</v>
      </c>
      <c r="DG54" s="282" t="s">
        <v>970</v>
      </c>
      <c r="DH54" s="283" t="s">
        <v>625</v>
      </c>
      <c r="DI54" s="284" t="s">
        <v>767</v>
      </c>
      <c r="DJ54" s="285" t="s">
        <v>627</v>
      </c>
      <c r="DK54" s="286">
        <v>50</v>
      </c>
    </row>
    <row r="55" spans="1:115">
      <c r="A55" s="305" t="s">
        <v>629</v>
      </c>
      <c r="B55" s="305" t="s">
        <v>629</v>
      </c>
      <c r="C55" s="305" t="s">
        <v>453</v>
      </c>
      <c r="D55" s="305" t="s">
        <v>454</v>
      </c>
      <c r="E55" s="305" t="s">
        <v>630</v>
      </c>
      <c r="F55" s="305" t="s">
        <v>449</v>
      </c>
      <c r="G55" s="305" t="s">
        <v>631</v>
      </c>
      <c r="H55" s="305" t="s">
        <v>632</v>
      </c>
      <c r="DA55" s="278" t="s">
        <v>144</v>
      </c>
      <c r="DB55" s="279" t="s">
        <v>629</v>
      </c>
      <c r="DC55" s="280" t="s">
        <v>860</v>
      </c>
      <c r="DD55" s="281">
        <v>0</v>
      </c>
      <c r="DE55" s="281">
        <v>27563</v>
      </c>
      <c r="DF55" s="281" t="s">
        <v>861</v>
      </c>
      <c r="DG55" s="282" t="s">
        <v>971</v>
      </c>
      <c r="DH55" s="283" t="s">
        <v>629</v>
      </c>
      <c r="DI55" s="284" t="s">
        <v>762</v>
      </c>
      <c r="DJ55" s="285" t="s">
        <v>630</v>
      </c>
      <c r="DK55" s="286">
        <v>51</v>
      </c>
    </row>
    <row r="56" spans="1:115">
      <c r="A56" s="305" t="s">
        <v>633</v>
      </c>
      <c r="B56" s="305" t="s">
        <v>633</v>
      </c>
      <c r="C56" s="305" t="s">
        <v>453</v>
      </c>
      <c r="D56" s="305" t="s">
        <v>634</v>
      </c>
      <c r="E56" s="305" t="s">
        <v>635</v>
      </c>
      <c r="F56" s="305" t="s">
        <v>557</v>
      </c>
      <c r="G56" s="305" t="s">
        <v>449</v>
      </c>
      <c r="H56" s="305" t="s">
        <v>636</v>
      </c>
      <c r="DA56" s="278" t="s">
        <v>144</v>
      </c>
      <c r="DB56" s="279" t="s">
        <v>633</v>
      </c>
      <c r="DC56" s="280" t="s">
        <v>862</v>
      </c>
      <c r="DD56" s="281">
        <v>100000</v>
      </c>
      <c r="DE56" s="281">
        <v>0</v>
      </c>
      <c r="DF56" s="281" t="s">
        <v>863</v>
      </c>
      <c r="DG56" s="282" t="s">
        <v>972</v>
      </c>
      <c r="DH56" s="283" t="s">
        <v>633</v>
      </c>
      <c r="DI56" s="284" t="s">
        <v>767</v>
      </c>
      <c r="DJ56" s="285" t="s">
        <v>635</v>
      </c>
      <c r="DK56" s="286">
        <v>52</v>
      </c>
    </row>
    <row r="57" spans="1:115">
      <c r="A57" s="305" t="s">
        <v>637</v>
      </c>
      <c r="B57" s="305" t="s">
        <v>637</v>
      </c>
      <c r="C57" s="305" t="s">
        <v>458</v>
      </c>
      <c r="D57" s="305" t="s">
        <v>638</v>
      </c>
      <c r="E57" s="305" t="s">
        <v>488</v>
      </c>
      <c r="F57" s="305" t="s">
        <v>460</v>
      </c>
      <c r="G57" s="305" t="s">
        <v>449</v>
      </c>
      <c r="H57" s="305" t="s">
        <v>639</v>
      </c>
      <c r="DA57" s="278" t="s">
        <v>144</v>
      </c>
      <c r="DB57" s="279" t="s">
        <v>637</v>
      </c>
      <c r="DC57" s="280" t="s">
        <v>864</v>
      </c>
      <c r="DD57" s="281">
        <v>10000</v>
      </c>
      <c r="DE57" s="281">
        <v>0</v>
      </c>
      <c r="DF57" s="281" t="s">
        <v>865</v>
      </c>
      <c r="DG57" s="282" t="s">
        <v>944</v>
      </c>
      <c r="DH57" s="283" t="s">
        <v>637</v>
      </c>
      <c r="DI57" s="284" t="s">
        <v>767</v>
      </c>
      <c r="DJ57" s="285" t="s">
        <v>488</v>
      </c>
      <c r="DK57" s="286">
        <v>53</v>
      </c>
    </row>
    <row r="58" spans="1:115">
      <c r="A58" s="305" t="s">
        <v>637</v>
      </c>
      <c r="B58" s="305" t="s">
        <v>637</v>
      </c>
      <c r="C58" s="305" t="s">
        <v>453</v>
      </c>
      <c r="D58" s="305" t="s">
        <v>640</v>
      </c>
      <c r="E58" s="305" t="s">
        <v>641</v>
      </c>
      <c r="F58" s="305" t="s">
        <v>642</v>
      </c>
      <c r="G58" s="305" t="s">
        <v>449</v>
      </c>
      <c r="H58" s="305" t="s">
        <v>643</v>
      </c>
      <c r="DA58" s="278" t="s">
        <v>144</v>
      </c>
      <c r="DB58" s="279" t="s">
        <v>637</v>
      </c>
      <c r="DC58" s="280" t="s">
        <v>866</v>
      </c>
      <c r="DD58" s="281">
        <v>77420</v>
      </c>
      <c r="DE58" s="281">
        <v>0</v>
      </c>
      <c r="DF58" s="281" t="s">
        <v>867</v>
      </c>
      <c r="DG58" s="282" t="s">
        <v>973</v>
      </c>
      <c r="DH58" s="283" t="s">
        <v>637</v>
      </c>
      <c r="DI58" s="284" t="s">
        <v>767</v>
      </c>
      <c r="DJ58" s="285" t="s">
        <v>641</v>
      </c>
      <c r="DK58" s="286">
        <v>54</v>
      </c>
    </row>
    <row r="59" spans="1:115">
      <c r="A59" s="305" t="s">
        <v>644</v>
      </c>
      <c r="B59" s="305" t="s">
        <v>644</v>
      </c>
      <c r="C59" s="305" t="s">
        <v>453</v>
      </c>
      <c r="D59" s="305" t="s">
        <v>454</v>
      </c>
      <c r="E59" s="305" t="s">
        <v>645</v>
      </c>
      <c r="F59" s="305" t="s">
        <v>449</v>
      </c>
      <c r="G59" s="305" t="s">
        <v>646</v>
      </c>
      <c r="H59" s="305" t="s">
        <v>647</v>
      </c>
      <c r="DA59" s="278" t="s">
        <v>144</v>
      </c>
      <c r="DB59" s="279" t="s">
        <v>644</v>
      </c>
      <c r="DC59" s="280" t="s">
        <v>868</v>
      </c>
      <c r="DD59" s="281">
        <v>0</v>
      </c>
      <c r="DE59" s="281">
        <v>37485</v>
      </c>
      <c r="DF59" s="281" t="s">
        <v>869</v>
      </c>
      <c r="DG59" s="282" t="s">
        <v>974</v>
      </c>
      <c r="DH59" s="283" t="s">
        <v>644</v>
      </c>
      <c r="DI59" s="284" t="s">
        <v>762</v>
      </c>
      <c r="DJ59" s="285" t="s">
        <v>645</v>
      </c>
      <c r="DK59" s="286">
        <v>55</v>
      </c>
    </row>
    <row r="60" spans="1:115">
      <c r="A60" s="305" t="s">
        <v>644</v>
      </c>
      <c r="B60" s="305" t="s">
        <v>644</v>
      </c>
      <c r="C60" s="305" t="s">
        <v>453</v>
      </c>
      <c r="D60" s="305" t="s">
        <v>454</v>
      </c>
      <c r="E60" s="305" t="s">
        <v>648</v>
      </c>
      <c r="F60" s="305" t="s">
        <v>449</v>
      </c>
      <c r="G60" s="305" t="s">
        <v>649</v>
      </c>
      <c r="H60" s="305" t="s">
        <v>650</v>
      </c>
      <c r="DA60" s="278" t="s">
        <v>144</v>
      </c>
      <c r="DB60" s="279" t="s">
        <v>644</v>
      </c>
      <c r="DC60" s="280" t="s">
        <v>870</v>
      </c>
      <c r="DD60" s="281">
        <v>0</v>
      </c>
      <c r="DE60" s="281">
        <v>45560</v>
      </c>
      <c r="DF60" s="281" t="s">
        <v>871</v>
      </c>
      <c r="DG60" s="282" t="s">
        <v>975</v>
      </c>
      <c r="DH60" s="283" t="s">
        <v>644</v>
      </c>
      <c r="DI60" s="284" t="s">
        <v>762</v>
      </c>
      <c r="DJ60" s="285" t="s">
        <v>648</v>
      </c>
      <c r="DK60" s="286">
        <v>56</v>
      </c>
    </row>
    <row r="61" spans="1:115">
      <c r="A61" s="305" t="s">
        <v>651</v>
      </c>
      <c r="B61" s="305" t="s">
        <v>651</v>
      </c>
      <c r="C61" s="305" t="s">
        <v>453</v>
      </c>
      <c r="D61" s="305" t="s">
        <v>454</v>
      </c>
      <c r="E61" s="305" t="s">
        <v>652</v>
      </c>
      <c r="F61" s="305" t="s">
        <v>449</v>
      </c>
      <c r="G61" s="305" t="s">
        <v>653</v>
      </c>
      <c r="H61" s="305" t="s">
        <v>654</v>
      </c>
      <c r="DA61" s="278" t="s">
        <v>144</v>
      </c>
      <c r="DB61" s="279" t="s">
        <v>651</v>
      </c>
      <c r="DC61" s="280" t="s">
        <v>872</v>
      </c>
      <c r="DD61" s="281">
        <v>0</v>
      </c>
      <c r="DE61" s="281">
        <v>12700</v>
      </c>
      <c r="DF61" s="281" t="s">
        <v>873</v>
      </c>
      <c r="DG61" s="282" t="s">
        <v>976</v>
      </c>
      <c r="DH61" s="283" t="s">
        <v>651</v>
      </c>
      <c r="DI61" s="284" t="s">
        <v>762</v>
      </c>
      <c r="DJ61" s="285" t="s">
        <v>652</v>
      </c>
      <c r="DK61" s="286">
        <v>57</v>
      </c>
    </row>
    <row r="62" spans="1:115">
      <c r="A62" s="305" t="s">
        <v>655</v>
      </c>
      <c r="B62" s="305" t="s">
        <v>655</v>
      </c>
      <c r="C62" s="305" t="s">
        <v>446</v>
      </c>
      <c r="D62" s="305" t="s">
        <v>656</v>
      </c>
      <c r="E62" s="305" t="s">
        <v>448</v>
      </c>
      <c r="F62" s="305" t="s">
        <v>449</v>
      </c>
      <c r="G62" s="305" t="s">
        <v>657</v>
      </c>
      <c r="H62" s="305" t="s">
        <v>658</v>
      </c>
      <c r="DA62" s="278" t="s">
        <v>144</v>
      </c>
      <c r="DB62" s="279" t="s">
        <v>655</v>
      </c>
      <c r="DC62" s="280" t="s">
        <v>874</v>
      </c>
      <c r="DD62" s="281">
        <v>0</v>
      </c>
      <c r="DE62" s="281">
        <v>51850</v>
      </c>
      <c r="DF62" s="281" t="s">
        <v>875</v>
      </c>
      <c r="DG62" s="306" t="s">
        <v>936</v>
      </c>
      <c r="DH62" s="283" t="s">
        <v>655</v>
      </c>
      <c r="DI62" s="284" t="s">
        <v>762</v>
      </c>
      <c r="DJ62" s="285" t="s">
        <v>448</v>
      </c>
      <c r="DK62" s="286">
        <v>58</v>
      </c>
    </row>
    <row r="63" spans="1:115">
      <c r="A63" s="305" t="s">
        <v>659</v>
      </c>
      <c r="B63" s="305" t="s">
        <v>659</v>
      </c>
      <c r="C63" s="305" t="s">
        <v>469</v>
      </c>
      <c r="D63" s="305" t="s">
        <v>454</v>
      </c>
      <c r="E63" s="305" t="s">
        <v>660</v>
      </c>
      <c r="F63" s="305" t="s">
        <v>661</v>
      </c>
      <c r="G63" s="305" t="s">
        <v>449</v>
      </c>
      <c r="H63" s="305" t="s">
        <v>662</v>
      </c>
      <c r="DA63" s="278" t="s">
        <v>144</v>
      </c>
      <c r="DB63" s="279" t="s">
        <v>659</v>
      </c>
      <c r="DC63" s="280" t="s">
        <v>876</v>
      </c>
      <c r="DD63" s="281">
        <v>354</v>
      </c>
      <c r="DE63" s="281">
        <v>0</v>
      </c>
      <c r="DF63" s="281" t="s">
        <v>877</v>
      </c>
      <c r="DG63" s="282" t="s">
        <v>964</v>
      </c>
      <c r="DH63" s="283" t="s">
        <v>659</v>
      </c>
      <c r="DI63" s="284" t="s">
        <v>767</v>
      </c>
      <c r="DJ63" s="285" t="s">
        <v>660</v>
      </c>
      <c r="DK63" s="286">
        <v>59</v>
      </c>
    </row>
    <row r="64" spans="1:115">
      <c r="A64" s="305" t="s">
        <v>663</v>
      </c>
      <c r="B64" s="305" t="s">
        <v>663</v>
      </c>
      <c r="C64" s="305" t="s">
        <v>458</v>
      </c>
      <c r="D64" s="305" t="s">
        <v>664</v>
      </c>
      <c r="E64" s="305" t="s">
        <v>488</v>
      </c>
      <c r="F64" s="305" t="s">
        <v>665</v>
      </c>
      <c r="G64" s="305" t="s">
        <v>449</v>
      </c>
      <c r="H64" s="305" t="s">
        <v>666</v>
      </c>
      <c r="DA64" s="278" t="s">
        <v>144</v>
      </c>
      <c r="DB64" s="279" t="s">
        <v>663</v>
      </c>
      <c r="DC64" s="280" t="s">
        <v>878</v>
      </c>
      <c r="DD64" s="281">
        <v>49000</v>
      </c>
      <c r="DE64" s="281">
        <v>0</v>
      </c>
      <c r="DF64" s="281" t="s">
        <v>879</v>
      </c>
      <c r="DG64" s="282" t="s">
        <v>944</v>
      </c>
      <c r="DH64" s="283" t="s">
        <v>663</v>
      </c>
      <c r="DI64" s="284" t="s">
        <v>767</v>
      </c>
      <c r="DJ64" s="285" t="s">
        <v>488</v>
      </c>
      <c r="DK64" s="286">
        <v>60</v>
      </c>
    </row>
    <row r="65" spans="1:115">
      <c r="A65" s="305" t="s">
        <v>667</v>
      </c>
      <c r="B65" s="305" t="s">
        <v>667</v>
      </c>
      <c r="C65" s="305" t="s">
        <v>469</v>
      </c>
      <c r="D65" s="305" t="s">
        <v>668</v>
      </c>
      <c r="E65" s="305" t="s">
        <v>669</v>
      </c>
      <c r="F65" s="305" t="s">
        <v>471</v>
      </c>
      <c r="G65" s="305" t="s">
        <v>449</v>
      </c>
      <c r="H65" s="305" t="s">
        <v>670</v>
      </c>
      <c r="DA65" s="278" t="s">
        <v>144</v>
      </c>
      <c r="DB65" s="279" t="s">
        <v>667</v>
      </c>
      <c r="DC65" s="280" t="s">
        <v>880</v>
      </c>
      <c r="DD65" s="281">
        <v>20000</v>
      </c>
      <c r="DE65" s="281">
        <v>0</v>
      </c>
      <c r="DF65" s="281" t="s">
        <v>881</v>
      </c>
      <c r="DG65" s="282" t="s">
        <v>944</v>
      </c>
      <c r="DH65" s="283" t="s">
        <v>667</v>
      </c>
      <c r="DI65" s="284" t="s">
        <v>767</v>
      </c>
      <c r="DJ65" s="285" t="s">
        <v>669</v>
      </c>
      <c r="DK65" s="286">
        <v>61</v>
      </c>
    </row>
    <row r="66" spans="1:115">
      <c r="A66" s="305" t="s">
        <v>671</v>
      </c>
      <c r="B66" s="305" t="s">
        <v>671</v>
      </c>
      <c r="C66" s="305" t="s">
        <v>453</v>
      </c>
      <c r="D66" s="305" t="s">
        <v>454</v>
      </c>
      <c r="E66" s="305" t="s">
        <v>672</v>
      </c>
      <c r="F66" s="305" t="s">
        <v>449</v>
      </c>
      <c r="G66" s="305" t="s">
        <v>485</v>
      </c>
      <c r="H66" s="305" t="s">
        <v>673</v>
      </c>
      <c r="DA66" s="278" t="s">
        <v>144</v>
      </c>
      <c r="DB66" s="279" t="s">
        <v>671</v>
      </c>
      <c r="DC66" s="280" t="s">
        <v>882</v>
      </c>
      <c r="DD66" s="281">
        <v>0</v>
      </c>
      <c r="DE66" s="281">
        <v>50000</v>
      </c>
      <c r="DF66" s="281" t="s">
        <v>883</v>
      </c>
      <c r="DG66" s="282" t="s">
        <v>977</v>
      </c>
      <c r="DH66" s="283" t="s">
        <v>671</v>
      </c>
      <c r="DI66" s="284" t="s">
        <v>762</v>
      </c>
      <c r="DJ66" s="285" t="s">
        <v>672</v>
      </c>
      <c r="DK66" s="286">
        <v>62</v>
      </c>
    </row>
    <row r="67" spans="1:115">
      <c r="A67" s="305" t="s">
        <v>674</v>
      </c>
      <c r="B67" s="305" t="s">
        <v>674</v>
      </c>
      <c r="C67" s="305" t="s">
        <v>458</v>
      </c>
      <c r="D67" s="305" t="s">
        <v>675</v>
      </c>
      <c r="E67" s="305" t="s">
        <v>676</v>
      </c>
      <c r="F67" s="305" t="s">
        <v>665</v>
      </c>
      <c r="G67" s="305" t="s">
        <v>449</v>
      </c>
      <c r="H67" s="305" t="s">
        <v>677</v>
      </c>
      <c r="DA67" s="278" t="s">
        <v>144</v>
      </c>
      <c r="DB67" s="279" t="s">
        <v>674</v>
      </c>
      <c r="DC67" s="280" t="s">
        <v>884</v>
      </c>
      <c r="DD67" s="281">
        <v>49000</v>
      </c>
      <c r="DE67" s="281">
        <v>0</v>
      </c>
      <c r="DF67" s="281" t="s">
        <v>885</v>
      </c>
      <c r="DG67" s="282" t="s">
        <v>944</v>
      </c>
      <c r="DH67" s="283" t="s">
        <v>674</v>
      </c>
      <c r="DI67" s="284" t="s">
        <v>767</v>
      </c>
      <c r="DJ67" s="285" t="s">
        <v>676</v>
      </c>
      <c r="DK67" s="286">
        <v>63</v>
      </c>
    </row>
    <row r="68" spans="1:115">
      <c r="A68" s="305" t="s">
        <v>674</v>
      </c>
      <c r="B68" s="305" t="s">
        <v>674</v>
      </c>
      <c r="C68" s="305" t="s">
        <v>446</v>
      </c>
      <c r="D68" s="305" t="s">
        <v>678</v>
      </c>
      <c r="E68" s="305" t="s">
        <v>547</v>
      </c>
      <c r="F68" s="305" t="s">
        <v>449</v>
      </c>
      <c r="G68" s="305" t="s">
        <v>679</v>
      </c>
      <c r="H68" s="305" t="s">
        <v>680</v>
      </c>
      <c r="DA68" s="278" t="s">
        <v>144</v>
      </c>
      <c r="DB68" s="279" t="s">
        <v>674</v>
      </c>
      <c r="DC68" s="280" t="s">
        <v>886</v>
      </c>
      <c r="DD68" s="281">
        <v>0</v>
      </c>
      <c r="DE68" s="281">
        <v>41895</v>
      </c>
      <c r="DF68" s="281" t="s">
        <v>887</v>
      </c>
      <c r="DG68" s="306" t="s">
        <v>957</v>
      </c>
      <c r="DH68" s="283" t="s">
        <v>674</v>
      </c>
      <c r="DI68" s="284" t="s">
        <v>762</v>
      </c>
      <c r="DJ68" s="285" t="s">
        <v>547</v>
      </c>
      <c r="DK68" s="286">
        <v>64</v>
      </c>
    </row>
    <row r="69" spans="1:115">
      <c r="A69" s="305" t="s">
        <v>681</v>
      </c>
      <c r="B69" s="305" t="s">
        <v>681</v>
      </c>
      <c r="C69" s="305" t="s">
        <v>453</v>
      </c>
      <c r="D69" s="305" t="s">
        <v>454</v>
      </c>
      <c r="E69" s="305" t="s">
        <v>522</v>
      </c>
      <c r="F69" s="305" t="s">
        <v>523</v>
      </c>
      <c r="G69" s="305" t="s">
        <v>449</v>
      </c>
      <c r="H69" s="305" t="s">
        <v>682</v>
      </c>
      <c r="DA69" s="278" t="s">
        <v>144</v>
      </c>
      <c r="DB69" s="279" t="s">
        <v>681</v>
      </c>
      <c r="DC69" s="280" t="s">
        <v>888</v>
      </c>
      <c r="DD69" s="281">
        <v>30317</v>
      </c>
      <c r="DE69" s="281">
        <v>0</v>
      </c>
      <c r="DF69" s="281" t="s">
        <v>889</v>
      </c>
      <c r="DG69" s="282" t="s">
        <v>952</v>
      </c>
      <c r="DH69" s="283" t="s">
        <v>681</v>
      </c>
      <c r="DI69" s="284" t="s">
        <v>767</v>
      </c>
      <c r="DJ69" s="285" t="s">
        <v>522</v>
      </c>
      <c r="DK69" s="286">
        <v>65</v>
      </c>
    </row>
    <row r="70" spans="1:115">
      <c r="A70" s="305" t="s">
        <v>683</v>
      </c>
      <c r="B70" s="305" t="s">
        <v>683</v>
      </c>
      <c r="C70" s="305" t="s">
        <v>453</v>
      </c>
      <c r="D70" s="305" t="s">
        <v>454</v>
      </c>
      <c r="E70" s="305" t="s">
        <v>684</v>
      </c>
      <c r="F70" s="305" t="s">
        <v>449</v>
      </c>
      <c r="G70" s="305" t="s">
        <v>485</v>
      </c>
      <c r="H70" s="305" t="s">
        <v>685</v>
      </c>
      <c r="DA70" s="278" t="s">
        <v>144</v>
      </c>
      <c r="DB70" s="279" t="s">
        <v>683</v>
      </c>
      <c r="DC70" s="280" t="s">
        <v>890</v>
      </c>
      <c r="DD70" s="281">
        <v>0</v>
      </c>
      <c r="DE70" s="281">
        <v>50000</v>
      </c>
      <c r="DF70" s="281" t="s">
        <v>891</v>
      </c>
      <c r="DG70" s="282" t="s">
        <v>978</v>
      </c>
      <c r="DH70" s="283" t="s">
        <v>683</v>
      </c>
      <c r="DI70" s="284" t="s">
        <v>762</v>
      </c>
      <c r="DJ70" s="285" t="s">
        <v>684</v>
      </c>
      <c r="DK70" s="286">
        <v>66</v>
      </c>
    </row>
    <row r="71" spans="1:115">
      <c r="A71" s="305" t="s">
        <v>683</v>
      </c>
      <c r="B71" s="305" t="s">
        <v>683</v>
      </c>
      <c r="C71" s="305" t="s">
        <v>469</v>
      </c>
      <c r="D71" s="305" t="s">
        <v>686</v>
      </c>
      <c r="E71" s="305" t="s">
        <v>669</v>
      </c>
      <c r="F71" s="305" t="s">
        <v>665</v>
      </c>
      <c r="G71" s="305" t="s">
        <v>449</v>
      </c>
      <c r="H71" s="305" t="s">
        <v>687</v>
      </c>
      <c r="DA71" s="278" t="s">
        <v>144</v>
      </c>
      <c r="DB71" s="279" t="s">
        <v>683</v>
      </c>
      <c r="DC71" s="280" t="s">
        <v>892</v>
      </c>
      <c r="DD71" s="281">
        <v>49000</v>
      </c>
      <c r="DE71" s="281">
        <v>0</v>
      </c>
      <c r="DF71" s="281" t="s">
        <v>893</v>
      </c>
      <c r="DG71" s="282" t="s">
        <v>944</v>
      </c>
      <c r="DH71" s="283" t="s">
        <v>683</v>
      </c>
      <c r="DI71" s="284" t="s">
        <v>767</v>
      </c>
      <c r="DJ71" s="285" t="s">
        <v>669</v>
      </c>
      <c r="DK71" s="286">
        <v>67</v>
      </c>
    </row>
    <row r="72" spans="1:115">
      <c r="A72" s="305" t="s">
        <v>688</v>
      </c>
      <c r="B72" s="305" t="s">
        <v>688</v>
      </c>
      <c r="C72" s="305" t="s">
        <v>453</v>
      </c>
      <c r="D72" s="305" t="s">
        <v>454</v>
      </c>
      <c r="E72" s="305" t="s">
        <v>689</v>
      </c>
      <c r="F72" s="305" t="s">
        <v>449</v>
      </c>
      <c r="G72" s="305" t="s">
        <v>477</v>
      </c>
      <c r="H72" s="305" t="s">
        <v>690</v>
      </c>
      <c r="DA72" s="278" t="s">
        <v>144</v>
      </c>
      <c r="DB72" s="279" t="s">
        <v>688</v>
      </c>
      <c r="DC72" s="280" t="s">
        <v>894</v>
      </c>
      <c r="DD72" s="281">
        <v>0</v>
      </c>
      <c r="DE72" s="281">
        <v>35000</v>
      </c>
      <c r="DF72" s="281" t="s">
        <v>895</v>
      </c>
      <c r="DG72" s="282" t="s">
        <v>979</v>
      </c>
      <c r="DH72" s="283" t="s">
        <v>688</v>
      </c>
      <c r="DI72" s="284" t="s">
        <v>762</v>
      </c>
      <c r="DJ72" s="285" t="s">
        <v>689</v>
      </c>
      <c r="DK72" s="286">
        <v>68</v>
      </c>
    </row>
    <row r="73" spans="1:115">
      <c r="A73" s="305" t="s">
        <v>691</v>
      </c>
      <c r="B73" s="305" t="s">
        <v>688</v>
      </c>
      <c r="C73" s="305" t="s">
        <v>692</v>
      </c>
      <c r="D73" s="305" t="s">
        <v>454</v>
      </c>
      <c r="E73" s="305" t="s">
        <v>693</v>
      </c>
      <c r="F73" s="305" t="s">
        <v>449</v>
      </c>
      <c r="G73" s="305" t="s">
        <v>516</v>
      </c>
      <c r="H73" s="305" t="s">
        <v>694</v>
      </c>
      <c r="DA73" s="278" t="s">
        <v>144</v>
      </c>
      <c r="DB73" s="279" t="s">
        <v>688</v>
      </c>
      <c r="DC73" s="280" t="s">
        <v>896</v>
      </c>
      <c r="DD73" s="281">
        <v>0</v>
      </c>
      <c r="DE73" s="281">
        <v>30000</v>
      </c>
      <c r="DF73" s="281" t="s">
        <v>897</v>
      </c>
      <c r="DG73" s="282" t="s">
        <v>980</v>
      </c>
      <c r="DH73" s="283" t="s">
        <v>688</v>
      </c>
      <c r="DI73" s="284" t="s">
        <v>762</v>
      </c>
      <c r="DJ73" s="285" t="s">
        <v>693</v>
      </c>
      <c r="DK73" s="286">
        <v>69</v>
      </c>
    </row>
    <row r="74" spans="1:115">
      <c r="A74" s="305" t="s">
        <v>691</v>
      </c>
      <c r="B74" s="305" t="s">
        <v>688</v>
      </c>
      <c r="C74" s="305" t="s">
        <v>692</v>
      </c>
      <c r="D74" s="305" t="s">
        <v>454</v>
      </c>
      <c r="E74" s="305" t="s">
        <v>695</v>
      </c>
      <c r="F74" s="305" t="s">
        <v>449</v>
      </c>
      <c r="G74" s="305" t="s">
        <v>696</v>
      </c>
      <c r="H74" s="305" t="s">
        <v>697</v>
      </c>
      <c r="DA74" s="278" t="s">
        <v>144</v>
      </c>
      <c r="DB74" s="279" t="s">
        <v>688</v>
      </c>
      <c r="DC74" s="280" t="s">
        <v>898</v>
      </c>
      <c r="DD74" s="281">
        <v>0</v>
      </c>
      <c r="DE74" s="281">
        <v>12770</v>
      </c>
      <c r="DF74" s="281" t="s">
        <v>899</v>
      </c>
      <c r="DG74" s="282" t="s">
        <v>981</v>
      </c>
      <c r="DH74" s="283" t="s">
        <v>688</v>
      </c>
      <c r="DI74" s="284" t="s">
        <v>762</v>
      </c>
      <c r="DJ74" s="285" t="s">
        <v>695</v>
      </c>
      <c r="DK74" s="286">
        <v>70</v>
      </c>
    </row>
    <row r="75" spans="1:115">
      <c r="A75" s="305" t="s">
        <v>691</v>
      </c>
      <c r="B75" s="305" t="s">
        <v>691</v>
      </c>
      <c r="C75" s="305" t="s">
        <v>469</v>
      </c>
      <c r="D75" s="305" t="s">
        <v>698</v>
      </c>
      <c r="E75" s="305" t="s">
        <v>699</v>
      </c>
      <c r="F75" s="305" t="s">
        <v>700</v>
      </c>
      <c r="G75" s="305" t="s">
        <v>449</v>
      </c>
      <c r="H75" s="305" t="s">
        <v>701</v>
      </c>
      <c r="DA75" s="278" t="s">
        <v>144</v>
      </c>
      <c r="DB75" s="279" t="s">
        <v>691</v>
      </c>
      <c r="DC75" s="280" t="s">
        <v>900</v>
      </c>
      <c r="DD75" s="281">
        <v>200000</v>
      </c>
      <c r="DE75" s="281">
        <v>0</v>
      </c>
      <c r="DF75" s="281" t="s">
        <v>901</v>
      </c>
      <c r="DG75" s="282" t="s">
        <v>944</v>
      </c>
      <c r="DH75" s="283" t="s">
        <v>691</v>
      </c>
      <c r="DI75" s="284" t="s">
        <v>767</v>
      </c>
      <c r="DJ75" s="285" t="s">
        <v>699</v>
      </c>
      <c r="DK75" s="286">
        <v>71</v>
      </c>
    </row>
    <row r="76" spans="1:115">
      <c r="A76" s="305" t="s">
        <v>702</v>
      </c>
      <c r="B76" s="305" t="s">
        <v>702</v>
      </c>
      <c r="C76" s="305" t="s">
        <v>453</v>
      </c>
      <c r="D76" s="305" t="s">
        <v>454</v>
      </c>
      <c r="E76" s="305" t="s">
        <v>703</v>
      </c>
      <c r="F76" s="305" t="s">
        <v>449</v>
      </c>
      <c r="G76" s="305" t="s">
        <v>485</v>
      </c>
      <c r="H76" s="305" t="s">
        <v>704</v>
      </c>
      <c r="DA76" s="278" t="s">
        <v>144</v>
      </c>
      <c r="DB76" s="279" t="s">
        <v>702</v>
      </c>
      <c r="DC76" s="280" t="s">
        <v>902</v>
      </c>
      <c r="DD76" s="281">
        <v>0</v>
      </c>
      <c r="DE76" s="281">
        <v>50000</v>
      </c>
      <c r="DF76" s="281" t="s">
        <v>903</v>
      </c>
      <c r="DG76" s="282" t="s">
        <v>982</v>
      </c>
      <c r="DH76" s="283" t="s">
        <v>702</v>
      </c>
      <c r="DI76" s="284" t="s">
        <v>762</v>
      </c>
      <c r="DJ76" s="285" t="s">
        <v>703</v>
      </c>
      <c r="DK76" s="286">
        <v>72</v>
      </c>
    </row>
    <row r="77" spans="1:115">
      <c r="A77" s="305" t="s">
        <v>705</v>
      </c>
      <c r="B77" s="305" t="s">
        <v>705</v>
      </c>
      <c r="C77" s="305" t="s">
        <v>453</v>
      </c>
      <c r="D77" s="305" t="s">
        <v>706</v>
      </c>
      <c r="E77" s="305" t="s">
        <v>707</v>
      </c>
      <c r="F77" s="305" t="s">
        <v>449</v>
      </c>
      <c r="G77" s="305" t="s">
        <v>708</v>
      </c>
      <c r="H77" s="305" t="s">
        <v>709</v>
      </c>
      <c r="DA77" s="278" t="s">
        <v>144</v>
      </c>
      <c r="DB77" s="279" t="s">
        <v>705</v>
      </c>
      <c r="DC77" s="280" t="s">
        <v>904</v>
      </c>
      <c r="DD77" s="281">
        <v>0</v>
      </c>
      <c r="DE77" s="281">
        <v>58354</v>
      </c>
      <c r="DF77" s="281" t="s">
        <v>905</v>
      </c>
      <c r="DG77" s="306" t="s">
        <v>969</v>
      </c>
      <c r="DH77" s="283" t="s">
        <v>705</v>
      </c>
      <c r="DI77" s="284" t="s">
        <v>762</v>
      </c>
      <c r="DJ77" s="285" t="s">
        <v>707</v>
      </c>
      <c r="DK77" s="286">
        <v>73</v>
      </c>
    </row>
    <row r="78" spans="1:115">
      <c r="A78" s="305" t="s">
        <v>705</v>
      </c>
      <c r="B78" s="305" t="s">
        <v>705</v>
      </c>
      <c r="C78" s="305" t="s">
        <v>453</v>
      </c>
      <c r="D78" s="305" t="s">
        <v>710</v>
      </c>
      <c r="E78" s="305" t="s">
        <v>707</v>
      </c>
      <c r="F78" s="305" t="s">
        <v>449</v>
      </c>
      <c r="G78" s="305" t="s">
        <v>711</v>
      </c>
      <c r="H78" s="305" t="s">
        <v>712</v>
      </c>
      <c r="DA78" s="278" t="s">
        <v>144</v>
      </c>
      <c r="DB78" s="279" t="s">
        <v>705</v>
      </c>
      <c r="DC78" s="280" t="s">
        <v>906</v>
      </c>
      <c r="DD78" s="281">
        <v>0</v>
      </c>
      <c r="DE78" s="281">
        <v>36225</v>
      </c>
      <c r="DF78" s="281" t="s">
        <v>907</v>
      </c>
      <c r="DG78" s="306" t="s">
        <v>969</v>
      </c>
      <c r="DH78" s="283" t="s">
        <v>705</v>
      </c>
      <c r="DI78" s="284" t="s">
        <v>762</v>
      </c>
      <c r="DJ78" s="285" t="s">
        <v>707</v>
      </c>
      <c r="DK78" s="286">
        <v>74</v>
      </c>
    </row>
    <row r="79" spans="1:115">
      <c r="A79" s="305" t="s">
        <v>713</v>
      </c>
      <c r="B79" s="305" t="s">
        <v>713</v>
      </c>
      <c r="C79" s="305" t="s">
        <v>446</v>
      </c>
      <c r="D79" s="305" t="s">
        <v>714</v>
      </c>
      <c r="E79" s="305" t="s">
        <v>715</v>
      </c>
      <c r="F79" s="305" t="s">
        <v>449</v>
      </c>
      <c r="G79" s="305" t="s">
        <v>485</v>
      </c>
      <c r="H79" s="305" t="s">
        <v>716</v>
      </c>
      <c r="DA79" s="278" t="s">
        <v>144</v>
      </c>
      <c r="DB79" s="279" t="s">
        <v>713</v>
      </c>
      <c r="DC79" s="280" t="s">
        <v>908</v>
      </c>
      <c r="DD79" s="281">
        <v>0</v>
      </c>
      <c r="DE79" s="281">
        <v>50000</v>
      </c>
      <c r="DF79" s="281" t="s">
        <v>909</v>
      </c>
      <c r="DG79" s="306" t="s">
        <v>936</v>
      </c>
      <c r="DH79" s="283" t="s">
        <v>713</v>
      </c>
      <c r="DI79" s="284" t="s">
        <v>762</v>
      </c>
      <c r="DJ79" s="285" t="s">
        <v>715</v>
      </c>
      <c r="DK79" s="286">
        <v>75</v>
      </c>
    </row>
    <row r="80" spans="1:115">
      <c r="A80" s="305" t="s">
        <v>717</v>
      </c>
      <c r="B80" s="305" t="s">
        <v>717</v>
      </c>
      <c r="C80" s="305" t="s">
        <v>453</v>
      </c>
      <c r="D80" s="305" t="s">
        <v>718</v>
      </c>
      <c r="E80" s="305" t="s">
        <v>719</v>
      </c>
      <c r="F80" s="305" t="s">
        <v>720</v>
      </c>
      <c r="G80" s="305" t="s">
        <v>449</v>
      </c>
      <c r="H80" s="305" t="s">
        <v>721</v>
      </c>
      <c r="DA80" s="278" t="s">
        <v>144</v>
      </c>
      <c r="DB80" s="279" t="s">
        <v>717</v>
      </c>
      <c r="DC80" s="280" t="s">
        <v>910</v>
      </c>
      <c r="DD80" s="281">
        <v>55646</v>
      </c>
      <c r="DE80" s="281">
        <v>0</v>
      </c>
      <c r="DF80" s="281" t="s">
        <v>911</v>
      </c>
      <c r="DG80" s="282" t="s">
        <v>983</v>
      </c>
      <c r="DH80" s="283" t="s">
        <v>717</v>
      </c>
      <c r="DI80" s="284" t="s">
        <v>767</v>
      </c>
      <c r="DJ80" s="285" t="s">
        <v>719</v>
      </c>
      <c r="DK80" s="286">
        <v>76</v>
      </c>
    </row>
    <row r="81" spans="1:115">
      <c r="A81" s="305" t="s">
        <v>717</v>
      </c>
      <c r="B81" s="305" t="s">
        <v>717</v>
      </c>
      <c r="C81" s="305" t="s">
        <v>453</v>
      </c>
      <c r="D81" s="305" t="s">
        <v>722</v>
      </c>
      <c r="E81" s="305" t="s">
        <v>723</v>
      </c>
      <c r="F81" s="305" t="s">
        <v>700</v>
      </c>
      <c r="G81" s="305" t="s">
        <v>449</v>
      </c>
      <c r="H81" s="305" t="s">
        <v>724</v>
      </c>
      <c r="DA81" s="278" t="s">
        <v>144</v>
      </c>
      <c r="DB81" s="279" t="s">
        <v>717</v>
      </c>
      <c r="DC81" s="280" t="s">
        <v>912</v>
      </c>
      <c r="DD81" s="281">
        <v>200000</v>
      </c>
      <c r="DE81" s="281">
        <v>0</v>
      </c>
      <c r="DF81" s="281" t="s">
        <v>913</v>
      </c>
      <c r="DG81" s="282" t="s">
        <v>984</v>
      </c>
      <c r="DH81" s="283" t="s">
        <v>717</v>
      </c>
      <c r="DI81" s="284" t="s">
        <v>767</v>
      </c>
      <c r="DJ81" s="285" t="s">
        <v>723</v>
      </c>
      <c r="DK81" s="286">
        <v>77</v>
      </c>
    </row>
    <row r="82" spans="1:115">
      <c r="A82" s="305" t="s">
        <v>725</v>
      </c>
      <c r="B82" s="305" t="s">
        <v>725</v>
      </c>
      <c r="C82" s="305" t="s">
        <v>469</v>
      </c>
      <c r="D82" s="305" t="s">
        <v>454</v>
      </c>
      <c r="E82" s="305" t="s">
        <v>726</v>
      </c>
      <c r="F82" s="305" t="s">
        <v>481</v>
      </c>
      <c r="G82" s="305" t="s">
        <v>449</v>
      </c>
      <c r="H82" s="305" t="s">
        <v>727</v>
      </c>
      <c r="DA82" s="278" t="s">
        <v>144</v>
      </c>
      <c r="DB82" s="279" t="s">
        <v>725</v>
      </c>
      <c r="DC82" s="280" t="s">
        <v>914</v>
      </c>
      <c r="DD82" s="281">
        <v>23.6</v>
      </c>
      <c r="DE82" s="281">
        <v>0</v>
      </c>
      <c r="DF82" s="281" t="s">
        <v>915</v>
      </c>
      <c r="DG82" s="282" t="s">
        <v>985</v>
      </c>
      <c r="DH82" s="283" t="s">
        <v>725</v>
      </c>
      <c r="DI82" s="284" t="s">
        <v>767</v>
      </c>
      <c r="DJ82" s="285" t="s">
        <v>726</v>
      </c>
      <c r="DK82" s="286">
        <v>78</v>
      </c>
    </row>
    <row r="83" spans="1:115">
      <c r="A83" s="305" t="s">
        <v>728</v>
      </c>
      <c r="B83" s="305" t="s">
        <v>728</v>
      </c>
      <c r="C83" s="305" t="s">
        <v>453</v>
      </c>
      <c r="D83" s="305" t="s">
        <v>454</v>
      </c>
      <c r="E83" s="305" t="s">
        <v>729</v>
      </c>
      <c r="F83" s="305" t="s">
        <v>449</v>
      </c>
      <c r="G83" s="305" t="s">
        <v>485</v>
      </c>
      <c r="H83" s="305" t="s">
        <v>730</v>
      </c>
      <c r="DA83" s="278" t="s">
        <v>144</v>
      </c>
      <c r="DB83" s="279" t="s">
        <v>728</v>
      </c>
      <c r="DC83" s="280" t="s">
        <v>916</v>
      </c>
      <c r="DD83" s="281">
        <v>0</v>
      </c>
      <c r="DE83" s="281">
        <v>50000</v>
      </c>
      <c r="DF83" s="281" t="s">
        <v>917</v>
      </c>
      <c r="DG83" s="282" t="s">
        <v>986</v>
      </c>
      <c r="DH83" s="283" t="s">
        <v>728</v>
      </c>
      <c r="DI83" s="284" t="s">
        <v>762</v>
      </c>
      <c r="DJ83" s="285" t="s">
        <v>729</v>
      </c>
      <c r="DK83" s="286">
        <v>79</v>
      </c>
    </row>
    <row r="84" spans="1:115">
      <c r="A84" s="305" t="s">
        <v>728</v>
      </c>
      <c r="B84" s="305" t="s">
        <v>728</v>
      </c>
      <c r="C84" s="305" t="s">
        <v>454</v>
      </c>
      <c r="D84" s="305" t="s">
        <v>454</v>
      </c>
      <c r="E84" s="305" t="s">
        <v>731</v>
      </c>
      <c r="F84" s="305" t="s">
        <v>732</v>
      </c>
      <c r="G84" s="305" t="s">
        <v>449</v>
      </c>
      <c r="H84" s="305" t="s">
        <v>733</v>
      </c>
      <c r="DA84" s="278" t="s">
        <v>144</v>
      </c>
      <c r="DB84" s="279" t="s">
        <v>728</v>
      </c>
      <c r="DC84" s="280" t="s">
        <v>918</v>
      </c>
      <c r="DD84" s="281">
        <v>72</v>
      </c>
      <c r="DE84" s="281">
        <v>0</v>
      </c>
      <c r="DF84" s="281" t="s">
        <v>919</v>
      </c>
      <c r="DG84" s="282" t="s">
        <v>731</v>
      </c>
      <c r="DH84" s="283" t="s">
        <v>728</v>
      </c>
      <c r="DI84" s="284" t="s">
        <v>767</v>
      </c>
      <c r="DJ84" s="285" t="s">
        <v>731</v>
      </c>
      <c r="DK84" s="286">
        <v>80</v>
      </c>
    </row>
    <row r="85" spans="1:115">
      <c r="A85" s="305" t="s">
        <v>728</v>
      </c>
      <c r="B85" s="305" t="s">
        <v>728</v>
      </c>
      <c r="C85" s="305" t="s">
        <v>454</v>
      </c>
      <c r="D85" s="305" t="s">
        <v>454</v>
      </c>
      <c r="E85" s="305" t="s">
        <v>734</v>
      </c>
      <c r="F85" s="305" t="s">
        <v>735</v>
      </c>
      <c r="G85" s="305" t="s">
        <v>449</v>
      </c>
      <c r="H85" s="305" t="s">
        <v>736</v>
      </c>
      <c r="DA85" s="278" t="s">
        <v>144</v>
      </c>
      <c r="DB85" s="279" t="s">
        <v>728</v>
      </c>
      <c r="DC85" s="280" t="s">
        <v>920</v>
      </c>
      <c r="DD85" s="281">
        <v>400</v>
      </c>
      <c r="DE85" s="281">
        <v>0</v>
      </c>
      <c r="DF85" s="281" t="s">
        <v>921</v>
      </c>
      <c r="DG85" s="282" t="s">
        <v>987</v>
      </c>
      <c r="DH85" s="283" t="s">
        <v>728</v>
      </c>
      <c r="DI85" s="284" t="s">
        <v>767</v>
      </c>
      <c r="DJ85" s="285" t="s">
        <v>734</v>
      </c>
      <c r="DK85" s="286">
        <v>81</v>
      </c>
    </row>
    <row r="86" spans="1:115">
      <c r="A86" s="305" t="s">
        <v>728</v>
      </c>
      <c r="B86" s="305" t="s">
        <v>728</v>
      </c>
      <c r="C86" s="305" t="s">
        <v>469</v>
      </c>
      <c r="D86" s="305" t="s">
        <v>737</v>
      </c>
      <c r="E86" s="305" t="s">
        <v>676</v>
      </c>
      <c r="F86" s="305" t="s">
        <v>610</v>
      </c>
      <c r="G86" s="305" t="s">
        <v>449</v>
      </c>
      <c r="H86" s="305" t="s">
        <v>738</v>
      </c>
      <c r="DA86" s="278" t="s">
        <v>144</v>
      </c>
      <c r="DB86" s="279" t="s">
        <v>728</v>
      </c>
      <c r="DC86" s="280" t="s">
        <v>922</v>
      </c>
      <c r="DD86" s="281">
        <v>40000</v>
      </c>
      <c r="DE86" s="281">
        <v>0</v>
      </c>
      <c r="DF86" s="281" t="s">
        <v>923</v>
      </c>
      <c r="DG86" s="282" t="s">
        <v>944</v>
      </c>
      <c r="DH86" s="283" t="s">
        <v>728</v>
      </c>
      <c r="DI86" s="284" t="s">
        <v>767</v>
      </c>
      <c r="DJ86" s="285" t="s">
        <v>676</v>
      </c>
      <c r="DK86" s="286">
        <v>82</v>
      </c>
    </row>
    <row r="87" spans="1:115">
      <c r="A87" s="305" t="s">
        <v>728</v>
      </c>
      <c r="B87" s="305" t="s">
        <v>728</v>
      </c>
      <c r="C87" s="305" t="s">
        <v>453</v>
      </c>
      <c r="D87" s="305" t="s">
        <v>739</v>
      </c>
      <c r="E87" s="305" t="s">
        <v>740</v>
      </c>
      <c r="F87" s="305" t="s">
        <v>741</v>
      </c>
      <c r="G87" s="305" t="s">
        <v>449</v>
      </c>
      <c r="H87" s="305" t="s">
        <v>742</v>
      </c>
      <c r="DA87" s="278" t="s">
        <v>144</v>
      </c>
      <c r="DB87" s="279" t="s">
        <v>728</v>
      </c>
      <c r="DC87" s="280" t="s">
        <v>924</v>
      </c>
      <c r="DD87" s="281">
        <v>4788</v>
      </c>
      <c r="DE87" s="281">
        <v>0</v>
      </c>
      <c r="DF87" s="281" t="s">
        <v>925</v>
      </c>
      <c r="DG87" s="282" t="s">
        <v>988</v>
      </c>
      <c r="DH87" s="283" t="s">
        <v>728</v>
      </c>
      <c r="DI87" s="284" t="s">
        <v>767</v>
      </c>
      <c r="DJ87" s="285" t="s">
        <v>740</v>
      </c>
      <c r="DK87" s="286">
        <v>83</v>
      </c>
    </row>
    <row r="88" spans="1:115">
      <c r="A88" s="305" t="s">
        <v>743</v>
      </c>
      <c r="B88" s="305" t="s">
        <v>743</v>
      </c>
      <c r="C88" s="305" t="s">
        <v>453</v>
      </c>
      <c r="D88" s="305" t="s">
        <v>454</v>
      </c>
      <c r="E88" s="305" t="s">
        <v>744</v>
      </c>
      <c r="F88" s="305" t="s">
        <v>449</v>
      </c>
      <c r="G88" s="305" t="s">
        <v>516</v>
      </c>
      <c r="H88" s="305" t="s">
        <v>745</v>
      </c>
      <c r="DA88" s="278" t="s">
        <v>144</v>
      </c>
      <c r="DB88" s="279" t="s">
        <v>743</v>
      </c>
      <c r="DC88" s="280" t="s">
        <v>926</v>
      </c>
      <c r="DD88" s="281">
        <v>0</v>
      </c>
      <c r="DE88" s="281">
        <v>30000</v>
      </c>
      <c r="DF88" s="281" t="s">
        <v>927</v>
      </c>
      <c r="DG88" s="282" t="s">
        <v>989</v>
      </c>
      <c r="DH88" s="283" t="s">
        <v>743</v>
      </c>
      <c r="DI88" s="284" t="s">
        <v>762</v>
      </c>
      <c r="DJ88" s="285" t="s">
        <v>744</v>
      </c>
      <c r="DK88" s="286">
        <v>84</v>
      </c>
    </row>
    <row r="89" spans="1:115">
      <c r="A89" s="305" t="s">
        <v>743</v>
      </c>
      <c r="B89" s="305" t="s">
        <v>743</v>
      </c>
      <c r="C89" s="305" t="s">
        <v>469</v>
      </c>
      <c r="D89" s="305" t="s">
        <v>746</v>
      </c>
      <c r="E89" s="305" t="s">
        <v>676</v>
      </c>
      <c r="F89" s="305" t="s">
        <v>665</v>
      </c>
      <c r="G89" s="305" t="s">
        <v>449</v>
      </c>
      <c r="H89" s="305" t="s">
        <v>747</v>
      </c>
      <c r="DA89" s="278" t="s">
        <v>144</v>
      </c>
      <c r="DB89" s="279" t="s">
        <v>743</v>
      </c>
      <c r="DC89" s="280" t="s">
        <v>928</v>
      </c>
      <c r="DD89" s="281">
        <v>49000</v>
      </c>
      <c r="DE89" s="281">
        <v>0</v>
      </c>
      <c r="DF89" s="281" t="s">
        <v>929</v>
      </c>
      <c r="DG89" s="282" t="s">
        <v>944</v>
      </c>
      <c r="DH89" s="283" t="s">
        <v>743</v>
      </c>
      <c r="DI89" s="284" t="s">
        <v>767</v>
      </c>
      <c r="DJ89" s="285" t="s">
        <v>676</v>
      </c>
      <c r="DK89" s="286">
        <v>85</v>
      </c>
    </row>
    <row r="90" spans="1:115">
      <c r="A90" s="305" t="s">
        <v>743</v>
      </c>
      <c r="B90" s="305" t="s">
        <v>743</v>
      </c>
      <c r="C90" s="305" t="s">
        <v>453</v>
      </c>
      <c r="D90" s="305" t="s">
        <v>748</v>
      </c>
      <c r="E90" s="305" t="s">
        <v>749</v>
      </c>
      <c r="F90" s="305" t="s">
        <v>750</v>
      </c>
      <c r="G90" s="305" t="s">
        <v>449</v>
      </c>
      <c r="H90" s="305" t="s">
        <v>751</v>
      </c>
      <c r="DA90" s="278" t="s">
        <v>144</v>
      </c>
      <c r="DB90" s="279" t="s">
        <v>743</v>
      </c>
      <c r="DC90" s="280" t="s">
        <v>930</v>
      </c>
      <c r="DD90" s="281">
        <v>10800</v>
      </c>
      <c r="DE90" s="281">
        <v>0</v>
      </c>
      <c r="DF90" s="281" t="s">
        <v>931</v>
      </c>
      <c r="DG90" s="282" t="s">
        <v>990</v>
      </c>
      <c r="DH90" s="283" t="s">
        <v>743</v>
      </c>
      <c r="DI90" s="284" t="s">
        <v>767</v>
      </c>
      <c r="DJ90" s="285" t="s">
        <v>749</v>
      </c>
      <c r="DK90" s="286">
        <v>86</v>
      </c>
    </row>
    <row r="91" spans="1:115">
      <c r="A91" s="305" t="s">
        <v>752</v>
      </c>
      <c r="B91" s="305" t="s">
        <v>752</v>
      </c>
      <c r="C91" s="305" t="s">
        <v>453</v>
      </c>
      <c r="D91" s="305" t="s">
        <v>753</v>
      </c>
      <c r="E91" s="305" t="s">
        <v>754</v>
      </c>
      <c r="F91" s="305" t="s">
        <v>449</v>
      </c>
      <c r="G91" s="305" t="s">
        <v>755</v>
      </c>
      <c r="H91" s="305" t="s">
        <v>756</v>
      </c>
      <c r="DA91" s="278" t="s">
        <v>144</v>
      </c>
      <c r="DB91" s="279" t="s">
        <v>752</v>
      </c>
      <c r="DC91" s="280" t="s">
        <v>932</v>
      </c>
      <c r="DD91" s="281">
        <v>0</v>
      </c>
      <c r="DE91" s="281">
        <v>150000</v>
      </c>
      <c r="DF91" s="281" t="s">
        <v>933</v>
      </c>
      <c r="DG91" s="306" t="s">
        <v>991</v>
      </c>
      <c r="DH91" s="283" t="s">
        <v>752</v>
      </c>
      <c r="DI91" s="284" t="s">
        <v>762</v>
      </c>
      <c r="DJ91" s="285" t="s">
        <v>754</v>
      </c>
      <c r="DK91" s="286">
        <v>87</v>
      </c>
    </row>
    <row r="92" spans="1:115">
      <c r="A92" s="305" t="s">
        <v>752</v>
      </c>
      <c r="B92" s="305" t="s">
        <v>752</v>
      </c>
      <c r="C92" s="305" t="s">
        <v>453</v>
      </c>
      <c r="D92" s="305" t="s">
        <v>757</v>
      </c>
      <c r="E92" s="305" t="s">
        <v>758</v>
      </c>
      <c r="F92" s="305" t="s">
        <v>557</v>
      </c>
      <c r="G92" s="305" t="s">
        <v>449</v>
      </c>
      <c r="H92" s="305" t="s">
        <v>759</v>
      </c>
      <c r="DA92" s="278" t="s">
        <v>144</v>
      </c>
      <c r="DB92" s="279" t="s">
        <v>752</v>
      </c>
      <c r="DC92" s="280" t="s">
        <v>934</v>
      </c>
      <c r="DD92" s="281">
        <v>100000</v>
      </c>
      <c r="DE92" s="281">
        <v>0</v>
      </c>
      <c r="DF92" s="281" t="s">
        <v>935</v>
      </c>
      <c r="DG92" s="282" t="s">
        <v>992</v>
      </c>
      <c r="DH92" s="283" t="s">
        <v>752</v>
      </c>
      <c r="DI92" s="284" t="s">
        <v>767</v>
      </c>
      <c r="DJ92" s="285" t="s">
        <v>758</v>
      </c>
      <c r="DK92" s="286">
        <v>88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 I1:I2">
    <cfRule type="cellIs" dxfId="194" priority="10" operator="equal">
      <formula>#N/A</formula>
    </cfRule>
  </conditionalFormatting>
  <conditionalFormatting sqref="H1">
    <cfRule type="cellIs" dxfId="193" priority="9" operator="equal">
      <formula>#N/A</formula>
    </cfRule>
  </conditionalFormatting>
  <conditionalFormatting sqref="E1">
    <cfRule type="cellIs" dxfId="192" priority="8" operator="equal">
      <formula>#N/A</formula>
    </cfRule>
  </conditionalFormatting>
  <conditionalFormatting sqref="I1">
    <cfRule type="containsText" dxfId="191" priority="6" operator="containsText" text="All Data Import Successfully">
      <formula>NOT(ISERROR(SEARCH("All Data Import Successfully",I1)))</formula>
    </cfRule>
    <cfRule type="containsText" dxfId="190" priority="7" operator="containsText" text="Difference Entry">
      <formula>NOT(ISERROR(SEARCH("Difference Entry",I1)))</formula>
    </cfRule>
  </conditionalFormatting>
  <conditionalFormatting sqref="DG2">
    <cfRule type="cellIs" dxfId="189" priority="5" operator="equal">
      <formula>#N/A</formula>
    </cfRule>
  </conditionalFormatting>
  <conditionalFormatting sqref="DH2:DI2">
    <cfRule type="cellIs" dxfId="188" priority="4" operator="equal">
      <formula>#N/A</formula>
    </cfRule>
  </conditionalFormatting>
  <conditionalFormatting sqref="E2:G2">
    <cfRule type="cellIs" dxfId="187" priority="3" operator="equal">
      <formula>#N/A</formula>
    </cfRule>
  </conditionalFormatting>
  <conditionalFormatting sqref="H2">
    <cfRule type="cellIs" dxfId="186" priority="2" operator="equal">
      <formula>#N/A</formula>
    </cfRule>
  </conditionalFormatting>
  <conditionalFormatting sqref="I2">
    <cfRule type="cellIs" dxfId="18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92"/>
  <sheetViews>
    <sheetView workbookViewId="0">
      <selection activeCell="B16" sqref="B16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311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IF(OR(F3="", F3=" "), 0, IFERROR(VALUE(SUBSTITUTE(TRIM(F3), ",", "")), 0))</f>
        <v>0</v>
      </c>
      <c r="DE3" s="26">
        <f>IF(OR(G3="", G3=" "), 0, IFERROR(VALUE(SUBSTITUTE(TRIM(G3), ",", "")), 0))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312</v>
      </c>
      <c r="B4" s="213" t="s">
        <v>313</v>
      </c>
      <c r="C4" s="213" t="s">
        <v>314</v>
      </c>
      <c r="D4" s="213" t="s">
        <v>315</v>
      </c>
      <c r="E4" s="213" t="s">
        <v>316</v>
      </c>
      <c r="F4" s="214" t="s">
        <v>317</v>
      </c>
      <c r="G4" s="213" t="s">
        <v>318</v>
      </c>
      <c r="H4" s="215" t="s">
        <v>319</v>
      </c>
      <c r="DA4" s="38" t="str">
        <f>+DA3</f>
        <v>CENTRAL BANK OF INDIA</v>
      </c>
    </row>
    <row r="5" spans="1:130">
      <c r="A5" s="305" t="s">
        <v>445</v>
      </c>
      <c r="B5" s="305" t="s">
        <v>445</v>
      </c>
      <c r="C5" s="305" t="s">
        <v>446</v>
      </c>
      <c r="D5" s="305" t="s">
        <v>447</v>
      </c>
      <c r="E5" s="305" t="s">
        <v>448</v>
      </c>
      <c r="F5" s="305" t="s">
        <v>449</v>
      </c>
      <c r="G5" s="305" t="s">
        <v>450</v>
      </c>
      <c r="H5" s="305" t="s">
        <v>451</v>
      </c>
      <c r="DA5" s="278" t="s">
        <v>311</v>
      </c>
      <c r="DB5" s="279">
        <v>45688</v>
      </c>
      <c r="DC5" s="280" t="s">
        <v>993</v>
      </c>
      <c r="DD5" s="281">
        <v>0</v>
      </c>
      <c r="DE5" s="281">
        <v>30451</v>
      </c>
      <c r="DF5" s="281">
        <v>217889.7</v>
      </c>
      <c r="DG5" s="306" t="s">
        <v>936</v>
      </c>
      <c r="DH5" s="284">
        <v>45688</v>
      </c>
      <c r="DI5" s="284" t="s">
        <v>762</v>
      </c>
      <c r="DJ5" s="285" t="s">
        <v>448</v>
      </c>
      <c r="DK5" s="286">
        <v>1</v>
      </c>
    </row>
    <row r="6" spans="1:130">
      <c r="A6" s="305" t="s">
        <v>452</v>
      </c>
      <c r="B6" s="305" t="s">
        <v>452</v>
      </c>
      <c r="C6" s="305" t="s">
        <v>453</v>
      </c>
      <c r="D6" s="305" t="s">
        <v>454</v>
      </c>
      <c r="E6" s="305" t="s">
        <v>455</v>
      </c>
      <c r="F6" s="305"/>
      <c r="G6" s="305" t="s">
        <v>456</v>
      </c>
      <c r="H6" s="305" t="s">
        <v>457</v>
      </c>
      <c r="DA6" s="278" t="s">
        <v>311</v>
      </c>
      <c r="DB6" s="279">
        <v>45687</v>
      </c>
      <c r="DC6" s="280" t="s">
        <v>994</v>
      </c>
      <c r="DD6" s="281">
        <v>0</v>
      </c>
      <c r="DE6" s="281">
        <v>36190</v>
      </c>
      <c r="DF6" s="281">
        <v>187438.7</v>
      </c>
      <c r="DG6" s="282" t="s">
        <v>937</v>
      </c>
      <c r="DH6" s="284">
        <v>45687</v>
      </c>
      <c r="DI6" s="284" t="s">
        <v>762</v>
      </c>
      <c r="DJ6" s="285" t="s">
        <v>455</v>
      </c>
      <c r="DK6" s="286">
        <v>2</v>
      </c>
    </row>
    <row r="7" spans="1:130">
      <c r="A7" s="305" t="s">
        <v>452</v>
      </c>
      <c r="B7" s="305" t="s">
        <v>452</v>
      </c>
      <c r="C7" s="305" t="s">
        <v>458</v>
      </c>
      <c r="D7" s="305" t="s">
        <v>454</v>
      </c>
      <c r="E7" s="305" t="s">
        <v>459</v>
      </c>
      <c r="F7" s="305" t="s">
        <v>460</v>
      </c>
      <c r="G7" s="305" t="s">
        <v>449</v>
      </c>
      <c r="H7" s="305" t="s">
        <v>461</v>
      </c>
      <c r="DA7" s="278" t="s">
        <v>311</v>
      </c>
      <c r="DB7" s="279">
        <v>45687</v>
      </c>
      <c r="DC7" s="280" t="s">
        <v>995</v>
      </c>
      <c r="DD7" s="281">
        <v>10000</v>
      </c>
      <c r="DE7" s="281">
        <v>0</v>
      </c>
      <c r="DF7" s="281">
        <v>151248.70000000001</v>
      </c>
      <c r="DG7" s="282" t="s">
        <v>938</v>
      </c>
      <c r="DH7" s="284">
        <v>45687</v>
      </c>
      <c r="DI7" s="284" t="s">
        <v>767</v>
      </c>
      <c r="DJ7" s="285" t="s">
        <v>459</v>
      </c>
      <c r="DK7" s="286">
        <v>3</v>
      </c>
    </row>
    <row r="8" spans="1:130">
      <c r="A8" s="305" t="s">
        <v>452</v>
      </c>
      <c r="B8" s="305" t="s">
        <v>452</v>
      </c>
      <c r="C8" s="305" t="s">
        <v>458</v>
      </c>
      <c r="D8" s="305" t="s">
        <v>454</v>
      </c>
      <c r="E8" s="305" t="s">
        <v>459</v>
      </c>
      <c r="F8" s="305" t="s">
        <v>462</v>
      </c>
      <c r="G8" s="305" t="s">
        <v>449</v>
      </c>
      <c r="H8" s="305" t="s">
        <v>463</v>
      </c>
      <c r="DA8" s="278" t="s">
        <v>311</v>
      </c>
      <c r="DB8" s="279">
        <v>45687</v>
      </c>
      <c r="DC8" s="280" t="s">
        <v>996</v>
      </c>
      <c r="DD8" s="281">
        <v>1100</v>
      </c>
      <c r="DE8" s="281">
        <v>0</v>
      </c>
      <c r="DF8" s="281">
        <v>161248.70000000001</v>
      </c>
      <c r="DG8" s="282" t="s">
        <v>938</v>
      </c>
      <c r="DH8" s="284">
        <v>45687</v>
      </c>
      <c r="DI8" s="284" t="s">
        <v>767</v>
      </c>
      <c r="DJ8" s="285" t="s">
        <v>459</v>
      </c>
      <c r="DK8" s="286">
        <v>4</v>
      </c>
    </row>
    <row r="9" spans="1:130">
      <c r="A9" s="305" t="s">
        <v>452</v>
      </c>
      <c r="B9" s="305" t="s">
        <v>452</v>
      </c>
      <c r="C9" s="305" t="s">
        <v>453</v>
      </c>
      <c r="D9" s="305" t="s">
        <v>464</v>
      </c>
      <c r="E9" s="305" t="s">
        <v>465</v>
      </c>
      <c r="F9" s="305" t="s">
        <v>449</v>
      </c>
      <c r="G9" s="305" t="s">
        <v>466</v>
      </c>
      <c r="H9" s="305" t="s">
        <v>467</v>
      </c>
      <c r="DA9" s="278" t="s">
        <v>311</v>
      </c>
      <c r="DB9" s="279">
        <v>45687</v>
      </c>
      <c r="DC9" s="280" t="s">
        <v>997</v>
      </c>
      <c r="DD9" s="281">
        <v>0</v>
      </c>
      <c r="DE9" s="281">
        <v>49710</v>
      </c>
      <c r="DF9" s="281">
        <v>162348.70000000001</v>
      </c>
      <c r="DG9" s="306" t="s">
        <v>939</v>
      </c>
      <c r="DH9" s="284">
        <v>45687</v>
      </c>
      <c r="DI9" s="284" t="s">
        <v>762</v>
      </c>
      <c r="DJ9" s="285" t="s">
        <v>465</v>
      </c>
      <c r="DK9" s="286">
        <v>5</v>
      </c>
    </row>
    <row r="10" spans="1:130">
      <c r="A10" s="305" t="s">
        <v>468</v>
      </c>
      <c r="B10" s="305" t="s">
        <v>468</v>
      </c>
      <c r="C10" s="305" t="s">
        <v>469</v>
      </c>
      <c r="D10" s="305" t="s">
        <v>454</v>
      </c>
      <c r="E10" s="305" t="s">
        <v>470</v>
      </c>
      <c r="F10" s="305" t="s">
        <v>471</v>
      </c>
      <c r="G10" s="305" t="s">
        <v>449</v>
      </c>
      <c r="H10" s="305" t="s">
        <v>472</v>
      </c>
      <c r="DA10" s="278" t="s">
        <v>311</v>
      </c>
      <c r="DB10" s="279">
        <v>45685</v>
      </c>
      <c r="DC10" s="280" t="s">
        <v>998</v>
      </c>
      <c r="DD10" s="281">
        <v>20000</v>
      </c>
      <c r="DE10" s="281">
        <v>0</v>
      </c>
      <c r="DF10" s="281">
        <v>112638.7</v>
      </c>
      <c r="DG10" s="282" t="s">
        <v>940</v>
      </c>
      <c r="DH10" s="284">
        <v>45685</v>
      </c>
      <c r="DI10" s="284" t="s">
        <v>767</v>
      </c>
      <c r="DJ10" s="285" t="s">
        <v>470</v>
      </c>
      <c r="DK10" s="286">
        <v>6</v>
      </c>
    </row>
    <row r="11" spans="1:130">
      <c r="A11" s="305" t="s">
        <v>473</v>
      </c>
      <c r="B11" s="305" t="s">
        <v>473</v>
      </c>
      <c r="C11" s="305" t="s">
        <v>458</v>
      </c>
      <c r="D11" s="305" t="s">
        <v>454</v>
      </c>
      <c r="E11" s="305" t="s">
        <v>459</v>
      </c>
      <c r="F11" s="305" t="s">
        <v>471</v>
      </c>
      <c r="G11" s="305" t="s">
        <v>449</v>
      </c>
      <c r="H11" s="305" t="s">
        <v>474</v>
      </c>
      <c r="DA11" s="278" t="s">
        <v>311</v>
      </c>
      <c r="DB11" s="279">
        <v>45683</v>
      </c>
      <c r="DC11" s="280" t="s">
        <v>999</v>
      </c>
      <c r="DD11" s="281">
        <v>20000</v>
      </c>
      <c r="DE11" s="281">
        <v>0</v>
      </c>
      <c r="DF11" s="281">
        <v>132638.70000000001</v>
      </c>
      <c r="DG11" s="282" t="s">
        <v>938</v>
      </c>
      <c r="DH11" s="284">
        <v>45683</v>
      </c>
      <c r="DI11" s="284" t="s">
        <v>767</v>
      </c>
      <c r="DJ11" s="285" t="s">
        <v>459</v>
      </c>
      <c r="DK11" s="286">
        <v>7</v>
      </c>
    </row>
    <row r="12" spans="1:130">
      <c r="A12" s="305" t="s">
        <v>475</v>
      </c>
      <c r="B12" s="305" t="s">
        <v>475</v>
      </c>
      <c r="C12" s="305" t="s">
        <v>453</v>
      </c>
      <c r="D12" s="305" t="s">
        <v>454</v>
      </c>
      <c r="E12" s="305" t="s">
        <v>476</v>
      </c>
      <c r="F12" s="305" t="s">
        <v>449</v>
      </c>
      <c r="G12" s="305" t="s">
        <v>477</v>
      </c>
      <c r="H12" s="305" t="s">
        <v>478</v>
      </c>
      <c r="DA12" s="278" t="s">
        <v>311</v>
      </c>
      <c r="DB12" s="279">
        <v>45681</v>
      </c>
      <c r="DC12" s="280" t="s">
        <v>1000</v>
      </c>
      <c r="DD12" s="281">
        <v>0</v>
      </c>
      <c r="DE12" s="281">
        <v>35000</v>
      </c>
      <c r="DF12" s="281">
        <v>152638.70000000001</v>
      </c>
      <c r="DG12" s="282" t="s">
        <v>941</v>
      </c>
      <c r="DH12" s="284">
        <v>45681</v>
      </c>
      <c r="DI12" s="284" t="s">
        <v>762</v>
      </c>
      <c r="DJ12" s="285" t="s">
        <v>476</v>
      </c>
      <c r="DK12" s="286">
        <v>8</v>
      </c>
    </row>
    <row r="13" spans="1:130">
      <c r="A13" s="305" t="s">
        <v>479</v>
      </c>
      <c r="B13" s="305" t="s">
        <v>479</v>
      </c>
      <c r="C13" s="305" t="s">
        <v>469</v>
      </c>
      <c r="D13" s="305" t="s">
        <v>454</v>
      </c>
      <c r="E13" s="305" t="s">
        <v>480</v>
      </c>
      <c r="F13" s="305" t="s">
        <v>481</v>
      </c>
      <c r="G13" s="305" t="s">
        <v>449</v>
      </c>
      <c r="H13" s="305" t="s">
        <v>482</v>
      </c>
      <c r="DA13" s="278" t="s">
        <v>311</v>
      </c>
      <c r="DB13" s="279">
        <v>45680</v>
      </c>
      <c r="DC13" s="280" t="s">
        <v>1001</v>
      </c>
      <c r="DD13" s="281">
        <v>23.6</v>
      </c>
      <c r="DE13" s="281">
        <v>0</v>
      </c>
      <c r="DF13" s="281">
        <v>117638.7</v>
      </c>
      <c r="DG13" s="282" t="s">
        <v>942</v>
      </c>
      <c r="DH13" s="284">
        <v>45680</v>
      </c>
      <c r="DI13" s="284" t="s">
        <v>767</v>
      </c>
      <c r="DJ13" s="285" t="s">
        <v>480</v>
      </c>
      <c r="DK13" s="286">
        <v>9</v>
      </c>
    </row>
    <row r="14" spans="1:130">
      <c r="A14" s="305" t="s">
        <v>483</v>
      </c>
      <c r="B14" s="305" t="s">
        <v>483</v>
      </c>
      <c r="C14" s="305" t="s">
        <v>453</v>
      </c>
      <c r="D14" s="305" t="s">
        <v>454</v>
      </c>
      <c r="E14" s="305" t="s">
        <v>484</v>
      </c>
      <c r="F14" s="305" t="s">
        <v>449</v>
      </c>
      <c r="G14" s="305" t="s">
        <v>485</v>
      </c>
      <c r="H14" s="305" t="s">
        <v>486</v>
      </c>
      <c r="DA14" s="278" t="s">
        <v>311</v>
      </c>
      <c r="DB14" s="279">
        <v>45679</v>
      </c>
      <c r="DC14" s="280" t="s">
        <v>1002</v>
      </c>
      <c r="DD14" s="281">
        <v>0</v>
      </c>
      <c r="DE14" s="281">
        <v>50000</v>
      </c>
      <c r="DF14" s="281">
        <v>117662.3</v>
      </c>
      <c r="DG14" s="282" t="s">
        <v>943</v>
      </c>
      <c r="DH14" s="284">
        <v>45679</v>
      </c>
      <c r="DI14" s="284" t="s">
        <v>762</v>
      </c>
      <c r="DJ14" s="285" t="s">
        <v>484</v>
      </c>
      <c r="DK14" s="286">
        <v>10</v>
      </c>
    </row>
    <row r="15" spans="1:130">
      <c r="A15" s="305" t="s">
        <v>483</v>
      </c>
      <c r="B15" s="305" t="s">
        <v>483</v>
      </c>
      <c r="C15" s="305" t="s">
        <v>458</v>
      </c>
      <c r="D15" s="305" t="s">
        <v>487</v>
      </c>
      <c r="E15" s="305" t="s">
        <v>488</v>
      </c>
      <c r="F15" s="305" t="s">
        <v>477</v>
      </c>
      <c r="G15" s="305" t="s">
        <v>449</v>
      </c>
      <c r="H15" s="305" t="s">
        <v>489</v>
      </c>
      <c r="DA15" s="278" t="s">
        <v>311</v>
      </c>
      <c r="DB15" s="279">
        <v>45679</v>
      </c>
      <c r="DC15" s="280" t="s">
        <v>1003</v>
      </c>
      <c r="DD15" s="281">
        <v>35000</v>
      </c>
      <c r="DE15" s="281">
        <v>0</v>
      </c>
      <c r="DF15" s="281">
        <v>67662.3</v>
      </c>
      <c r="DG15" s="282" t="s">
        <v>944</v>
      </c>
      <c r="DH15" s="284">
        <v>45679</v>
      </c>
      <c r="DI15" s="284" t="s">
        <v>767</v>
      </c>
      <c r="DJ15" s="285" t="s">
        <v>488</v>
      </c>
      <c r="DK15" s="286">
        <v>11</v>
      </c>
    </row>
    <row r="16" spans="1:130">
      <c r="A16" s="305" t="s">
        <v>483</v>
      </c>
      <c r="B16" s="305" t="s">
        <v>483</v>
      </c>
      <c r="C16" s="305" t="s">
        <v>453</v>
      </c>
      <c r="D16" s="305" t="s">
        <v>454</v>
      </c>
      <c r="E16" s="305" t="s">
        <v>490</v>
      </c>
      <c r="F16" s="305" t="s">
        <v>449</v>
      </c>
      <c r="G16" s="305" t="s">
        <v>485</v>
      </c>
      <c r="H16" s="305" t="s">
        <v>491</v>
      </c>
      <c r="DA16" s="278" t="s">
        <v>311</v>
      </c>
      <c r="DB16" s="279">
        <v>45679</v>
      </c>
      <c r="DC16" s="280" t="s">
        <v>1004</v>
      </c>
      <c r="DD16" s="281">
        <v>0</v>
      </c>
      <c r="DE16" s="281">
        <v>50000</v>
      </c>
      <c r="DF16" s="281">
        <v>102662.3</v>
      </c>
      <c r="DG16" s="282" t="s">
        <v>945</v>
      </c>
      <c r="DH16" s="284">
        <v>45679</v>
      </c>
      <c r="DI16" s="284" t="s">
        <v>762</v>
      </c>
      <c r="DJ16" s="285" t="s">
        <v>490</v>
      </c>
      <c r="DK16" s="286">
        <v>12</v>
      </c>
    </row>
    <row r="17" spans="1:115">
      <c r="A17" s="305" t="s">
        <v>492</v>
      </c>
      <c r="B17" s="305" t="s">
        <v>492</v>
      </c>
      <c r="C17" s="305" t="s">
        <v>458</v>
      </c>
      <c r="D17" s="305" t="s">
        <v>454</v>
      </c>
      <c r="E17" s="305" t="s">
        <v>459</v>
      </c>
      <c r="F17" s="305" t="s">
        <v>493</v>
      </c>
      <c r="G17" s="305" t="s">
        <v>449</v>
      </c>
      <c r="H17" s="305" t="s">
        <v>494</v>
      </c>
      <c r="DA17" s="278" t="s">
        <v>311</v>
      </c>
      <c r="DB17" s="279">
        <v>45678</v>
      </c>
      <c r="DC17" s="280" t="s">
        <v>1005</v>
      </c>
      <c r="DD17" s="281">
        <v>15000</v>
      </c>
      <c r="DE17" s="281">
        <v>0</v>
      </c>
      <c r="DF17" s="281">
        <v>52662.3</v>
      </c>
      <c r="DG17" s="282" t="s">
        <v>938</v>
      </c>
      <c r="DH17" s="284">
        <v>45678</v>
      </c>
      <c r="DI17" s="284" t="s">
        <v>767</v>
      </c>
      <c r="DJ17" s="285" t="s">
        <v>459</v>
      </c>
      <c r="DK17" s="286">
        <v>13</v>
      </c>
    </row>
    <row r="18" spans="1:115">
      <c r="A18" s="305" t="s">
        <v>492</v>
      </c>
      <c r="B18" s="305" t="s">
        <v>492</v>
      </c>
      <c r="C18" s="305" t="s">
        <v>453</v>
      </c>
      <c r="D18" s="305" t="s">
        <v>454</v>
      </c>
      <c r="E18" s="305" t="s">
        <v>495</v>
      </c>
      <c r="F18" s="305" t="s">
        <v>449</v>
      </c>
      <c r="G18" s="305" t="s">
        <v>485</v>
      </c>
      <c r="H18" s="305" t="s">
        <v>489</v>
      </c>
      <c r="DA18" s="278" t="s">
        <v>311</v>
      </c>
      <c r="DB18" s="279">
        <v>45678</v>
      </c>
      <c r="DC18" s="280" t="s">
        <v>1006</v>
      </c>
      <c r="DD18" s="281">
        <v>0</v>
      </c>
      <c r="DE18" s="281">
        <v>50000</v>
      </c>
      <c r="DF18" s="281">
        <v>67662.3</v>
      </c>
      <c r="DG18" s="282" t="s">
        <v>946</v>
      </c>
      <c r="DH18" s="284">
        <v>45678</v>
      </c>
      <c r="DI18" s="284" t="s">
        <v>762</v>
      </c>
      <c r="DJ18" s="285" t="s">
        <v>495</v>
      </c>
      <c r="DK18" s="286">
        <v>14</v>
      </c>
    </row>
    <row r="19" spans="1:115">
      <c r="A19" s="305" t="s">
        <v>496</v>
      </c>
      <c r="B19" s="305" t="s">
        <v>496</v>
      </c>
      <c r="C19" s="305" t="s">
        <v>497</v>
      </c>
      <c r="D19" s="305" t="s">
        <v>454</v>
      </c>
      <c r="E19" s="305" t="s">
        <v>498</v>
      </c>
      <c r="F19" s="305" t="s">
        <v>460</v>
      </c>
      <c r="G19" s="305" t="s">
        <v>449</v>
      </c>
      <c r="H19" s="305" t="s">
        <v>499</v>
      </c>
      <c r="DA19" s="278" t="s">
        <v>311</v>
      </c>
      <c r="DB19" s="279">
        <v>45673</v>
      </c>
      <c r="DC19" s="280" t="s">
        <v>1007</v>
      </c>
      <c r="DD19" s="281">
        <v>10000</v>
      </c>
      <c r="DE19" s="281">
        <v>0</v>
      </c>
      <c r="DF19" s="281">
        <v>17662.3</v>
      </c>
      <c r="DG19" s="282" t="s">
        <v>947</v>
      </c>
      <c r="DH19" s="284">
        <v>45673</v>
      </c>
      <c r="DI19" s="284" t="s">
        <v>767</v>
      </c>
      <c r="DJ19" s="285" t="s">
        <v>498</v>
      </c>
      <c r="DK19" s="286">
        <v>15</v>
      </c>
    </row>
    <row r="20" spans="1:115">
      <c r="A20" s="305" t="s">
        <v>496</v>
      </c>
      <c r="B20" s="305" t="s">
        <v>496</v>
      </c>
      <c r="C20" s="305" t="s">
        <v>497</v>
      </c>
      <c r="D20" s="305" t="s">
        <v>454</v>
      </c>
      <c r="E20" s="305" t="s">
        <v>498</v>
      </c>
      <c r="F20" s="305" t="s">
        <v>460</v>
      </c>
      <c r="G20" s="305" t="s">
        <v>449</v>
      </c>
      <c r="H20" s="305" t="s">
        <v>500</v>
      </c>
      <c r="DA20" s="278" t="s">
        <v>311</v>
      </c>
      <c r="DB20" s="279">
        <v>45673</v>
      </c>
      <c r="DC20" s="280" t="s">
        <v>1008</v>
      </c>
      <c r="DD20" s="281">
        <v>10000</v>
      </c>
      <c r="DE20" s="281">
        <v>0</v>
      </c>
      <c r="DF20" s="281">
        <v>27662.3</v>
      </c>
      <c r="DG20" s="282" t="s">
        <v>947</v>
      </c>
      <c r="DH20" s="284">
        <v>45673</v>
      </c>
      <c r="DI20" s="284" t="s">
        <v>767</v>
      </c>
      <c r="DJ20" s="285" t="s">
        <v>498</v>
      </c>
      <c r="DK20" s="286">
        <v>16</v>
      </c>
    </row>
    <row r="21" spans="1:115">
      <c r="A21" s="305" t="s">
        <v>496</v>
      </c>
      <c r="B21" s="305" t="s">
        <v>496</v>
      </c>
      <c r="C21" s="305" t="s">
        <v>497</v>
      </c>
      <c r="D21" s="305" t="s">
        <v>454</v>
      </c>
      <c r="E21" s="305" t="s">
        <v>498</v>
      </c>
      <c r="F21" s="305" t="s">
        <v>460</v>
      </c>
      <c r="G21" s="305" t="s">
        <v>449</v>
      </c>
      <c r="H21" s="305" t="s">
        <v>501</v>
      </c>
      <c r="DA21" s="278" t="s">
        <v>311</v>
      </c>
      <c r="DB21" s="279">
        <v>45673</v>
      </c>
      <c r="DC21" s="280" t="s">
        <v>1009</v>
      </c>
      <c r="DD21" s="281">
        <v>10000</v>
      </c>
      <c r="DE21" s="281">
        <v>0</v>
      </c>
      <c r="DF21" s="281">
        <v>37662.300000000003</v>
      </c>
      <c r="DG21" s="282" t="s">
        <v>947</v>
      </c>
      <c r="DH21" s="284">
        <v>45673</v>
      </c>
      <c r="DI21" s="284" t="s">
        <v>767</v>
      </c>
      <c r="DJ21" s="285" t="s">
        <v>498</v>
      </c>
      <c r="DK21" s="286">
        <v>17</v>
      </c>
    </row>
    <row r="22" spans="1:115">
      <c r="A22" s="305" t="s">
        <v>502</v>
      </c>
      <c r="B22" s="305" t="s">
        <v>502</v>
      </c>
      <c r="C22" s="305" t="s">
        <v>497</v>
      </c>
      <c r="D22" s="305" t="s">
        <v>454</v>
      </c>
      <c r="E22" s="305" t="s">
        <v>503</v>
      </c>
      <c r="F22" s="305" t="s">
        <v>504</v>
      </c>
      <c r="G22" s="305" t="s">
        <v>449</v>
      </c>
      <c r="H22" s="305" t="s">
        <v>505</v>
      </c>
      <c r="DA22" s="278" t="s">
        <v>311</v>
      </c>
      <c r="DB22" s="279">
        <v>45671</v>
      </c>
      <c r="DC22" s="280" t="s">
        <v>1010</v>
      </c>
      <c r="DD22" s="281">
        <v>2000</v>
      </c>
      <c r="DE22" s="281">
        <v>0</v>
      </c>
      <c r="DF22" s="281">
        <v>47662.3</v>
      </c>
      <c r="DG22" s="282" t="s">
        <v>948</v>
      </c>
      <c r="DH22" s="284">
        <v>45671</v>
      </c>
      <c r="DI22" s="284" t="s">
        <v>767</v>
      </c>
      <c r="DJ22" s="285" t="s">
        <v>503</v>
      </c>
      <c r="DK22" s="286">
        <v>18</v>
      </c>
    </row>
    <row r="23" spans="1:115">
      <c r="A23" s="305" t="s">
        <v>502</v>
      </c>
      <c r="B23" s="305" t="s">
        <v>502</v>
      </c>
      <c r="C23" s="305" t="s">
        <v>453</v>
      </c>
      <c r="D23" s="305" t="s">
        <v>506</v>
      </c>
      <c r="E23" s="305" t="s">
        <v>507</v>
      </c>
      <c r="F23" s="305" t="s">
        <v>508</v>
      </c>
      <c r="G23" s="305" t="s">
        <v>449</v>
      </c>
      <c r="H23" s="305" t="s">
        <v>509</v>
      </c>
      <c r="DA23" s="278" t="s">
        <v>311</v>
      </c>
      <c r="DB23" s="279">
        <v>45671</v>
      </c>
      <c r="DC23" s="280" t="s">
        <v>1011</v>
      </c>
      <c r="DD23" s="281">
        <v>72954</v>
      </c>
      <c r="DE23" s="281">
        <v>0</v>
      </c>
      <c r="DF23" s="281">
        <v>49662.3</v>
      </c>
      <c r="DG23" s="282" t="s">
        <v>949</v>
      </c>
      <c r="DH23" s="284">
        <v>45671</v>
      </c>
      <c r="DI23" s="284" t="s">
        <v>767</v>
      </c>
      <c r="DJ23" s="285" t="s">
        <v>507</v>
      </c>
      <c r="DK23" s="286">
        <v>19</v>
      </c>
    </row>
    <row r="24" spans="1:115">
      <c r="A24" s="305" t="s">
        <v>510</v>
      </c>
      <c r="B24" s="305" t="s">
        <v>510</v>
      </c>
      <c r="C24" s="305" t="s">
        <v>453</v>
      </c>
      <c r="D24" s="305" t="s">
        <v>511</v>
      </c>
      <c r="E24" s="305" t="s">
        <v>512</v>
      </c>
      <c r="F24" s="305" t="s">
        <v>513</v>
      </c>
      <c r="G24" s="305" t="s">
        <v>449</v>
      </c>
      <c r="H24" s="305" t="s">
        <v>514</v>
      </c>
      <c r="DA24" s="278" t="s">
        <v>311</v>
      </c>
      <c r="DB24" s="279">
        <v>45670</v>
      </c>
      <c r="DC24" s="280" t="s">
        <v>1012</v>
      </c>
      <c r="DD24" s="281">
        <v>83475</v>
      </c>
      <c r="DE24" s="281">
        <v>0</v>
      </c>
      <c r="DF24" s="281">
        <v>122616.3</v>
      </c>
      <c r="DG24" s="282" t="s">
        <v>950</v>
      </c>
      <c r="DH24" s="284">
        <v>45670</v>
      </c>
      <c r="DI24" s="284" t="s">
        <v>767</v>
      </c>
      <c r="DJ24" s="285" t="s">
        <v>512</v>
      </c>
      <c r="DK24" s="286">
        <v>20</v>
      </c>
    </row>
    <row r="25" spans="1:115" ht="25.5">
      <c r="A25" s="305" t="s">
        <v>510</v>
      </c>
      <c r="B25" s="305" t="s">
        <v>510</v>
      </c>
      <c r="C25" s="305" t="s">
        <v>453</v>
      </c>
      <c r="D25" s="305" t="s">
        <v>454</v>
      </c>
      <c r="E25" s="305" t="s">
        <v>515</v>
      </c>
      <c r="F25" s="305" t="s">
        <v>449</v>
      </c>
      <c r="G25" s="305" t="s">
        <v>516</v>
      </c>
      <c r="H25" s="305" t="s">
        <v>517</v>
      </c>
      <c r="DA25" s="278" t="s">
        <v>311</v>
      </c>
      <c r="DB25" s="279">
        <v>45670</v>
      </c>
      <c r="DC25" s="280" t="s">
        <v>1013</v>
      </c>
      <c r="DD25" s="281">
        <v>0</v>
      </c>
      <c r="DE25" s="281">
        <v>30000</v>
      </c>
      <c r="DF25" s="281">
        <v>206091.3</v>
      </c>
      <c r="DG25" s="282" t="s">
        <v>951</v>
      </c>
      <c r="DH25" s="284">
        <v>45670</v>
      </c>
      <c r="DI25" s="284" t="s">
        <v>762</v>
      </c>
      <c r="DJ25" s="285" t="s">
        <v>515</v>
      </c>
      <c r="DK25" s="286">
        <v>21</v>
      </c>
    </row>
    <row r="26" spans="1:115">
      <c r="A26" s="305" t="s">
        <v>510</v>
      </c>
      <c r="B26" s="305" t="s">
        <v>510</v>
      </c>
      <c r="C26" s="305" t="s">
        <v>446</v>
      </c>
      <c r="D26" s="305" t="s">
        <v>518</v>
      </c>
      <c r="E26" s="305" t="s">
        <v>448</v>
      </c>
      <c r="F26" s="305" t="s">
        <v>449</v>
      </c>
      <c r="G26" s="305" t="s">
        <v>519</v>
      </c>
      <c r="H26" s="305" t="s">
        <v>520</v>
      </c>
      <c r="DA26" s="278" t="s">
        <v>311</v>
      </c>
      <c r="DB26" s="279">
        <v>45670</v>
      </c>
      <c r="DC26" s="280" t="s">
        <v>1014</v>
      </c>
      <c r="DD26" s="281">
        <v>0</v>
      </c>
      <c r="DE26" s="281">
        <v>101850</v>
      </c>
      <c r="DF26" s="281">
        <v>176091.3</v>
      </c>
      <c r="DG26" s="306" t="s">
        <v>936</v>
      </c>
      <c r="DH26" s="284">
        <v>45670</v>
      </c>
      <c r="DI26" s="284" t="s">
        <v>762</v>
      </c>
      <c r="DJ26" s="285" t="s">
        <v>448</v>
      </c>
      <c r="DK26" s="286">
        <v>22</v>
      </c>
    </row>
    <row r="27" spans="1:115">
      <c r="A27" s="305" t="s">
        <v>521</v>
      </c>
      <c r="B27" s="305" t="s">
        <v>521</v>
      </c>
      <c r="C27" s="305" t="s">
        <v>453</v>
      </c>
      <c r="D27" s="305" t="s">
        <v>454</v>
      </c>
      <c r="E27" s="305" t="s">
        <v>522</v>
      </c>
      <c r="F27" s="305" t="s">
        <v>523</v>
      </c>
      <c r="G27" s="305" t="s">
        <v>449</v>
      </c>
      <c r="H27" s="305" t="s">
        <v>524</v>
      </c>
      <c r="DA27" s="278" t="s">
        <v>311</v>
      </c>
      <c r="DB27" s="279">
        <v>45667</v>
      </c>
      <c r="DC27" s="280" t="s">
        <v>1015</v>
      </c>
      <c r="DD27" s="281">
        <v>30317</v>
      </c>
      <c r="DE27" s="281">
        <v>0</v>
      </c>
      <c r="DF27" s="281">
        <v>74241.3</v>
      </c>
      <c r="DG27" s="282" t="s">
        <v>952</v>
      </c>
      <c r="DH27" s="284">
        <v>45667</v>
      </c>
      <c r="DI27" s="284" t="s">
        <v>767</v>
      </c>
      <c r="DJ27" s="285" t="s">
        <v>522</v>
      </c>
      <c r="DK27" s="286">
        <v>23</v>
      </c>
    </row>
    <row r="28" spans="1:115">
      <c r="A28" s="305" t="s">
        <v>525</v>
      </c>
      <c r="B28" s="305" t="s">
        <v>525</v>
      </c>
      <c r="C28" s="305" t="s">
        <v>526</v>
      </c>
      <c r="D28" s="305" t="s">
        <v>454</v>
      </c>
      <c r="E28" s="305" t="s">
        <v>527</v>
      </c>
      <c r="F28" s="305" t="s">
        <v>449</v>
      </c>
      <c r="G28" s="305" t="s">
        <v>516</v>
      </c>
      <c r="H28" s="305" t="s">
        <v>528</v>
      </c>
      <c r="DA28" s="278" t="s">
        <v>311</v>
      </c>
      <c r="DB28" s="279">
        <v>45663</v>
      </c>
      <c r="DC28" s="280" t="s">
        <v>1016</v>
      </c>
      <c r="DD28" s="281">
        <v>0</v>
      </c>
      <c r="DE28" s="281">
        <v>30000</v>
      </c>
      <c r="DF28" s="281">
        <v>104558.3</v>
      </c>
      <c r="DG28" s="282" t="s">
        <v>953</v>
      </c>
      <c r="DH28" s="284">
        <v>45663</v>
      </c>
      <c r="DI28" s="284" t="s">
        <v>762</v>
      </c>
      <c r="DJ28" s="285" t="s">
        <v>527</v>
      </c>
      <c r="DK28" s="286">
        <v>24</v>
      </c>
    </row>
    <row r="29" spans="1:115">
      <c r="A29" s="305" t="s">
        <v>529</v>
      </c>
      <c r="B29" s="305" t="s">
        <v>529</v>
      </c>
      <c r="C29" s="305" t="s">
        <v>453</v>
      </c>
      <c r="D29" s="305" t="s">
        <v>530</v>
      </c>
      <c r="E29" s="305" t="s">
        <v>531</v>
      </c>
      <c r="F29" s="305" t="s">
        <v>532</v>
      </c>
      <c r="G29" s="305" t="s">
        <v>449</v>
      </c>
      <c r="H29" s="305" t="s">
        <v>533</v>
      </c>
      <c r="DA29" s="278" t="s">
        <v>311</v>
      </c>
      <c r="DB29" s="279">
        <v>45660</v>
      </c>
      <c r="DC29" s="280" t="s">
        <v>1017</v>
      </c>
      <c r="DD29" s="281">
        <v>16205</v>
      </c>
      <c r="DE29" s="281">
        <v>0</v>
      </c>
      <c r="DF29" s="281">
        <v>74558.3</v>
      </c>
      <c r="DG29" s="282" t="s">
        <v>954</v>
      </c>
      <c r="DH29" s="284">
        <v>45660</v>
      </c>
      <c r="DI29" s="284" t="s">
        <v>767</v>
      </c>
      <c r="DJ29" s="285" t="s">
        <v>531</v>
      </c>
      <c r="DK29" s="286">
        <v>25</v>
      </c>
    </row>
    <row r="30" spans="1:115" ht="25.5">
      <c r="A30" s="305" t="s">
        <v>534</v>
      </c>
      <c r="B30" s="305" t="s">
        <v>534</v>
      </c>
      <c r="C30" s="305" t="s">
        <v>535</v>
      </c>
      <c r="D30" s="305" t="s">
        <v>454</v>
      </c>
      <c r="E30" s="305" t="s">
        <v>536</v>
      </c>
      <c r="F30" s="305" t="s">
        <v>449</v>
      </c>
      <c r="G30" s="305" t="s">
        <v>537</v>
      </c>
      <c r="H30" s="305" t="s">
        <v>538</v>
      </c>
      <c r="DA30" s="278" t="s">
        <v>311</v>
      </c>
      <c r="DB30" s="279">
        <v>45659</v>
      </c>
      <c r="DC30" s="280" t="s">
        <v>1018</v>
      </c>
      <c r="DD30" s="281">
        <v>0</v>
      </c>
      <c r="DE30" s="281">
        <v>27641</v>
      </c>
      <c r="DF30" s="281">
        <v>90763.3</v>
      </c>
      <c r="DG30" s="282" t="s">
        <v>955</v>
      </c>
      <c r="DH30" s="284">
        <v>45659</v>
      </c>
      <c r="DI30" s="284" t="s">
        <v>762</v>
      </c>
      <c r="DJ30" s="285" t="s">
        <v>536</v>
      </c>
      <c r="DK30" s="286">
        <v>26</v>
      </c>
    </row>
    <row r="31" spans="1:115">
      <c r="A31" s="305" t="s">
        <v>534</v>
      </c>
      <c r="B31" s="305" t="s">
        <v>534</v>
      </c>
      <c r="C31" s="305" t="s">
        <v>458</v>
      </c>
      <c r="D31" s="305" t="s">
        <v>539</v>
      </c>
      <c r="E31" s="305" t="s">
        <v>488</v>
      </c>
      <c r="F31" s="305" t="s">
        <v>540</v>
      </c>
      <c r="G31" s="305" t="s">
        <v>449</v>
      </c>
      <c r="H31" s="305" t="s">
        <v>541</v>
      </c>
      <c r="DA31" s="278" t="s">
        <v>311</v>
      </c>
      <c r="DB31" s="279">
        <v>45659</v>
      </c>
      <c r="DC31" s="280" t="s">
        <v>1019</v>
      </c>
      <c r="DD31" s="281">
        <v>60000</v>
      </c>
      <c r="DE31" s="281">
        <v>0</v>
      </c>
      <c r="DF31" s="281">
        <v>63122.3</v>
      </c>
      <c r="DG31" s="282" t="s">
        <v>944</v>
      </c>
      <c r="DH31" s="284">
        <v>45659</v>
      </c>
      <c r="DI31" s="284" t="s">
        <v>767</v>
      </c>
      <c r="DJ31" s="285" t="s">
        <v>488</v>
      </c>
      <c r="DK31" s="286">
        <v>27</v>
      </c>
    </row>
    <row r="32" spans="1:115">
      <c r="A32" s="305" t="s">
        <v>542</v>
      </c>
      <c r="B32" s="305" t="s">
        <v>542</v>
      </c>
      <c r="C32" s="305" t="s">
        <v>453</v>
      </c>
      <c r="D32" s="305" t="s">
        <v>543</v>
      </c>
      <c r="E32" s="305" t="s">
        <v>544</v>
      </c>
      <c r="F32" s="305" t="s">
        <v>485</v>
      </c>
      <c r="G32" s="305" t="s">
        <v>449</v>
      </c>
      <c r="H32" s="305" t="s">
        <v>545</v>
      </c>
      <c r="DA32" s="278" t="s">
        <v>311</v>
      </c>
      <c r="DB32" s="279">
        <v>45658</v>
      </c>
      <c r="DC32" s="280" t="s">
        <v>1020</v>
      </c>
      <c r="DD32" s="281">
        <v>50000</v>
      </c>
      <c r="DE32" s="281">
        <v>0</v>
      </c>
      <c r="DF32" s="281">
        <v>123122.3</v>
      </c>
      <c r="DG32" s="282" t="s">
        <v>956</v>
      </c>
      <c r="DH32" s="284">
        <v>45658</v>
      </c>
      <c r="DI32" s="284" t="s">
        <v>767</v>
      </c>
      <c r="DJ32" s="285" t="s">
        <v>544</v>
      </c>
      <c r="DK32" s="286">
        <v>28</v>
      </c>
    </row>
    <row r="33" spans="1:115">
      <c r="A33" s="305" t="s">
        <v>542</v>
      </c>
      <c r="B33" s="305" t="s">
        <v>542</v>
      </c>
      <c r="C33" s="305" t="s">
        <v>446</v>
      </c>
      <c r="D33" s="305" t="s">
        <v>546</v>
      </c>
      <c r="E33" s="305" t="s">
        <v>547</v>
      </c>
      <c r="F33" s="305" t="s">
        <v>449</v>
      </c>
      <c r="G33" s="305" t="s">
        <v>548</v>
      </c>
      <c r="H33" s="305" t="s">
        <v>549</v>
      </c>
      <c r="DA33" s="278" t="s">
        <v>311</v>
      </c>
      <c r="DB33" s="279">
        <v>45658</v>
      </c>
      <c r="DC33" s="280" t="s">
        <v>1021</v>
      </c>
      <c r="DD33" s="281">
        <v>0</v>
      </c>
      <c r="DE33" s="281">
        <v>38588</v>
      </c>
      <c r="DF33" s="281">
        <v>173122.3</v>
      </c>
      <c r="DG33" s="306" t="s">
        <v>957</v>
      </c>
      <c r="DH33" s="284">
        <v>45658</v>
      </c>
      <c r="DI33" s="284" t="s">
        <v>762</v>
      </c>
      <c r="DJ33" s="285" t="s">
        <v>547</v>
      </c>
      <c r="DK33" s="286">
        <v>29</v>
      </c>
    </row>
    <row r="34" spans="1:115">
      <c r="A34" s="305" t="s">
        <v>542</v>
      </c>
      <c r="B34" s="305" t="s">
        <v>542</v>
      </c>
      <c r="C34" s="305" t="s">
        <v>453</v>
      </c>
      <c r="D34" s="305" t="s">
        <v>550</v>
      </c>
      <c r="E34" s="305" t="s">
        <v>551</v>
      </c>
      <c r="F34" s="305" t="s">
        <v>552</v>
      </c>
      <c r="G34" s="305" t="s">
        <v>449</v>
      </c>
      <c r="H34" s="305" t="s">
        <v>553</v>
      </c>
      <c r="DA34" s="278" t="s">
        <v>311</v>
      </c>
      <c r="DB34" s="279">
        <v>45658</v>
      </c>
      <c r="DC34" s="280" t="s">
        <v>1022</v>
      </c>
      <c r="DD34" s="281">
        <v>8269</v>
      </c>
      <c r="DE34" s="281">
        <v>0</v>
      </c>
      <c r="DF34" s="281">
        <v>134534.29999999999</v>
      </c>
      <c r="DG34" s="282" t="s">
        <v>958</v>
      </c>
      <c r="DH34" s="284">
        <v>45658</v>
      </c>
      <c r="DI34" s="284" t="s">
        <v>767</v>
      </c>
      <c r="DJ34" s="285" t="s">
        <v>551</v>
      </c>
      <c r="DK34" s="286">
        <v>30</v>
      </c>
    </row>
    <row r="35" spans="1:115">
      <c r="A35" s="305" t="s">
        <v>554</v>
      </c>
      <c r="B35" s="305" t="s">
        <v>554</v>
      </c>
      <c r="C35" s="305" t="s">
        <v>453</v>
      </c>
      <c r="D35" s="305" t="s">
        <v>555</v>
      </c>
      <c r="E35" s="305" t="s">
        <v>556</v>
      </c>
      <c r="F35" s="305" t="s">
        <v>557</v>
      </c>
      <c r="G35" s="305" t="s">
        <v>449</v>
      </c>
      <c r="H35" s="305" t="s">
        <v>558</v>
      </c>
      <c r="DA35" s="278" t="s">
        <v>311</v>
      </c>
      <c r="DB35" s="279">
        <v>45657</v>
      </c>
      <c r="DC35" s="280" t="s">
        <v>1023</v>
      </c>
      <c r="DD35" s="281">
        <v>100000</v>
      </c>
      <c r="DE35" s="281">
        <v>0</v>
      </c>
      <c r="DF35" s="281">
        <v>142803.29999999999</v>
      </c>
      <c r="DG35" s="282" t="s">
        <v>959</v>
      </c>
      <c r="DH35" s="284">
        <v>45657</v>
      </c>
      <c r="DI35" s="284" t="s">
        <v>767</v>
      </c>
      <c r="DJ35" s="285" t="s">
        <v>556</v>
      </c>
      <c r="DK35" s="286">
        <v>31</v>
      </c>
    </row>
    <row r="36" spans="1:115">
      <c r="A36" s="305" t="s">
        <v>559</v>
      </c>
      <c r="B36" s="305" t="s">
        <v>559</v>
      </c>
      <c r="C36" s="305" t="s">
        <v>453</v>
      </c>
      <c r="D36" s="305" t="s">
        <v>454</v>
      </c>
      <c r="E36" s="305" t="s">
        <v>560</v>
      </c>
      <c r="F36" s="305" t="s">
        <v>449</v>
      </c>
      <c r="G36" s="305" t="s">
        <v>557</v>
      </c>
      <c r="H36" s="305" t="s">
        <v>561</v>
      </c>
      <c r="DA36" s="278" t="s">
        <v>311</v>
      </c>
      <c r="DB36" s="279">
        <v>45656</v>
      </c>
      <c r="DC36" s="280" t="s">
        <v>1024</v>
      </c>
      <c r="DD36" s="281">
        <v>0</v>
      </c>
      <c r="DE36" s="281">
        <v>100000</v>
      </c>
      <c r="DF36" s="281">
        <v>242803.3</v>
      </c>
      <c r="DG36" s="282" t="s">
        <v>960</v>
      </c>
      <c r="DH36" s="284">
        <v>45656</v>
      </c>
      <c r="DI36" s="284" t="s">
        <v>762</v>
      </c>
      <c r="DJ36" s="285" t="s">
        <v>560</v>
      </c>
      <c r="DK36" s="286">
        <v>32</v>
      </c>
    </row>
    <row r="37" spans="1:115">
      <c r="A37" s="305" t="s">
        <v>562</v>
      </c>
      <c r="B37" s="305" t="s">
        <v>562</v>
      </c>
      <c r="C37" s="305" t="s">
        <v>458</v>
      </c>
      <c r="D37" s="305" t="s">
        <v>454</v>
      </c>
      <c r="E37" s="305" t="s">
        <v>459</v>
      </c>
      <c r="F37" s="305" t="s">
        <v>563</v>
      </c>
      <c r="G37" s="305" t="s">
        <v>449</v>
      </c>
      <c r="H37" s="305" t="s">
        <v>558</v>
      </c>
      <c r="DA37" s="278" t="s">
        <v>311</v>
      </c>
      <c r="DB37" s="279">
        <v>45654</v>
      </c>
      <c r="DC37" s="280" t="s">
        <v>1025</v>
      </c>
      <c r="DD37" s="281">
        <v>7000</v>
      </c>
      <c r="DE37" s="281">
        <v>0</v>
      </c>
      <c r="DF37" s="281">
        <v>142803.29999999999</v>
      </c>
      <c r="DG37" s="282" t="s">
        <v>938</v>
      </c>
      <c r="DH37" s="284">
        <v>45654</v>
      </c>
      <c r="DI37" s="284" t="s">
        <v>767</v>
      </c>
      <c r="DJ37" s="285" t="s">
        <v>459</v>
      </c>
      <c r="DK37" s="286">
        <v>33</v>
      </c>
    </row>
    <row r="38" spans="1:115">
      <c r="A38" s="305" t="s">
        <v>564</v>
      </c>
      <c r="B38" s="305" t="s">
        <v>564</v>
      </c>
      <c r="C38" s="305" t="s">
        <v>453</v>
      </c>
      <c r="D38" s="305" t="s">
        <v>565</v>
      </c>
      <c r="E38" s="305" t="s">
        <v>566</v>
      </c>
      <c r="F38" s="305" t="s">
        <v>567</v>
      </c>
      <c r="G38" s="305" t="s">
        <v>449</v>
      </c>
      <c r="H38" s="305" t="s">
        <v>568</v>
      </c>
      <c r="DA38" s="278" t="s">
        <v>311</v>
      </c>
      <c r="DB38" s="279">
        <v>45653</v>
      </c>
      <c r="DC38" s="280" t="s">
        <v>1026</v>
      </c>
      <c r="DD38" s="281">
        <v>23514</v>
      </c>
      <c r="DE38" s="281">
        <v>0</v>
      </c>
      <c r="DF38" s="281">
        <v>149803.29999999999</v>
      </c>
      <c r="DG38" s="282" t="s">
        <v>961</v>
      </c>
      <c r="DH38" s="284">
        <v>45653</v>
      </c>
      <c r="DI38" s="284" t="s">
        <v>767</v>
      </c>
      <c r="DJ38" s="285" t="s">
        <v>566</v>
      </c>
      <c r="DK38" s="286">
        <v>34</v>
      </c>
    </row>
    <row r="39" spans="1:115">
      <c r="A39" s="305" t="s">
        <v>569</v>
      </c>
      <c r="B39" s="305" t="s">
        <v>569</v>
      </c>
      <c r="C39" s="305" t="s">
        <v>453</v>
      </c>
      <c r="D39" s="305" t="s">
        <v>454</v>
      </c>
      <c r="E39" s="305" t="s">
        <v>570</v>
      </c>
      <c r="F39" s="305" t="s">
        <v>449</v>
      </c>
      <c r="G39" s="305" t="s">
        <v>571</v>
      </c>
      <c r="H39" s="305" t="s">
        <v>572</v>
      </c>
      <c r="DA39" s="278" t="s">
        <v>311</v>
      </c>
      <c r="DB39" s="279">
        <v>45652</v>
      </c>
      <c r="DC39" s="280" t="s">
        <v>1027</v>
      </c>
      <c r="DD39" s="281">
        <v>0</v>
      </c>
      <c r="DE39" s="281">
        <v>71016</v>
      </c>
      <c r="DF39" s="281">
        <v>173317.3</v>
      </c>
      <c r="DG39" s="282" t="s">
        <v>962</v>
      </c>
      <c r="DH39" s="284">
        <v>45652</v>
      </c>
      <c r="DI39" s="284" t="s">
        <v>762</v>
      </c>
      <c r="DJ39" s="285" t="s">
        <v>570</v>
      </c>
      <c r="DK39" s="286">
        <v>35</v>
      </c>
    </row>
    <row r="40" spans="1:115">
      <c r="A40" s="305" t="s">
        <v>573</v>
      </c>
      <c r="B40" s="305" t="s">
        <v>573</v>
      </c>
      <c r="C40" s="305" t="s">
        <v>453</v>
      </c>
      <c r="D40" s="305" t="s">
        <v>454</v>
      </c>
      <c r="E40" s="305" t="s">
        <v>574</v>
      </c>
      <c r="F40" s="305" t="s">
        <v>449</v>
      </c>
      <c r="G40" s="305" t="s">
        <v>575</v>
      </c>
      <c r="H40" s="305" t="s">
        <v>576</v>
      </c>
      <c r="DA40" s="278" t="s">
        <v>311</v>
      </c>
      <c r="DB40" s="279">
        <v>45650</v>
      </c>
      <c r="DC40" s="280" t="s">
        <v>1028</v>
      </c>
      <c r="DD40" s="281">
        <v>0</v>
      </c>
      <c r="DE40" s="281">
        <v>41700</v>
      </c>
      <c r="DF40" s="281">
        <v>102301.3</v>
      </c>
      <c r="DG40" s="282" t="s">
        <v>963</v>
      </c>
      <c r="DH40" s="284">
        <v>45650</v>
      </c>
      <c r="DI40" s="284" t="s">
        <v>762</v>
      </c>
      <c r="DJ40" s="285" t="s">
        <v>574</v>
      </c>
      <c r="DK40" s="286">
        <v>36</v>
      </c>
    </row>
    <row r="41" spans="1:115">
      <c r="A41" s="305" t="s">
        <v>573</v>
      </c>
      <c r="B41" s="305" t="s">
        <v>573</v>
      </c>
      <c r="C41" s="305" t="s">
        <v>497</v>
      </c>
      <c r="D41" s="305" t="s">
        <v>454</v>
      </c>
      <c r="E41" s="305" t="s">
        <v>577</v>
      </c>
      <c r="F41" s="305" t="s">
        <v>578</v>
      </c>
      <c r="G41" s="305" t="s">
        <v>449</v>
      </c>
      <c r="H41" s="305" t="s">
        <v>579</v>
      </c>
      <c r="DA41" s="278" t="s">
        <v>311</v>
      </c>
      <c r="DB41" s="279">
        <v>45650</v>
      </c>
      <c r="DC41" s="280" t="s">
        <v>1029</v>
      </c>
      <c r="DD41" s="281">
        <v>3000</v>
      </c>
      <c r="DE41" s="281">
        <v>0</v>
      </c>
      <c r="DF41" s="281">
        <v>60601.3</v>
      </c>
      <c r="DG41" s="282" t="s">
        <v>964</v>
      </c>
      <c r="DH41" s="284">
        <v>45650</v>
      </c>
      <c r="DI41" s="284" t="s">
        <v>767</v>
      </c>
      <c r="DJ41" s="285" t="s">
        <v>577</v>
      </c>
      <c r="DK41" s="286">
        <v>37</v>
      </c>
    </row>
    <row r="42" spans="1:115">
      <c r="A42" s="305" t="s">
        <v>580</v>
      </c>
      <c r="B42" s="305" t="s">
        <v>580</v>
      </c>
      <c r="C42" s="305" t="s">
        <v>469</v>
      </c>
      <c r="D42" s="305" t="s">
        <v>454</v>
      </c>
      <c r="E42" s="305" t="s">
        <v>470</v>
      </c>
      <c r="F42" s="305" t="s">
        <v>578</v>
      </c>
      <c r="G42" s="305" t="s">
        <v>449</v>
      </c>
      <c r="H42" s="305" t="s">
        <v>581</v>
      </c>
      <c r="DA42" s="278" t="s">
        <v>311</v>
      </c>
      <c r="DB42" s="279">
        <v>45647</v>
      </c>
      <c r="DC42" s="280" t="s">
        <v>1030</v>
      </c>
      <c r="DD42" s="281">
        <v>3000</v>
      </c>
      <c r="DE42" s="281">
        <v>0</v>
      </c>
      <c r="DF42" s="281">
        <v>63601.3</v>
      </c>
      <c r="DG42" s="282" t="s">
        <v>940</v>
      </c>
      <c r="DH42" s="284">
        <v>45647</v>
      </c>
      <c r="DI42" s="284" t="s">
        <v>767</v>
      </c>
      <c r="DJ42" s="285" t="s">
        <v>470</v>
      </c>
      <c r="DK42" s="286">
        <v>38</v>
      </c>
    </row>
    <row r="43" spans="1:115">
      <c r="A43" s="305" t="s">
        <v>582</v>
      </c>
      <c r="B43" s="305" t="s">
        <v>582</v>
      </c>
      <c r="C43" s="305" t="s">
        <v>453</v>
      </c>
      <c r="D43" s="305" t="s">
        <v>583</v>
      </c>
      <c r="E43" s="305" t="s">
        <v>584</v>
      </c>
      <c r="F43" s="305" t="s">
        <v>585</v>
      </c>
      <c r="G43" s="305" t="s">
        <v>449</v>
      </c>
      <c r="H43" s="305" t="s">
        <v>586</v>
      </c>
      <c r="DA43" s="278" t="s">
        <v>311</v>
      </c>
      <c r="DB43" s="279">
        <v>45643</v>
      </c>
      <c r="DC43" s="280" t="s">
        <v>1031</v>
      </c>
      <c r="DD43" s="281">
        <v>9555</v>
      </c>
      <c r="DE43" s="281">
        <v>0</v>
      </c>
      <c r="DF43" s="281">
        <v>66601.3</v>
      </c>
      <c r="DG43" s="282" t="s">
        <v>965</v>
      </c>
      <c r="DH43" s="284">
        <v>45643</v>
      </c>
      <c r="DI43" s="284" t="s">
        <v>767</v>
      </c>
      <c r="DJ43" s="285" t="s">
        <v>584</v>
      </c>
      <c r="DK43" s="286">
        <v>39</v>
      </c>
    </row>
    <row r="44" spans="1:115">
      <c r="A44" s="305" t="s">
        <v>582</v>
      </c>
      <c r="B44" s="305" t="s">
        <v>582</v>
      </c>
      <c r="C44" s="305" t="s">
        <v>446</v>
      </c>
      <c r="D44" s="305" t="s">
        <v>587</v>
      </c>
      <c r="E44" s="305" t="s">
        <v>588</v>
      </c>
      <c r="F44" s="305" t="s">
        <v>449</v>
      </c>
      <c r="G44" s="305" t="s">
        <v>589</v>
      </c>
      <c r="H44" s="305" t="s">
        <v>590</v>
      </c>
      <c r="DA44" s="278" t="s">
        <v>311</v>
      </c>
      <c r="DB44" s="279">
        <v>45643</v>
      </c>
      <c r="DC44" s="280" t="s">
        <v>1032</v>
      </c>
      <c r="DD44" s="281">
        <v>0</v>
      </c>
      <c r="DE44" s="281">
        <v>36015</v>
      </c>
      <c r="DF44" s="281">
        <v>76156.3</v>
      </c>
      <c r="DG44" s="306" t="s">
        <v>936</v>
      </c>
      <c r="DH44" s="284">
        <v>45643</v>
      </c>
      <c r="DI44" s="284" t="s">
        <v>762</v>
      </c>
      <c r="DJ44" s="285" t="s">
        <v>588</v>
      </c>
      <c r="DK44" s="286">
        <v>40</v>
      </c>
    </row>
    <row r="45" spans="1:115">
      <c r="A45" s="305" t="s">
        <v>591</v>
      </c>
      <c r="B45" s="305" t="s">
        <v>591</v>
      </c>
      <c r="C45" s="305" t="s">
        <v>458</v>
      </c>
      <c r="D45" s="305" t="s">
        <v>592</v>
      </c>
      <c r="E45" s="305" t="s">
        <v>593</v>
      </c>
      <c r="F45" s="305" t="s">
        <v>594</v>
      </c>
      <c r="G45" s="305" t="s">
        <v>449</v>
      </c>
      <c r="H45" s="305" t="s">
        <v>595</v>
      </c>
      <c r="DA45" s="278" t="s">
        <v>311</v>
      </c>
      <c r="DB45" s="279">
        <v>45642</v>
      </c>
      <c r="DC45" s="280" t="s">
        <v>1033</v>
      </c>
      <c r="DD45" s="281">
        <v>25079</v>
      </c>
      <c r="DE45" s="281">
        <v>0</v>
      </c>
      <c r="DF45" s="281">
        <v>40141.300000000003</v>
      </c>
      <c r="DG45" s="282"/>
      <c r="DH45" s="284">
        <v>45642</v>
      </c>
      <c r="DI45" s="284" t="s">
        <v>767</v>
      </c>
      <c r="DJ45" s="285" t="s">
        <v>593</v>
      </c>
      <c r="DK45" s="286">
        <v>41</v>
      </c>
    </row>
    <row r="46" spans="1:115">
      <c r="A46" s="305" t="s">
        <v>596</v>
      </c>
      <c r="B46" s="305" t="s">
        <v>596</v>
      </c>
      <c r="C46" s="305" t="s">
        <v>453</v>
      </c>
      <c r="D46" s="305" t="s">
        <v>597</v>
      </c>
      <c r="E46" s="305" t="s">
        <v>598</v>
      </c>
      <c r="F46" s="305" t="s">
        <v>599</v>
      </c>
      <c r="G46" s="305" t="s">
        <v>449</v>
      </c>
      <c r="H46" s="305" t="s">
        <v>600</v>
      </c>
      <c r="DA46" s="278" t="s">
        <v>311</v>
      </c>
      <c r="DB46" s="279">
        <v>45638</v>
      </c>
      <c r="DC46" s="280" t="s">
        <v>1034</v>
      </c>
      <c r="DD46" s="281">
        <v>44289</v>
      </c>
      <c r="DE46" s="281">
        <v>0</v>
      </c>
      <c r="DF46" s="281">
        <v>65220.3</v>
      </c>
      <c r="DG46" s="282" t="s">
        <v>966</v>
      </c>
      <c r="DH46" s="284">
        <v>45638</v>
      </c>
      <c r="DI46" s="284" t="s">
        <v>767</v>
      </c>
      <c r="DJ46" s="285" t="s">
        <v>598</v>
      </c>
      <c r="DK46" s="286">
        <v>42</v>
      </c>
    </row>
    <row r="47" spans="1:115">
      <c r="A47" s="305" t="s">
        <v>601</v>
      </c>
      <c r="B47" s="305" t="s">
        <v>601</v>
      </c>
      <c r="C47" s="305" t="s">
        <v>458</v>
      </c>
      <c r="D47" s="305" t="s">
        <v>602</v>
      </c>
      <c r="E47" s="305" t="s">
        <v>488</v>
      </c>
      <c r="F47" s="305" t="s">
        <v>603</v>
      </c>
      <c r="G47" s="305" t="s">
        <v>449</v>
      </c>
      <c r="H47" s="305" t="s">
        <v>604</v>
      </c>
      <c r="DA47" s="278" t="s">
        <v>311</v>
      </c>
      <c r="DB47" s="279">
        <v>45637</v>
      </c>
      <c r="DC47" s="280" t="s">
        <v>1035</v>
      </c>
      <c r="DD47" s="281">
        <v>70000</v>
      </c>
      <c r="DE47" s="281">
        <v>0</v>
      </c>
      <c r="DF47" s="281">
        <v>109509.3</v>
      </c>
      <c r="DG47" s="282" t="s">
        <v>944</v>
      </c>
      <c r="DH47" s="284">
        <v>45637</v>
      </c>
      <c r="DI47" s="284" t="s">
        <v>767</v>
      </c>
      <c r="DJ47" s="285" t="s">
        <v>488</v>
      </c>
      <c r="DK47" s="286">
        <v>43</v>
      </c>
    </row>
    <row r="48" spans="1:115">
      <c r="A48" s="305" t="s">
        <v>605</v>
      </c>
      <c r="B48" s="305" t="s">
        <v>605</v>
      </c>
      <c r="C48" s="305" t="s">
        <v>458</v>
      </c>
      <c r="D48" s="305" t="s">
        <v>606</v>
      </c>
      <c r="E48" s="305" t="s">
        <v>488</v>
      </c>
      <c r="F48" s="305" t="s">
        <v>607</v>
      </c>
      <c r="G48" s="305" t="s">
        <v>449</v>
      </c>
      <c r="H48" s="305" t="s">
        <v>608</v>
      </c>
      <c r="DA48" s="278" t="s">
        <v>311</v>
      </c>
      <c r="DB48" s="279">
        <v>45636</v>
      </c>
      <c r="DC48" s="280" t="s">
        <v>1036</v>
      </c>
      <c r="DD48" s="281">
        <v>54000</v>
      </c>
      <c r="DE48" s="281">
        <v>0</v>
      </c>
      <c r="DF48" s="281">
        <v>179509.3</v>
      </c>
      <c r="DG48" s="282" t="s">
        <v>944</v>
      </c>
      <c r="DH48" s="284">
        <v>45636</v>
      </c>
      <c r="DI48" s="284" t="s">
        <v>767</v>
      </c>
      <c r="DJ48" s="285" t="s">
        <v>488</v>
      </c>
      <c r="DK48" s="286">
        <v>44</v>
      </c>
    </row>
    <row r="49" spans="1:115">
      <c r="A49" s="305" t="s">
        <v>605</v>
      </c>
      <c r="B49" s="305" t="s">
        <v>605</v>
      </c>
      <c r="C49" s="305" t="s">
        <v>453</v>
      </c>
      <c r="D49" s="305" t="s">
        <v>454</v>
      </c>
      <c r="E49" s="305" t="s">
        <v>609</v>
      </c>
      <c r="F49" s="305" t="s">
        <v>449</v>
      </c>
      <c r="G49" s="305" t="s">
        <v>610</v>
      </c>
      <c r="H49" s="305" t="s">
        <v>611</v>
      </c>
      <c r="DA49" s="278" t="s">
        <v>311</v>
      </c>
      <c r="DB49" s="279">
        <v>45636</v>
      </c>
      <c r="DC49" s="280" t="s">
        <v>1037</v>
      </c>
      <c r="DD49" s="281">
        <v>0</v>
      </c>
      <c r="DE49" s="281">
        <v>40000</v>
      </c>
      <c r="DF49" s="281">
        <v>233509.3</v>
      </c>
      <c r="DG49" s="282" t="s">
        <v>967</v>
      </c>
      <c r="DH49" s="284">
        <v>45636</v>
      </c>
      <c r="DI49" s="284" t="s">
        <v>762</v>
      </c>
      <c r="DJ49" s="285" t="s">
        <v>609</v>
      </c>
      <c r="DK49" s="286">
        <v>45</v>
      </c>
    </row>
    <row r="50" spans="1:115">
      <c r="A50" s="305" t="s">
        <v>605</v>
      </c>
      <c r="B50" s="305" t="s">
        <v>605</v>
      </c>
      <c r="C50" s="305" t="s">
        <v>453</v>
      </c>
      <c r="D50" s="305" t="s">
        <v>454</v>
      </c>
      <c r="E50" s="305" t="s">
        <v>522</v>
      </c>
      <c r="F50" s="305" t="s">
        <v>523</v>
      </c>
      <c r="G50" s="305" t="s">
        <v>449</v>
      </c>
      <c r="H50" s="305" t="s">
        <v>612</v>
      </c>
      <c r="DA50" s="278" t="s">
        <v>311</v>
      </c>
      <c r="DB50" s="279">
        <v>45636</v>
      </c>
      <c r="DC50" s="280" t="s">
        <v>1038</v>
      </c>
      <c r="DD50" s="281">
        <v>30317</v>
      </c>
      <c r="DE50" s="281">
        <v>0</v>
      </c>
      <c r="DF50" s="281">
        <v>193509.3</v>
      </c>
      <c r="DG50" s="282" t="s">
        <v>952</v>
      </c>
      <c r="DH50" s="284">
        <v>45636</v>
      </c>
      <c r="DI50" s="284" t="s">
        <v>767</v>
      </c>
      <c r="DJ50" s="285" t="s">
        <v>522</v>
      </c>
      <c r="DK50" s="286">
        <v>46</v>
      </c>
    </row>
    <row r="51" spans="1:115">
      <c r="A51" s="305" t="s">
        <v>613</v>
      </c>
      <c r="B51" s="305" t="s">
        <v>613</v>
      </c>
      <c r="C51" s="305" t="s">
        <v>453</v>
      </c>
      <c r="D51" s="305" t="s">
        <v>614</v>
      </c>
      <c r="E51" s="305" t="s">
        <v>615</v>
      </c>
      <c r="F51" s="305" t="s">
        <v>449</v>
      </c>
      <c r="G51" s="305" t="s">
        <v>616</v>
      </c>
      <c r="H51" s="305" t="s">
        <v>617</v>
      </c>
      <c r="DA51" s="278" t="s">
        <v>311</v>
      </c>
      <c r="DB51" s="279">
        <v>45633</v>
      </c>
      <c r="DC51" s="280" t="s">
        <v>1039</v>
      </c>
      <c r="DD51" s="281">
        <v>0</v>
      </c>
      <c r="DE51" s="281">
        <v>36855</v>
      </c>
      <c r="DF51" s="281">
        <v>223826.3</v>
      </c>
      <c r="DG51" s="306" t="s">
        <v>968</v>
      </c>
      <c r="DH51" s="284">
        <v>45633</v>
      </c>
      <c r="DI51" s="284" t="s">
        <v>762</v>
      </c>
      <c r="DJ51" s="285" t="s">
        <v>615</v>
      </c>
      <c r="DK51" s="286">
        <v>47</v>
      </c>
    </row>
    <row r="52" spans="1:115">
      <c r="A52" s="305" t="s">
        <v>613</v>
      </c>
      <c r="B52" s="305" t="s">
        <v>613</v>
      </c>
      <c r="C52" s="305" t="s">
        <v>453</v>
      </c>
      <c r="D52" s="305" t="s">
        <v>618</v>
      </c>
      <c r="E52" s="305" t="s">
        <v>619</v>
      </c>
      <c r="F52" s="305" t="s">
        <v>449</v>
      </c>
      <c r="G52" s="305" t="s">
        <v>620</v>
      </c>
      <c r="H52" s="305" t="s">
        <v>621</v>
      </c>
      <c r="DA52" s="278" t="s">
        <v>311</v>
      </c>
      <c r="DB52" s="279">
        <v>45633</v>
      </c>
      <c r="DC52" s="280" t="s">
        <v>1040</v>
      </c>
      <c r="DD52" s="281">
        <v>0</v>
      </c>
      <c r="DE52" s="281">
        <v>43659</v>
      </c>
      <c r="DF52" s="281">
        <v>186971.3</v>
      </c>
      <c r="DG52" s="306" t="s">
        <v>969</v>
      </c>
      <c r="DH52" s="284">
        <v>45633</v>
      </c>
      <c r="DI52" s="284" t="s">
        <v>762</v>
      </c>
      <c r="DJ52" s="285" t="s">
        <v>619</v>
      </c>
      <c r="DK52" s="286">
        <v>48</v>
      </c>
    </row>
    <row r="53" spans="1:115">
      <c r="A53" s="305" t="s">
        <v>613</v>
      </c>
      <c r="B53" s="305" t="s">
        <v>613</v>
      </c>
      <c r="C53" s="305" t="s">
        <v>453</v>
      </c>
      <c r="D53" s="305" t="s">
        <v>622</v>
      </c>
      <c r="E53" s="305" t="s">
        <v>615</v>
      </c>
      <c r="F53" s="305" t="s">
        <v>449</v>
      </c>
      <c r="G53" s="305" t="s">
        <v>623</v>
      </c>
      <c r="H53" s="305" t="s">
        <v>624</v>
      </c>
      <c r="DA53" s="278" t="s">
        <v>311</v>
      </c>
      <c r="DB53" s="279">
        <v>45633</v>
      </c>
      <c r="DC53" s="280" t="s">
        <v>1041</v>
      </c>
      <c r="DD53" s="281">
        <v>0</v>
      </c>
      <c r="DE53" s="281">
        <v>45360</v>
      </c>
      <c r="DF53" s="281">
        <v>143312.29999999999</v>
      </c>
      <c r="DG53" s="306" t="s">
        <v>968</v>
      </c>
      <c r="DH53" s="284">
        <v>45633</v>
      </c>
      <c r="DI53" s="284" t="s">
        <v>762</v>
      </c>
      <c r="DJ53" s="285" t="s">
        <v>615</v>
      </c>
      <c r="DK53" s="286">
        <v>49</v>
      </c>
    </row>
    <row r="54" spans="1:115">
      <c r="A54" s="305" t="s">
        <v>625</v>
      </c>
      <c r="B54" s="305" t="s">
        <v>625</v>
      </c>
      <c r="C54" s="305" t="s">
        <v>453</v>
      </c>
      <c r="D54" s="305" t="s">
        <v>626</v>
      </c>
      <c r="E54" s="305" t="s">
        <v>627</v>
      </c>
      <c r="F54" s="305" t="s">
        <v>471</v>
      </c>
      <c r="G54" s="305" t="s">
        <v>449</v>
      </c>
      <c r="H54" s="305" t="s">
        <v>628</v>
      </c>
      <c r="DA54" s="278" t="s">
        <v>311</v>
      </c>
      <c r="DB54" s="279">
        <v>45631</v>
      </c>
      <c r="DC54" s="280" t="s">
        <v>1042</v>
      </c>
      <c r="DD54" s="281">
        <v>20000</v>
      </c>
      <c r="DE54" s="281">
        <v>0</v>
      </c>
      <c r="DF54" s="281">
        <v>97952.3</v>
      </c>
      <c r="DG54" s="282" t="s">
        <v>970</v>
      </c>
      <c r="DH54" s="284">
        <v>45631</v>
      </c>
      <c r="DI54" s="284" t="s">
        <v>767</v>
      </c>
      <c r="DJ54" s="285" t="s">
        <v>627</v>
      </c>
      <c r="DK54" s="286">
        <v>50</v>
      </c>
    </row>
    <row r="55" spans="1:115">
      <c r="A55" s="305" t="s">
        <v>629</v>
      </c>
      <c r="B55" s="305" t="s">
        <v>629</v>
      </c>
      <c r="C55" s="305" t="s">
        <v>453</v>
      </c>
      <c r="D55" s="305" t="s">
        <v>454</v>
      </c>
      <c r="E55" s="305" t="s">
        <v>630</v>
      </c>
      <c r="F55" s="305" t="s">
        <v>449</v>
      </c>
      <c r="G55" s="305" t="s">
        <v>631</v>
      </c>
      <c r="H55" s="305" t="s">
        <v>632</v>
      </c>
      <c r="DA55" s="278" t="s">
        <v>311</v>
      </c>
      <c r="DB55" s="279">
        <v>45629</v>
      </c>
      <c r="DC55" s="280" t="s">
        <v>1043</v>
      </c>
      <c r="DD55" s="281">
        <v>0</v>
      </c>
      <c r="DE55" s="281">
        <v>27563</v>
      </c>
      <c r="DF55" s="281">
        <v>117952.3</v>
      </c>
      <c r="DG55" s="282" t="s">
        <v>971</v>
      </c>
      <c r="DH55" s="284">
        <v>45629</v>
      </c>
      <c r="DI55" s="284" t="s">
        <v>762</v>
      </c>
      <c r="DJ55" s="285" t="s">
        <v>630</v>
      </c>
      <c r="DK55" s="286">
        <v>51</v>
      </c>
    </row>
    <row r="56" spans="1:115">
      <c r="A56" s="305" t="s">
        <v>633</v>
      </c>
      <c r="B56" s="305" t="s">
        <v>633</v>
      </c>
      <c r="C56" s="305" t="s">
        <v>453</v>
      </c>
      <c r="D56" s="305" t="s">
        <v>634</v>
      </c>
      <c r="E56" s="305" t="s">
        <v>635</v>
      </c>
      <c r="F56" s="305" t="s">
        <v>557</v>
      </c>
      <c r="G56" s="305" t="s">
        <v>449</v>
      </c>
      <c r="H56" s="305" t="s">
        <v>636</v>
      </c>
      <c r="DA56" s="278" t="s">
        <v>311</v>
      </c>
      <c r="DB56" s="279">
        <v>45626</v>
      </c>
      <c r="DC56" s="280" t="s">
        <v>1044</v>
      </c>
      <c r="DD56" s="281">
        <v>100000</v>
      </c>
      <c r="DE56" s="281">
        <v>0</v>
      </c>
      <c r="DF56" s="281">
        <v>90389.3</v>
      </c>
      <c r="DG56" s="282" t="s">
        <v>972</v>
      </c>
      <c r="DH56" s="284">
        <v>45626</v>
      </c>
      <c r="DI56" s="284" t="s">
        <v>767</v>
      </c>
      <c r="DJ56" s="285" t="s">
        <v>635</v>
      </c>
      <c r="DK56" s="286">
        <v>52</v>
      </c>
    </row>
    <row r="57" spans="1:115">
      <c r="A57" s="305" t="s">
        <v>637</v>
      </c>
      <c r="B57" s="305" t="s">
        <v>637</v>
      </c>
      <c r="C57" s="305" t="s">
        <v>458</v>
      </c>
      <c r="D57" s="305" t="s">
        <v>638</v>
      </c>
      <c r="E57" s="305" t="s">
        <v>488</v>
      </c>
      <c r="F57" s="305" t="s">
        <v>460</v>
      </c>
      <c r="G57" s="305" t="s">
        <v>449</v>
      </c>
      <c r="H57" s="305" t="s">
        <v>639</v>
      </c>
      <c r="DA57" s="278" t="s">
        <v>311</v>
      </c>
      <c r="DB57" s="279">
        <v>45625</v>
      </c>
      <c r="DC57" s="280" t="s">
        <v>1045</v>
      </c>
      <c r="DD57" s="281">
        <v>10000</v>
      </c>
      <c r="DE57" s="281">
        <v>0</v>
      </c>
      <c r="DF57" s="281">
        <v>190389.3</v>
      </c>
      <c r="DG57" s="282" t="s">
        <v>944</v>
      </c>
      <c r="DH57" s="284">
        <v>45625</v>
      </c>
      <c r="DI57" s="284" t="s">
        <v>767</v>
      </c>
      <c r="DJ57" s="285" t="s">
        <v>488</v>
      </c>
      <c r="DK57" s="286">
        <v>53</v>
      </c>
    </row>
    <row r="58" spans="1:115">
      <c r="A58" s="305" t="s">
        <v>637</v>
      </c>
      <c r="B58" s="305" t="s">
        <v>637</v>
      </c>
      <c r="C58" s="305" t="s">
        <v>453</v>
      </c>
      <c r="D58" s="305" t="s">
        <v>640</v>
      </c>
      <c r="E58" s="305" t="s">
        <v>641</v>
      </c>
      <c r="F58" s="305" t="s">
        <v>642</v>
      </c>
      <c r="G58" s="305" t="s">
        <v>449</v>
      </c>
      <c r="H58" s="305" t="s">
        <v>643</v>
      </c>
      <c r="DA58" s="278" t="s">
        <v>311</v>
      </c>
      <c r="DB58" s="279">
        <v>45625</v>
      </c>
      <c r="DC58" s="280" t="s">
        <v>1046</v>
      </c>
      <c r="DD58" s="281">
        <v>77420</v>
      </c>
      <c r="DE58" s="281">
        <v>0</v>
      </c>
      <c r="DF58" s="281">
        <v>200389.3</v>
      </c>
      <c r="DG58" s="282" t="s">
        <v>973</v>
      </c>
      <c r="DH58" s="284">
        <v>45625</v>
      </c>
      <c r="DI58" s="284" t="s">
        <v>767</v>
      </c>
      <c r="DJ58" s="285" t="s">
        <v>641</v>
      </c>
      <c r="DK58" s="286">
        <v>54</v>
      </c>
    </row>
    <row r="59" spans="1:115">
      <c r="A59" s="305" t="s">
        <v>644</v>
      </c>
      <c r="B59" s="305" t="s">
        <v>644</v>
      </c>
      <c r="C59" s="305" t="s">
        <v>453</v>
      </c>
      <c r="D59" s="305" t="s">
        <v>454</v>
      </c>
      <c r="E59" s="305" t="s">
        <v>645</v>
      </c>
      <c r="F59" s="305" t="s">
        <v>449</v>
      </c>
      <c r="G59" s="305" t="s">
        <v>646</v>
      </c>
      <c r="H59" s="305" t="s">
        <v>647</v>
      </c>
      <c r="DA59" s="278" t="s">
        <v>311</v>
      </c>
      <c r="DB59" s="279">
        <v>45624</v>
      </c>
      <c r="DC59" s="280" t="s">
        <v>1047</v>
      </c>
      <c r="DD59" s="281">
        <v>0</v>
      </c>
      <c r="DE59" s="281">
        <v>37485</v>
      </c>
      <c r="DF59" s="281">
        <v>277809.3</v>
      </c>
      <c r="DG59" s="282" t="s">
        <v>974</v>
      </c>
      <c r="DH59" s="284">
        <v>45624</v>
      </c>
      <c r="DI59" s="284" t="s">
        <v>762</v>
      </c>
      <c r="DJ59" s="285" t="s">
        <v>645</v>
      </c>
      <c r="DK59" s="286">
        <v>55</v>
      </c>
    </row>
    <row r="60" spans="1:115">
      <c r="A60" s="305" t="s">
        <v>644</v>
      </c>
      <c r="B60" s="305" t="s">
        <v>644</v>
      </c>
      <c r="C60" s="305" t="s">
        <v>453</v>
      </c>
      <c r="D60" s="305" t="s">
        <v>454</v>
      </c>
      <c r="E60" s="305" t="s">
        <v>648</v>
      </c>
      <c r="F60" s="305" t="s">
        <v>449</v>
      </c>
      <c r="G60" s="305" t="s">
        <v>649</v>
      </c>
      <c r="H60" s="305" t="s">
        <v>650</v>
      </c>
      <c r="DA60" s="278" t="s">
        <v>311</v>
      </c>
      <c r="DB60" s="279">
        <v>45624</v>
      </c>
      <c r="DC60" s="280" t="s">
        <v>1048</v>
      </c>
      <c r="DD60" s="281">
        <v>0</v>
      </c>
      <c r="DE60" s="281">
        <v>45560</v>
      </c>
      <c r="DF60" s="281">
        <v>240324.3</v>
      </c>
      <c r="DG60" s="282" t="s">
        <v>975</v>
      </c>
      <c r="DH60" s="284">
        <v>45624</v>
      </c>
      <c r="DI60" s="284" t="s">
        <v>762</v>
      </c>
      <c r="DJ60" s="285" t="s">
        <v>648</v>
      </c>
      <c r="DK60" s="286">
        <v>56</v>
      </c>
    </row>
    <row r="61" spans="1:115">
      <c r="A61" s="305" t="s">
        <v>651</v>
      </c>
      <c r="B61" s="305" t="s">
        <v>651</v>
      </c>
      <c r="C61" s="305" t="s">
        <v>453</v>
      </c>
      <c r="D61" s="305" t="s">
        <v>454</v>
      </c>
      <c r="E61" s="305" t="s">
        <v>652</v>
      </c>
      <c r="F61" s="305" t="s">
        <v>449</v>
      </c>
      <c r="G61" s="305" t="s">
        <v>653</v>
      </c>
      <c r="H61" s="305" t="s">
        <v>654</v>
      </c>
      <c r="DA61" s="278" t="s">
        <v>311</v>
      </c>
      <c r="DB61" s="279">
        <v>45623</v>
      </c>
      <c r="DC61" s="280" t="s">
        <v>1049</v>
      </c>
      <c r="DD61" s="281">
        <v>0</v>
      </c>
      <c r="DE61" s="281">
        <v>12700</v>
      </c>
      <c r="DF61" s="281">
        <v>194764.3</v>
      </c>
      <c r="DG61" s="282" t="s">
        <v>976</v>
      </c>
      <c r="DH61" s="284">
        <v>45623</v>
      </c>
      <c r="DI61" s="284" t="s">
        <v>762</v>
      </c>
      <c r="DJ61" s="285" t="s">
        <v>652</v>
      </c>
      <c r="DK61" s="286">
        <v>57</v>
      </c>
    </row>
    <row r="62" spans="1:115">
      <c r="A62" s="305" t="s">
        <v>655</v>
      </c>
      <c r="B62" s="305" t="s">
        <v>655</v>
      </c>
      <c r="C62" s="305" t="s">
        <v>446</v>
      </c>
      <c r="D62" s="305" t="s">
        <v>656</v>
      </c>
      <c r="E62" s="305" t="s">
        <v>448</v>
      </c>
      <c r="F62" s="305" t="s">
        <v>449</v>
      </c>
      <c r="G62" s="305" t="s">
        <v>657</v>
      </c>
      <c r="H62" s="305" t="s">
        <v>658</v>
      </c>
      <c r="DA62" s="278" t="s">
        <v>311</v>
      </c>
      <c r="DB62" s="279">
        <v>45622</v>
      </c>
      <c r="DC62" s="280" t="s">
        <v>1050</v>
      </c>
      <c r="DD62" s="281">
        <v>0</v>
      </c>
      <c r="DE62" s="281">
        <v>51850</v>
      </c>
      <c r="DF62" s="281">
        <v>182064.3</v>
      </c>
      <c r="DG62" s="306" t="s">
        <v>936</v>
      </c>
      <c r="DH62" s="284">
        <v>45622</v>
      </c>
      <c r="DI62" s="284" t="s">
        <v>762</v>
      </c>
      <c r="DJ62" s="285" t="s">
        <v>448</v>
      </c>
      <c r="DK62" s="286">
        <v>58</v>
      </c>
    </row>
    <row r="63" spans="1:115">
      <c r="A63" s="305" t="s">
        <v>659</v>
      </c>
      <c r="B63" s="305" t="s">
        <v>659</v>
      </c>
      <c r="C63" s="305" t="s">
        <v>469</v>
      </c>
      <c r="D63" s="305" t="s">
        <v>454</v>
      </c>
      <c r="E63" s="305" t="s">
        <v>660</v>
      </c>
      <c r="F63" s="305" t="s">
        <v>661</v>
      </c>
      <c r="G63" s="305" t="s">
        <v>449</v>
      </c>
      <c r="H63" s="305" t="s">
        <v>662</v>
      </c>
      <c r="DA63" s="278" t="s">
        <v>311</v>
      </c>
      <c r="DB63" s="279">
        <v>45617</v>
      </c>
      <c r="DC63" s="280" t="s">
        <v>1051</v>
      </c>
      <c r="DD63" s="281">
        <v>354</v>
      </c>
      <c r="DE63" s="281">
        <v>0</v>
      </c>
      <c r="DF63" s="281">
        <v>130214.3</v>
      </c>
      <c r="DG63" s="282" t="s">
        <v>964</v>
      </c>
      <c r="DH63" s="284">
        <v>45617</v>
      </c>
      <c r="DI63" s="284" t="s">
        <v>767</v>
      </c>
      <c r="DJ63" s="285" t="s">
        <v>660</v>
      </c>
      <c r="DK63" s="286">
        <v>59</v>
      </c>
    </row>
    <row r="64" spans="1:115">
      <c r="A64" s="305" t="s">
        <v>663</v>
      </c>
      <c r="B64" s="305" t="s">
        <v>663</v>
      </c>
      <c r="C64" s="305" t="s">
        <v>458</v>
      </c>
      <c r="D64" s="305" t="s">
        <v>664</v>
      </c>
      <c r="E64" s="305" t="s">
        <v>488</v>
      </c>
      <c r="F64" s="305" t="s">
        <v>665</v>
      </c>
      <c r="G64" s="305" t="s">
        <v>449</v>
      </c>
      <c r="H64" s="305" t="s">
        <v>666</v>
      </c>
      <c r="DA64" s="278" t="s">
        <v>311</v>
      </c>
      <c r="DB64" s="279">
        <v>45615</v>
      </c>
      <c r="DC64" s="280" t="s">
        <v>1052</v>
      </c>
      <c r="DD64" s="281">
        <v>49000</v>
      </c>
      <c r="DE64" s="281">
        <v>0</v>
      </c>
      <c r="DF64" s="281">
        <v>130568.3</v>
      </c>
      <c r="DG64" s="282" t="s">
        <v>944</v>
      </c>
      <c r="DH64" s="284">
        <v>45615</v>
      </c>
      <c r="DI64" s="284" t="s">
        <v>767</v>
      </c>
      <c r="DJ64" s="285" t="s">
        <v>488</v>
      </c>
      <c r="DK64" s="286">
        <v>60</v>
      </c>
    </row>
    <row r="65" spans="1:115">
      <c r="A65" s="305" t="s">
        <v>667</v>
      </c>
      <c r="B65" s="305" t="s">
        <v>667</v>
      </c>
      <c r="C65" s="305" t="s">
        <v>469</v>
      </c>
      <c r="D65" s="305" t="s">
        <v>668</v>
      </c>
      <c r="E65" s="305" t="s">
        <v>669</v>
      </c>
      <c r="F65" s="305" t="s">
        <v>471</v>
      </c>
      <c r="G65" s="305" t="s">
        <v>449</v>
      </c>
      <c r="H65" s="305" t="s">
        <v>670</v>
      </c>
      <c r="DA65" s="278" t="s">
        <v>311</v>
      </c>
      <c r="DB65" s="279">
        <v>45610</v>
      </c>
      <c r="DC65" s="280" t="s">
        <v>1053</v>
      </c>
      <c r="DD65" s="281">
        <v>20000</v>
      </c>
      <c r="DE65" s="281">
        <v>0</v>
      </c>
      <c r="DF65" s="281">
        <v>179568.3</v>
      </c>
      <c r="DG65" s="282" t="s">
        <v>944</v>
      </c>
      <c r="DH65" s="284">
        <v>45610</v>
      </c>
      <c r="DI65" s="284" t="s">
        <v>767</v>
      </c>
      <c r="DJ65" s="285" t="s">
        <v>669</v>
      </c>
      <c r="DK65" s="286">
        <v>61</v>
      </c>
    </row>
    <row r="66" spans="1:115">
      <c r="A66" s="305" t="s">
        <v>671</v>
      </c>
      <c r="B66" s="305" t="s">
        <v>671</v>
      </c>
      <c r="C66" s="305" t="s">
        <v>453</v>
      </c>
      <c r="D66" s="305" t="s">
        <v>454</v>
      </c>
      <c r="E66" s="305" t="s">
        <v>672</v>
      </c>
      <c r="F66" s="305" t="s">
        <v>449</v>
      </c>
      <c r="G66" s="305" t="s">
        <v>485</v>
      </c>
      <c r="H66" s="305" t="s">
        <v>673</v>
      </c>
      <c r="DA66" s="278" t="s">
        <v>311</v>
      </c>
      <c r="DB66" s="279">
        <v>45609</v>
      </c>
      <c r="DC66" s="280" t="s">
        <v>1054</v>
      </c>
      <c r="DD66" s="281">
        <v>0</v>
      </c>
      <c r="DE66" s="281">
        <v>50000</v>
      </c>
      <c r="DF66" s="281">
        <v>199568.3</v>
      </c>
      <c r="DG66" s="282" t="s">
        <v>977</v>
      </c>
      <c r="DH66" s="284">
        <v>45609</v>
      </c>
      <c r="DI66" s="284" t="s">
        <v>762</v>
      </c>
      <c r="DJ66" s="285" t="s">
        <v>672</v>
      </c>
      <c r="DK66" s="286">
        <v>62</v>
      </c>
    </row>
    <row r="67" spans="1:115">
      <c r="A67" s="305" t="s">
        <v>674</v>
      </c>
      <c r="B67" s="305" t="s">
        <v>674</v>
      </c>
      <c r="C67" s="305" t="s">
        <v>458</v>
      </c>
      <c r="D67" s="305" t="s">
        <v>675</v>
      </c>
      <c r="E67" s="305" t="s">
        <v>676</v>
      </c>
      <c r="F67" s="305" t="s">
        <v>665</v>
      </c>
      <c r="G67" s="305" t="s">
        <v>449</v>
      </c>
      <c r="H67" s="305" t="s">
        <v>677</v>
      </c>
      <c r="DA67" s="278" t="s">
        <v>311</v>
      </c>
      <c r="DB67" s="279">
        <v>45608</v>
      </c>
      <c r="DC67" s="280" t="s">
        <v>1055</v>
      </c>
      <c r="DD67" s="281">
        <v>49000</v>
      </c>
      <c r="DE67" s="281">
        <v>0</v>
      </c>
      <c r="DF67" s="281">
        <v>149568.29999999999</v>
      </c>
      <c r="DG67" s="282" t="s">
        <v>944</v>
      </c>
      <c r="DH67" s="284">
        <v>45608</v>
      </c>
      <c r="DI67" s="284" t="s">
        <v>767</v>
      </c>
      <c r="DJ67" s="285" t="s">
        <v>676</v>
      </c>
      <c r="DK67" s="286">
        <v>63</v>
      </c>
    </row>
    <row r="68" spans="1:115">
      <c r="A68" s="305" t="s">
        <v>674</v>
      </c>
      <c r="B68" s="305" t="s">
        <v>674</v>
      </c>
      <c r="C68" s="305" t="s">
        <v>446</v>
      </c>
      <c r="D68" s="305" t="s">
        <v>678</v>
      </c>
      <c r="E68" s="305" t="s">
        <v>547</v>
      </c>
      <c r="F68" s="305" t="s">
        <v>449</v>
      </c>
      <c r="G68" s="305" t="s">
        <v>679</v>
      </c>
      <c r="H68" s="305" t="s">
        <v>680</v>
      </c>
      <c r="DA68" s="278" t="s">
        <v>311</v>
      </c>
      <c r="DB68" s="279">
        <v>45608</v>
      </c>
      <c r="DC68" s="280" t="s">
        <v>1056</v>
      </c>
      <c r="DD68" s="281">
        <v>0</v>
      </c>
      <c r="DE68" s="281">
        <v>41895</v>
      </c>
      <c r="DF68" s="281">
        <v>198568.3</v>
      </c>
      <c r="DG68" s="306" t="s">
        <v>957</v>
      </c>
      <c r="DH68" s="284">
        <v>45608</v>
      </c>
      <c r="DI68" s="284" t="s">
        <v>762</v>
      </c>
      <c r="DJ68" s="285" t="s">
        <v>547</v>
      </c>
      <c r="DK68" s="286">
        <v>64</v>
      </c>
    </row>
    <row r="69" spans="1:115">
      <c r="A69" s="305" t="s">
        <v>681</v>
      </c>
      <c r="B69" s="305" t="s">
        <v>681</v>
      </c>
      <c r="C69" s="305" t="s">
        <v>453</v>
      </c>
      <c r="D69" s="305" t="s">
        <v>454</v>
      </c>
      <c r="E69" s="305" t="s">
        <v>522</v>
      </c>
      <c r="F69" s="305" t="s">
        <v>523</v>
      </c>
      <c r="G69" s="305" t="s">
        <v>449</v>
      </c>
      <c r="H69" s="305" t="s">
        <v>682</v>
      </c>
      <c r="DA69" s="278" t="s">
        <v>311</v>
      </c>
      <c r="DB69" s="279">
        <v>45606</v>
      </c>
      <c r="DC69" s="280" t="s">
        <v>1057</v>
      </c>
      <c r="DD69" s="281">
        <v>30317</v>
      </c>
      <c r="DE69" s="281">
        <v>0</v>
      </c>
      <c r="DF69" s="281">
        <v>156673.29999999999</v>
      </c>
      <c r="DG69" s="282" t="s">
        <v>952</v>
      </c>
      <c r="DH69" s="284">
        <v>45606</v>
      </c>
      <c r="DI69" s="284" t="s">
        <v>767</v>
      </c>
      <c r="DJ69" s="285" t="s">
        <v>522</v>
      </c>
      <c r="DK69" s="286">
        <v>65</v>
      </c>
    </row>
    <row r="70" spans="1:115">
      <c r="A70" s="305" t="s">
        <v>683</v>
      </c>
      <c r="B70" s="305" t="s">
        <v>683</v>
      </c>
      <c r="C70" s="305" t="s">
        <v>453</v>
      </c>
      <c r="D70" s="305" t="s">
        <v>454</v>
      </c>
      <c r="E70" s="305" t="s">
        <v>684</v>
      </c>
      <c r="F70" s="305" t="s">
        <v>449</v>
      </c>
      <c r="G70" s="305" t="s">
        <v>485</v>
      </c>
      <c r="H70" s="305" t="s">
        <v>685</v>
      </c>
      <c r="DA70" s="278" t="s">
        <v>311</v>
      </c>
      <c r="DB70" s="279">
        <v>45595</v>
      </c>
      <c r="DC70" s="280" t="s">
        <v>1058</v>
      </c>
      <c r="DD70" s="281">
        <v>0</v>
      </c>
      <c r="DE70" s="281">
        <v>50000</v>
      </c>
      <c r="DF70" s="281">
        <v>186990.3</v>
      </c>
      <c r="DG70" s="282" t="s">
        <v>978</v>
      </c>
      <c r="DH70" s="284">
        <v>45595</v>
      </c>
      <c r="DI70" s="284" t="s">
        <v>762</v>
      </c>
      <c r="DJ70" s="285" t="s">
        <v>684</v>
      </c>
      <c r="DK70" s="286">
        <v>66</v>
      </c>
    </row>
    <row r="71" spans="1:115">
      <c r="A71" s="305" t="s">
        <v>683</v>
      </c>
      <c r="B71" s="305" t="s">
        <v>683</v>
      </c>
      <c r="C71" s="305" t="s">
        <v>469</v>
      </c>
      <c r="D71" s="305" t="s">
        <v>686</v>
      </c>
      <c r="E71" s="305" t="s">
        <v>669</v>
      </c>
      <c r="F71" s="305" t="s">
        <v>665</v>
      </c>
      <c r="G71" s="305" t="s">
        <v>449</v>
      </c>
      <c r="H71" s="305" t="s">
        <v>687</v>
      </c>
      <c r="DA71" s="278" t="s">
        <v>311</v>
      </c>
      <c r="DB71" s="279">
        <v>45595</v>
      </c>
      <c r="DC71" s="280" t="s">
        <v>1059</v>
      </c>
      <c r="DD71" s="281">
        <v>49000</v>
      </c>
      <c r="DE71" s="281">
        <v>0</v>
      </c>
      <c r="DF71" s="281">
        <v>136990.29999999999</v>
      </c>
      <c r="DG71" s="282" t="s">
        <v>944</v>
      </c>
      <c r="DH71" s="284">
        <v>45595</v>
      </c>
      <c r="DI71" s="284" t="s">
        <v>767</v>
      </c>
      <c r="DJ71" s="285" t="s">
        <v>669</v>
      </c>
      <c r="DK71" s="286">
        <v>67</v>
      </c>
    </row>
    <row r="72" spans="1:115">
      <c r="A72" s="305" t="s">
        <v>688</v>
      </c>
      <c r="B72" s="305" t="s">
        <v>688</v>
      </c>
      <c r="C72" s="305" t="s">
        <v>453</v>
      </c>
      <c r="D72" s="305" t="s">
        <v>454</v>
      </c>
      <c r="E72" s="305" t="s">
        <v>689</v>
      </c>
      <c r="F72" s="305" t="s">
        <v>449</v>
      </c>
      <c r="G72" s="305" t="s">
        <v>477</v>
      </c>
      <c r="H72" s="305" t="s">
        <v>690</v>
      </c>
      <c r="DA72" s="278" t="s">
        <v>311</v>
      </c>
      <c r="DB72" s="279">
        <v>45594</v>
      </c>
      <c r="DC72" s="280" t="s">
        <v>1060</v>
      </c>
      <c r="DD72" s="281">
        <v>0</v>
      </c>
      <c r="DE72" s="281">
        <v>35000</v>
      </c>
      <c r="DF72" s="281">
        <v>185990.3</v>
      </c>
      <c r="DG72" s="282" t="s">
        <v>979</v>
      </c>
      <c r="DH72" s="284">
        <v>45594</v>
      </c>
      <c r="DI72" s="284" t="s">
        <v>762</v>
      </c>
      <c r="DJ72" s="285" t="s">
        <v>689</v>
      </c>
      <c r="DK72" s="286">
        <v>68</v>
      </c>
    </row>
    <row r="73" spans="1:115">
      <c r="A73" s="305" t="s">
        <v>691</v>
      </c>
      <c r="B73" s="305" t="s">
        <v>688</v>
      </c>
      <c r="C73" s="305" t="s">
        <v>692</v>
      </c>
      <c r="D73" s="305" t="s">
        <v>454</v>
      </c>
      <c r="E73" s="305" t="s">
        <v>693</v>
      </c>
      <c r="F73" s="305" t="s">
        <v>449</v>
      </c>
      <c r="G73" s="305" t="s">
        <v>516</v>
      </c>
      <c r="H73" s="305" t="s">
        <v>694</v>
      </c>
      <c r="DA73" s="278" t="s">
        <v>311</v>
      </c>
      <c r="DB73" s="279">
        <v>45593</v>
      </c>
      <c r="DC73" s="280" t="s">
        <v>1061</v>
      </c>
      <c r="DD73" s="281">
        <v>0</v>
      </c>
      <c r="DE73" s="281">
        <v>30000</v>
      </c>
      <c r="DF73" s="281">
        <v>150990.29999999999</v>
      </c>
      <c r="DG73" s="282" t="s">
        <v>980</v>
      </c>
      <c r="DH73" s="284">
        <v>45593</v>
      </c>
      <c r="DI73" s="284" t="s">
        <v>762</v>
      </c>
      <c r="DJ73" s="285" t="s">
        <v>693</v>
      </c>
      <c r="DK73" s="286">
        <v>69</v>
      </c>
    </row>
    <row r="74" spans="1:115">
      <c r="A74" s="305" t="s">
        <v>691</v>
      </c>
      <c r="B74" s="305" t="s">
        <v>688</v>
      </c>
      <c r="C74" s="305" t="s">
        <v>692</v>
      </c>
      <c r="D74" s="305" t="s">
        <v>454</v>
      </c>
      <c r="E74" s="305" t="s">
        <v>695</v>
      </c>
      <c r="F74" s="305" t="s">
        <v>449</v>
      </c>
      <c r="G74" s="305" t="s">
        <v>696</v>
      </c>
      <c r="H74" s="305" t="s">
        <v>697</v>
      </c>
      <c r="DA74" s="278" t="s">
        <v>311</v>
      </c>
      <c r="DB74" s="279">
        <v>45593</v>
      </c>
      <c r="DC74" s="280" t="s">
        <v>1062</v>
      </c>
      <c r="DD74" s="281">
        <v>0</v>
      </c>
      <c r="DE74" s="281">
        <v>12770</v>
      </c>
      <c r="DF74" s="281">
        <v>120990.3</v>
      </c>
      <c r="DG74" s="282" t="s">
        <v>981</v>
      </c>
      <c r="DH74" s="284">
        <v>45593</v>
      </c>
      <c r="DI74" s="284" t="s">
        <v>762</v>
      </c>
      <c r="DJ74" s="285" t="s">
        <v>695</v>
      </c>
      <c r="DK74" s="286">
        <v>70</v>
      </c>
    </row>
    <row r="75" spans="1:115">
      <c r="A75" s="305" t="s">
        <v>691</v>
      </c>
      <c r="B75" s="305" t="s">
        <v>691</v>
      </c>
      <c r="C75" s="305" t="s">
        <v>469</v>
      </c>
      <c r="D75" s="305" t="s">
        <v>698</v>
      </c>
      <c r="E75" s="305" t="s">
        <v>699</v>
      </c>
      <c r="F75" s="305" t="s">
        <v>700</v>
      </c>
      <c r="G75" s="305" t="s">
        <v>449</v>
      </c>
      <c r="H75" s="305" t="s">
        <v>701</v>
      </c>
      <c r="DA75" s="278" t="s">
        <v>311</v>
      </c>
      <c r="DB75" s="279">
        <v>45593</v>
      </c>
      <c r="DC75" s="280" t="s">
        <v>1063</v>
      </c>
      <c r="DD75" s="281">
        <v>200000</v>
      </c>
      <c r="DE75" s="281">
        <v>0</v>
      </c>
      <c r="DF75" s="281">
        <v>108220.3</v>
      </c>
      <c r="DG75" s="282" t="s">
        <v>944</v>
      </c>
      <c r="DH75" s="284">
        <v>45593</v>
      </c>
      <c r="DI75" s="284" t="s">
        <v>767</v>
      </c>
      <c r="DJ75" s="285" t="s">
        <v>699</v>
      </c>
      <c r="DK75" s="286">
        <v>71</v>
      </c>
    </row>
    <row r="76" spans="1:115">
      <c r="A76" s="305" t="s">
        <v>702</v>
      </c>
      <c r="B76" s="305" t="s">
        <v>702</v>
      </c>
      <c r="C76" s="305" t="s">
        <v>453</v>
      </c>
      <c r="D76" s="305" t="s">
        <v>454</v>
      </c>
      <c r="E76" s="305" t="s">
        <v>703</v>
      </c>
      <c r="F76" s="305" t="s">
        <v>449</v>
      </c>
      <c r="G76" s="305" t="s">
        <v>485</v>
      </c>
      <c r="H76" s="305" t="s">
        <v>704</v>
      </c>
      <c r="DA76" s="278" t="s">
        <v>311</v>
      </c>
      <c r="DB76" s="279">
        <v>45591</v>
      </c>
      <c r="DC76" s="280" t="s">
        <v>1064</v>
      </c>
      <c r="DD76" s="281">
        <v>0</v>
      </c>
      <c r="DE76" s="281">
        <v>50000</v>
      </c>
      <c r="DF76" s="281">
        <v>308220.3</v>
      </c>
      <c r="DG76" s="282" t="s">
        <v>982</v>
      </c>
      <c r="DH76" s="284">
        <v>45591</v>
      </c>
      <c r="DI76" s="284" t="s">
        <v>762</v>
      </c>
      <c r="DJ76" s="285" t="s">
        <v>703</v>
      </c>
      <c r="DK76" s="286">
        <v>72</v>
      </c>
    </row>
    <row r="77" spans="1:115">
      <c r="A77" s="305" t="s">
        <v>705</v>
      </c>
      <c r="B77" s="305" t="s">
        <v>705</v>
      </c>
      <c r="C77" s="305" t="s">
        <v>453</v>
      </c>
      <c r="D77" s="305" t="s">
        <v>706</v>
      </c>
      <c r="E77" s="305" t="s">
        <v>707</v>
      </c>
      <c r="F77" s="305" t="s">
        <v>449</v>
      </c>
      <c r="G77" s="305" t="s">
        <v>708</v>
      </c>
      <c r="H77" s="305" t="s">
        <v>709</v>
      </c>
      <c r="DA77" s="278" t="s">
        <v>311</v>
      </c>
      <c r="DB77" s="279">
        <v>45590</v>
      </c>
      <c r="DC77" s="280" t="s">
        <v>1065</v>
      </c>
      <c r="DD77" s="281">
        <v>0</v>
      </c>
      <c r="DE77" s="281">
        <v>58354</v>
      </c>
      <c r="DF77" s="281">
        <v>258220.3</v>
      </c>
      <c r="DG77" s="306" t="s">
        <v>969</v>
      </c>
      <c r="DH77" s="284">
        <v>45590</v>
      </c>
      <c r="DI77" s="284" t="s">
        <v>762</v>
      </c>
      <c r="DJ77" s="285" t="s">
        <v>707</v>
      </c>
      <c r="DK77" s="286">
        <v>73</v>
      </c>
    </row>
    <row r="78" spans="1:115">
      <c r="A78" s="305" t="s">
        <v>705</v>
      </c>
      <c r="B78" s="305" t="s">
        <v>705</v>
      </c>
      <c r="C78" s="305" t="s">
        <v>453</v>
      </c>
      <c r="D78" s="305" t="s">
        <v>710</v>
      </c>
      <c r="E78" s="305" t="s">
        <v>707</v>
      </c>
      <c r="F78" s="305" t="s">
        <v>449</v>
      </c>
      <c r="G78" s="305" t="s">
        <v>711</v>
      </c>
      <c r="H78" s="305" t="s">
        <v>712</v>
      </c>
      <c r="DA78" s="278" t="s">
        <v>311</v>
      </c>
      <c r="DB78" s="279">
        <v>45590</v>
      </c>
      <c r="DC78" s="280" t="s">
        <v>1066</v>
      </c>
      <c r="DD78" s="281">
        <v>0</v>
      </c>
      <c r="DE78" s="281">
        <v>36225</v>
      </c>
      <c r="DF78" s="281">
        <v>199866.3</v>
      </c>
      <c r="DG78" s="306" t="s">
        <v>969</v>
      </c>
      <c r="DH78" s="284">
        <v>45590</v>
      </c>
      <c r="DI78" s="284" t="s">
        <v>762</v>
      </c>
      <c r="DJ78" s="285" t="s">
        <v>707</v>
      </c>
      <c r="DK78" s="286">
        <v>74</v>
      </c>
    </row>
    <row r="79" spans="1:115">
      <c r="A79" s="305" t="s">
        <v>713</v>
      </c>
      <c r="B79" s="305" t="s">
        <v>713</v>
      </c>
      <c r="C79" s="305" t="s">
        <v>446</v>
      </c>
      <c r="D79" s="305" t="s">
        <v>714</v>
      </c>
      <c r="E79" s="305" t="s">
        <v>715</v>
      </c>
      <c r="F79" s="305" t="s">
        <v>449</v>
      </c>
      <c r="G79" s="305" t="s">
        <v>485</v>
      </c>
      <c r="H79" s="305" t="s">
        <v>716</v>
      </c>
      <c r="DA79" s="278" t="s">
        <v>311</v>
      </c>
      <c r="DB79" s="279">
        <v>45589</v>
      </c>
      <c r="DC79" s="280" t="s">
        <v>1067</v>
      </c>
      <c r="DD79" s="281">
        <v>0</v>
      </c>
      <c r="DE79" s="281">
        <v>50000</v>
      </c>
      <c r="DF79" s="281">
        <v>163641.29999999999</v>
      </c>
      <c r="DG79" s="306" t="s">
        <v>936</v>
      </c>
      <c r="DH79" s="284">
        <v>45589</v>
      </c>
      <c r="DI79" s="284" t="s">
        <v>762</v>
      </c>
      <c r="DJ79" s="285" t="s">
        <v>715</v>
      </c>
      <c r="DK79" s="286">
        <v>75</v>
      </c>
    </row>
    <row r="80" spans="1:115">
      <c r="A80" s="305" t="s">
        <v>717</v>
      </c>
      <c r="B80" s="305" t="s">
        <v>717</v>
      </c>
      <c r="C80" s="305" t="s">
        <v>453</v>
      </c>
      <c r="D80" s="305" t="s">
        <v>718</v>
      </c>
      <c r="E80" s="305" t="s">
        <v>719</v>
      </c>
      <c r="F80" s="305" t="s">
        <v>720</v>
      </c>
      <c r="G80" s="305" t="s">
        <v>449</v>
      </c>
      <c r="H80" s="305" t="s">
        <v>721</v>
      </c>
      <c r="DA80" s="278" t="s">
        <v>311</v>
      </c>
      <c r="DB80" s="279">
        <v>45587</v>
      </c>
      <c r="DC80" s="280" t="s">
        <v>1068</v>
      </c>
      <c r="DD80" s="281">
        <v>55646</v>
      </c>
      <c r="DE80" s="281">
        <v>0</v>
      </c>
      <c r="DF80" s="281">
        <v>113641.3</v>
      </c>
      <c r="DG80" s="282" t="s">
        <v>983</v>
      </c>
      <c r="DH80" s="284">
        <v>45587</v>
      </c>
      <c r="DI80" s="284" t="s">
        <v>767</v>
      </c>
      <c r="DJ80" s="285" t="s">
        <v>719</v>
      </c>
      <c r="DK80" s="286">
        <v>76</v>
      </c>
    </row>
    <row r="81" spans="1:115">
      <c r="A81" s="305" t="s">
        <v>717</v>
      </c>
      <c r="B81" s="305" t="s">
        <v>717</v>
      </c>
      <c r="C81" s="305" t="s">
        <v>453</v>
      </c>
      <c r="D81" s="305" t="s">
        <v>722</v>
      </c>
      <c r="E81" s="305" t="s">
        <v>723</v>
      </c>
      <c r="F81" s="305" t="s">
        <v>700</v>
      </c>
      <c r="G81" s="305" t="s">
        <v>449</v>
      </c>
      <c r="H81" s="305" t="s">
        <v>724</v>
      </c>
      <c r="DA81" s="278" t="s">
        <v>311</v>
      </c>
      <c r="DB81" s="279">
        <v>45587</v>
      </c>
      <c r="DC81" s="280" t="s">
        <v>1069</v>
      </c>
      <c r="DD81" s="281">
        <v>200000</v>
      </c>
      <c r="DE81" s="281">
        <v>0</v>
      </c>
      <c r="DF81" s="281">
        <v>169287.3</v>
      </c>
      <c r="DG81" s="282" t="s">
        <v>984</v>
      </c>
      <c r="DH81" s="284">
        <v>45587</v>
      </c>
      <c r="DI81" s="284" t="s">
        <v>767</v>
      </c>
      <c r="DJ81" s="285" t="s">
        <v>723</v>
      </c>
      <c r="DK81" s="286">
        <v>77</v>
      </c>
    </row>
    <row r="82" spans="1:115">
      <c r="A82" s="305" t="s">
        <v>725</v>
      </c>
      <c r="B82" s="305" t="s">
        <v>725</v>
      </c>
      <c r="C82" s="305" t="s">
        <v>469</v>
      </c>
      <c r="D82" s="305" t="s">
        <v>454</v>
      </c>
      <c r="E82" s="305" t="s">
        <v>726</v>
      </c>
      <c r="F82" s="305" t="s">
        <v>481</v>
      </c>
      <c r="G82" s="305" t="s">
        <v>449</v>
      </c>
      <c r="H82" s="305" t="s">
        <v>727</v>
      </c>
      <c r="DA82" s="278" t="s">
        <v>311</v>
      </c>
      <c r="DB82" s="279">
        <v>45586</v>
      </c>
      <c r="DC82" s="280" t="s">
        <v>1070</v>
      </c>
      <c r="DD82" s="281">
        <v>23.6</v>
      </c>
      <c r="DE82" s="281">
        <v>0</v>
      </c>
      <c r="DF82" s="281">
        <v>369287.3</v>
      </c>
      <c r="DG82" s="282" t="s">
        <v>985</v>
      </c>
      <c r="DH82" s="284">
        <v>45586</v>
      </c>
      <c r="DI82" s="284" t="s">
        <v>767</v>
      </c>
      <c r="DJ82" s="285" t="s">
        <v>726</v>
      </c>
      <c r="DK82" s="286">
        <v>78</v>
      </c>
    </row>
    <row r="83" spans="1:115">
      <c r="A83" s="305" t="s">
        <v>728</v>
      </c>
      <c r="B83" s="305" t="s">
        <v>728</v>
      </c>
      <c r="C83" s="305" t="s">
        <v>453</v>
      </c>
      <c r="D83" s="305" t="s">
        <v>454</v>
      </c>
      <c r="E83" s="305" t="s">
        <v>729</v>
      </c>
      <c r="F83" s="305" t="s">
        <v>449</v>
      </c>
      <c r="G83" s="305" t="s">
        <v>485</v>
      </c>
      <c r="H83" s="305" t="s">
        <v>730</v>
      </c>
      <c r="DA83" s="278" t="s">
        <v>311</v>
      </c>
      <c r="DB83" s="279">
        <v>45584</v>
      </c>
      <c r="DC83" s="280" t="s">
        <v>1071</v>
      </c>
      <c r="DD83" s="281">
        <v>0</v>
      </c>
      <c r="DE83" s="281">
        <v>50000</v>
      </c>
      <c r="DF83" s="281">
        <v>369310.9</v>
      </c>
      <c r="DG83" s="282" t="s">
        <v>986</v>
      </c>
      <c r="DH83" s="284">
        <v>45584</v>
      </c>
      <c r="DI83" s="284" t="s">
        <v>762</v>
      </c>
      <c r="DJ83" s="285" t="s">
        <v>729</v>
      </c>
      <c r="DK83" s="286">
        <v>79</v>
      </c>
    </row>
    <row r="84" spans="1:115">
      <c r="A84" s="305" t="s">
        <v>728</v>
      </c>
      <c r="B84" s="305" t="s">
        <v>728</v>
      </c>
      <c r="C84" s="305" t="s">
        <v>454</v>
      </c>
      <c r="D84" s="305" t="s">
        <v>454</v>
      </c>
      <c r="E84" s="305" t="s">
        <v>731</v>
      </c>
      <c r="F84" s="305" t="s">
        <v>732</v>
      </c>
      <c r="G84" s="305" t="s">
        <v>449</v>
      </c>
      <c r="H84" s="305" t="s">
        <v>733</v>
      </c>
      <c r="DA84" s="278" t="s">
        <v>311</v>
      </c>
      <c r="DB84" s="279">
        <v>45584</v>
      </c>
      <c r="DC84" s="280" t="s">
        <v>1072</v>
      </c>
      <c r="DD84" s="281">
        <v>72</v>
      </c>
      <c r="DE84" s="281">
        <v>0</v>
      </c>
      <c r="DF84" s="281">
        <v>319310.90000000002</v>
      </c>
      <c r="DG84" s="282" t="s">
        <v>731</v>
      </c>
      <c r="DH84" s="284">
        <v>45584</v>
      </c>
      <c r="DI84" s="284" t="s">
        <v>767</v>
      </c>
      <c r="DJ84" s="285" t="s">
        <v>731</v>
      </c>
      <c r="DK84" s="286">
        <v>80</v>
      </c>
    </row>
    <row r="85" spans="1:115">
      <c r="A85" s="305" t="s">
        <v>728</v>
      </c>
      <c r="B85" s="305" t="s">
        <v>728</v>
      </c>
      <c r="C85" s="305" t="s">
        <v>454</v>
      </c>
      <c r="D85" s="305" t="s">
        <v>454</v>
      </c>
      <c r="E85" s="305" t="s">
        <v>734</v>
      </c>
      <c r="F85" s="305" t="s">
        <v>735</v>
      </c>
      <c r="G85" s="305" t="s">
        <v>449</v>
      </c>
      <c r="H85" s="305" t="s">
        <v>736</v>
      </c>
      <c r="DA85" s="278" t="s">
        <v>311</v>
      </c>
      <c r="DB85" s="279">
        <v>45584</v>
      </c>
      <c r="DC85" s="280" t="s">
        <v>1073</v>
      </c>
      <c r="DD85" s="281">
        <v>400</v>
      </c>
      <c r="DE85" s="281">
        <v>0</v>
      </c>
      <c r="DF85" s="281">
        <v>319382.90000000002</v>
      </c>
      <c r="DG85" s="282" t="s">
        <v>987</v>
      </c>
      <c r="DH85" s="284">
        <v>45584</v>
      </c>
      <c r="DI85" s="284" t="s">
        <v>767</v>
      </c>
      <c r="DJ85" s="285" t="s">
        <v>734</v>
      </c>
      <c r="DK85" s="286">
        <v>81</v>
      </c>
    </row>
    <row r="86" spans="1:115">
      <c r="A86" s="305" t="s">
        <v>728</v>
      </c>
      <c r="B86" s="305" t="s">
        <v>728</v>
      </c>
      <c r="C86" s="305" t="s">
        <v>469</v>
      </c>
      <c r="D86" s="305" t="s">
        <v>737</v>
      </c>
      <c r="E86" s="305" t="s">
        <v>676</v>
      </c>
      <c r="F86" s="305" t="s">
        <v>610</v>
      </c>
      <c r="G86" s="305" t="s">
        <v>449</v>
      </c>
      <c r="H86" s="305" t="s">
        <v>738</v>
      </c>
      <c r="DA86" s="278" t="s">
        <v>311</v>
      </c>
      <c r="DB86" s="279">
        <v>45584</v>
      </c>
      <c r="DC86" s="280" t="s">
        <v>1074</v>
      </c>
      <c r="DD86" s="281">
        <v>40000</v>
      </c>
      <c r="DE86" s="281">
        <v>0</v>
      </c>
      <c r="DF86" s="281">
        <v>319782.90000000002</v>
      </c>
      <c r="DG86" s="282" t="s">
        <v>944</v>
      </c>
      <c r="DH86" s="284">
        <v>45584</v>
      </c>
      <c r="DI86" s="284" t="s">
        <v>767</v>
      </c>
      <c r="DJ86" s="285" t="s">
        <v>676</v>
      </c>
      <c r="DK86" s="286">
        <v>82</v>
      </c>
    </row>
    <row r="87" spans="1:115">
      <c r="A87" s="305" t="s">
        <v>728</v>
      </c>
      <c r="B87" s="305" t="s">
        <v>728</v>
      </c>
      <c r="C87" s="305" t="s">
        <v>453</v>
      </c>
      <c r="D87" s="305" t="s">
        <v>739</v>
      </c>
      <c r="E87" s="305" t="s">
        <v>740</v>
      </c>
      <c r="F87" s="305" t="s">
        <v>741</v>
      </c>
      <c r="G87" s="305" t="s">
        <v>449</v>
      </c>
      <c r="H87" s="305" t="s">
        <v>742</v>
      </c>
      <c r="DA87" s="278" t="s">
        <v>311</v>
      </c>
      <c r="DB87" s="279">
        <v>45584</v>
      </c>
      <c r="DC87" s="280" t="s">
        <v>1075</v>
      </c>
      <c r="DD87" s="281">
        <v>4788</v>
      </c>
      <c r="DE87" s="281">
        <v>0</v>
      </c>
      <c r="DF87" s="281">
        <v>359782.9</v>
      </c>
      <c r="DG87" s="282" t="s">
        <v>988</v>
      </c>
      <c r="DH87" s="284">
        <v>45584</v>
      </c>
      <c r="DI87" s="284" t="s">
        <v>767</v>
      </c>
      <c r="DJ87" s="285" t="s">
        <v>740</v>
      </c>
      <c r="DK87" s="286">
        <v>83</v>
      </c>
    </row>
    <row r="88" spans="1:115">
      <c r="A88" s="305" t="s">
        <v>743</v>
      </c>
      <c r="B88" s="305" t="s">
        <v>743</v>
      </c>
      <c r="C88" s="305" t="s">
        <v>453</v>
      </c>
      <c r="D88" s="305" t="s">
        <v>454</v>
      </c>
      <c r="E88" s="305" t="s">
        <v>744</v>
      </c>
      <c r="F88" s="305" t="s">
        <v>449</v>
      </c>
      <c r="G88" s="305" t="s">
        <v>516</v>
      </c>
      <c r="H88" s="305" t="s">
        <v>745</v>
      </c>
      <c r="DA88" s="278" t="s">
        <v>311</v>
      </c>
      <c r="DB88" s="279">
        <v>45582</v>
      </c>
      <c r="DC88" s="280" t="s">
        <v>1076</v>
      </c>
      <c r="DD88" s="281">
        <v>0</v>
      </c>
      <c r="DE88" s="281">
        <v>30000</v>
      </c>
      <c r="DF88" s="281">
        <v>364570.9</v>
      </c>
      <c r="DG88" s="282" t="s">
        <v>989</v>
      </c>
      <c r="DH88" s="284">
        <v>45582</v>
      </c>
      <c r="DI88" s="284" t="s">
        <v>762</v>
      </c>
      <c r="DJ88" s="285" t="s">
        <v>744</v>
      </c>
      <c r="DK88" s="286">
        <v>84</v>
      </c>
    </row>
    <row r="89" spans="1:115">
      <c r="A89" s="305" t="s">
        <v>743</v>
      </c>
      <c r="B89" s="305" t="s">
        <v>743</v>
      </c>
      <c r="C89" s="305" t="s">
        <v>469</v>
      </c>
      <c r="D89" s="305" t="s">
        <v>746</v>
      </c>
      <c r="E89" s="305" t="s">
        <v>676</v>
      </c>
      <c r="F89" s="305" t="s">
        <v>665</v>
      </c>
      <c r="G89" s="305" t="s">
        <v>449</v>
      </c>
      <c r="H89" s="305" t="s">
        <v>747</v>
      </c>
      <c r="DA89" s="278" t="s">
        <v>311</v>
      </c>
      <c r="DB89" s="279">
        <v>45582</v>
      </c>
      <c r="DC89" s="280" t="s">
        <v>1077</v>
      </c>
      <c r="DD89" s="281">
        <v>49000</v>
      </c>
      <c r="DE89" s="281">
        <v>0</v>
      </c>
      <c r="DF89" s="281">
        <v>334570.90000000002</v>
      </c>
      <c r="DG89" s="282" t="s">
        <v>944</v>
      </c>
      <c r="DH89" s="284">
        <v>45582</v>
      </c>
      <c r="DI89" s="284" t="s">
        <v>767</v>
      </c>
      <c r="DJ89" s="285" t="s">
        <v>676</v>
      </c>
      <c r="DK89" s="286">
        <v>85</v>
      </c>
    </row>
    <row r="90" spans="1:115">
      <c r="A90" s="305" t="s">
        <v>743</v>
      </c>
      <c r="B90" s="305" t="s">
        <v>743</v>
      </c>
      <c r="C90" s="305" t="s">
        <v>453</v>
      </c>
      <c r="D90" s="305" t="s">
        <v>748</v>
      </c>
      <c r="E90" s="305" t="s">
        <v>749</v>
      </c>
      <c r="F90" s="305" t="s">
        <v>750</v>
      </c>
      <c r="G90" s="305" t="s">
        <v>449</v>
      </c>
      <c r="H90" s="305" t="s">
        <v>751</v>
      </c>
      <c r="DA90" s="278" t="s">
        <v>311</v>
      </c>
      <c r="DB90" s="279">
        <v>45582</v>
      </c>
      <c r="DC90" s="280" t="s">
        <v>1078</v>
      </c>
      <c r="DD90" s="281">
        <v>10800</v>
      </c>
      <c r="DE90" s="281">
        <v>0</v>
      </c>
      <c r="DF90" s="281">
        <v>383570.9</v>
      </c>
      <c r="DG90" s="282" t="s">
        <v>990</v>
      </c>
      <c r="DH90" s="284">
        <v>45582</v>
      </c>
      <c r="DI90" s="284" t="s">
        <v>767</v>
      </c>
      <c r="DJ90" s="285" t="s">
        <v>749</v>
      </c>
      <c r="DK90" s="286">
        <v>86</v>
      </c>
    </row>
    <row r="91" spans="1:115">
      <c r="A91" s="305" t="s">
        <v>752</v>
      </c>
      <c r="B91" s="305" t="s">
        <v>752</v>
      </c>
      <c r="C91" s="305" t="s">
        <v>453</v>
      </c>
      <c r="D91" s="305" t="s">
        <v>753</v>
      </c>
      <c r="E91" s="305" t="s">
        <v>754</v>
      </c>
      <c r="F91" s="305" t="s">
        <v>449</v>
      </c>
      <c r="G91" s="305" t="s">
        <v>755</v>
      </c>
      <c r="H91" s="305" t="s">
        <v>756</v>
      </c>
      <c r="DA91" s="278" t="s">
        <v>311</v>
      </c>
      <c r="DB91" s="279">
        <v>45581</v>
      </c>
      <c r="DC91" s="280" t="s">
        <v>1079</v>
      </c>
      <c r="DD91" s="281">
        <v>0</v>
      </c>
      <c r="DE91" s="281">
        <v>150000</v>
      </c>
      <c r="DF91" s="281">
        <v>394370.9</v>
      </c>
      <c r="DG91" s="306" t="s">
        <v>991</v>
      </c>
      <c r="DH91" s="284">
        <v>45581</v>
      </c>
      <c r="DI91" s="284" t="s">
        <v>762</v>
      </c>
      <c r="DJ91" s="285" t="s">
        <v>754</v>
      </c>
      <c r="DK91" s="286">
        <v>87</v>
      </c>
    </row>
    <row r="92" spans="1:115">
      <c r="A92" s="305" t="s">
        <v>752</v>
      </c>
      <c r="B92" s="305" t="s">
        <v>752</v>
      </c>
      <c r="C92" s="305" t="s">
        <v>453</v>
      </c>
      <c r="D92" s="305" t="s">
        <v>757</v>
      </c>
      <c r="E92" s="305" t="s">
        <v>758</v>
      </c>
      <c r="F92" s="305" t="s">
        <v>557</v>
      </c>
      <c r="G92" s="305" t="s">
        <v>449</v>
      </c>
      <c r="H92" s="305" t="s">
        <v>759</v>
      </c>
      <c r="DA92" s="278" t="s">
        <v>311</v>
      </c>
      <c r="DB92" s="279">
        <v>45581</v>
      </c>
      <c r="DC92" s="280" t="s">
        <v>1080</v>
      </c>
      <c r="DD92" s="281">
        <v>100000</v>
      </c>
      <c r="DE92" s="281">
        <v>0</v>
      </c>
      <c r="DF92" s="281">
        <v>244370.9</v>
      </c>
      <c r="DG92" s="282" t="s">
        <v>992</v>
      </c>
      <c r="DH92" s="284">
        <v>45581</v>
      </c>
      <c r="DI92" s="284" t="s">
        <v>767</v>
      </c>
      <c r="DJ92" s="285" t="s">
        <v>758</v>
      </c>
      <c r="DK92" s="286">
        <v>88</v>
      </c>
    </row>
  </sheetData>
  <sheetProtection algorithmName="SHA-512" hashValue="tn218v1ObAcPAPT5XcB5NhZhDH8zLGSxNBllIbZSZsQ0pr+NHBn11+wspr6boWUf9S2AzNJldDw/zwJKSiVomQ==" saltValue="41Z33htXN9YmyQkNaurX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">
    <cfRule type="cellIs" dxfId="462" priority="11" operator="equal">
      <formula>#N/A</formula>
    </cfRule>
  </conditionalFormatting>
  <conditionalFormatting sqref="DG2">
    <cfRule type="cellIs" dxfId="461" priority="10" operator="equal">
      <formula>#N/A</formula>
    </cfRule>
  </conditionalFormatting>
  <conditionalFormatting sqref="DH2:DI2">
    <cfRule type="cellIs" dxfId="460" priority="9" operator="equal">
      <formula>#N/A</formula>
    </cfRule>
  </conditionalFormatting>
  <conditionalFormatting sqref="I1:I2">
    <cfRule type="cellIs" dxfId="459" priority="8" operator="equal">
      <formula>#N/A</formula>
    </cfRule>
  </conditionalFormatting>
  <conditionalFormatting sqref="H1">
    <cfRule type="cellIs" dxfId="458" priority="7" operator="equal">
      <formula>#N/A</formula>
    </cfRule>
  </conditionalFormatting>
  <conditionalFormatting sqref="E1">
    <cfRule type="cellIs" dxfId="457" priority="6" operator="equal">
      <formula>#N/A</formula>
    </cfRule>
  </conditionalFormatting>
  <conditionalFormatting sqref="I1">
    <cfRule type="containsText" dxfId="456" priority="4" operator="containsText" text="All Data Import Successfully">
      <formula>NOT(ISERROR(SEARCH("All Data Import Successfully",I1)))</formula>
    </cfRule>
    <cfRule type="containsText" dxfId="455" priority="5" operator="containsText" text="Difference Entry">
      <formula>NOT(ISERROR(SEARCH("Difference Entry",I1)))</formula>
    </cfRule>
  </conditionalFormatting>
  <conditionalFormatting sqref="E2:G2">
    <cfRule type="cellIs" dxfId="454" priority="3" operator="equal">
      <formula>#N/A</formula>
    </cfRule>
  </conditionalFormatting>
  <conditionalFormatting sqref="H2">
    <cfRule type="cellIs" dxfId="453" priority="2" operator="equal">
      <formula>#N/A</formula>
    </cfRule>
  </conditionalFormatting>
  <conditionalFormatting sqref="I2">
    <cfRule type="cellIs" dxfId="45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334</v>
      </c>
      <c r="B3" s="56"/>
      <c r="C3" s="55"/>
      <c r="D3" s="55"/>
      <c r="E3" s="57"/>
      <c r="F3" s="55"/>
      <c r="G3" s="21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 xml:space="preserve">City Union Bank </v>
      </c>
      <c r="DB3" s="165" t="e">
        <f>VALUE(A3)</f>
        <v>#VALUE!</v>
      </c>
      <c r="DC3" s="166" t="e">
        <f>+CONCATENATE(TEXT(DB3,"D"),"",TEXT(DB3,"MM"),"","/",ABS(SUBSTITUTE(DF3,",","")),"/",DK3)</f>
        <v>#VALUE!</v>
      </c>
      <c r="DD3" s="131">
        <f>IF(TRIM(D3)="",VALUE("0"),VALUE(SUBSTITUTE((TRIM(D3)),",","")))</f>
        <v>0</v>
      </c>
      <c r="DE3" s="131">
        <f>IF(E3="",VALUE("0"),VALUE(SUBSTITUTE((E3),",","")))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 xml:space="preserve">City Union Bank </v>
      </c>
    </row>
  </sheetData>
  <sheetProtection algorithmName="SHA-512" hashValue="auDcaIRaR4gf8vQcCFeqnxkZWUB2lGsqLDUU+/5ssde9wiH4GBS8SyZhEOPHiqIDR/Bmq3xIYhss98hlUSwkVA==" saltValue="zeWmHyealhtAOucgNUfy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73" priority="11" operator="equal">
      <formula>#N/A</formula>
    </cfRule>
  </conditionalFormatting>
  <conditionalFormatting sqref="DG2">
    <cfRule type="cellIs" dxfId="572" priority="10" operator="equal">
      <formula>#N/A</formula>
    </cfRule>
  </conditionalFormatting>
  <conditionalFormatting sqref="DH2:DI2">
    <cfRule type="cellIs" dxfId="571" priority="9" operator="equal">
      <formula>#N/A</formula>
    </cfRule>
  </conditionalFormatting>
  <conditionalFormatting sqref="I1:I2">
    <cfRule type="cellIs" dxfId="570" priority="8" operator="equal">
      <formula>#N/A</formula>
    </cfRule>
  </conditionalFormatting>
  <conditionalFormatting sqref="H1">
    <cfRule type="cellIs" dxfId="569" priority="7" operator="equal">
      <formula>#N/A</formula>
    </cfRule>
  </conditionalFormatting>
  <conditionalFormatting sqref="E1">
    <cfRule type="cellIs" dxfId="568" priority="6" operator="equal">
      <formula>#N/A</formula>
    </cfRule>
  </conditionalFormatting>
  <conditionalFormatting sqref="I1">
    <cfRule type="containsText" dxfId="567" priority="4" operator="containsText" text="All Data Import Successfully">
      <formula>NOT(ISERROR(SEARCH("All Data Import Successfully",I1)))</formula>
    </cfRule>
    <cfRule type="containsText" dxfId="566" priority="5" operator="containsText" text="Difference Entry">
      <formula>NOT(ISERROR(SEARCH("Difference Entry",I1)))</formula>
    </cfRule>
  </conditionalFormatting>
  <conditionalFormatting sqref="E2:G2">
    <cfRule type="cellIs" dxfId="565" priority="3" operator="equal">
      <formula>#N/A</formula>
    </cfRule>
  </conditionalFormatting>
  <conditionalFormatting sqref="H2">
    <cfRule type="cellIs" dxfId="564" priority="2" operator="equal">
      <formula>#N/A</formula>
    </cfRule>
  </conditionalFormatting>
  <conditionalFormatting sqref="I2">
    <cfRule type="cellIs" dxfId="56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8</v>
      </c>
      <c r="U1" s="92" t="s">
        <v>173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163</v>
      </c>
      <c r="B3" s="56"/>
      <c r="C3" s="55"/>
      <c r="D3" s="55" t="s">
        <v>211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07" t="s">
        <v>25</v>
      </c>
      <c r="B4" s="108" t="s">
        <v>18</v>
      </c>
      <c r="C4" s="109"/>
      <c r="D4" s="110" t="s">
        <v>125</v>
      </c>
      <c r="E4" s="110" t="s">
        <v>137</v>
      </c>
      <c r="F4" s="110" t="s">
        <v>164</v>
      </c>
      <c r="G4" s="110" t="s">
        <v>165</v>
      </c>
      <c r="H4" s="108" t="s">
        <v>31</v>
      </c>
      <c r="I4" s="85"/>
      <c r="DA4" s="38" t="str">
        <f>+DA3</f>
        <v>DCB Bank A/c.</v>
      </c>
    </row>
  </sheetData>
  <sheetProtection algorithmName="SHA-512" hashValue="fQv8S5PvCFfcXG+QRAFAGeVYYuf3C6YlDzDARAH7D4V90FvWyibIJV/iJ+kBatNosL0whH0DGvzERI3MopWniA==" saltValue="PPdp5KAoEeOC0QLdgTbc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68" priority="18" operator="equal">
      <formula>#N/A</formula>
    </cfRule>
  </conditionalFormatting>
  <conditionalFormatting sqref="DG2">
    <cfRule type="cellIs" dxfId="67" priority="13" operator="equal">
      <formula>#N/A</formula>
    </cfRule>
  </conditionalFormatting>
  <conditionalFormatting sqref="DH2:DI2">
    <cfRule type="cellIs" dxfId="66" priority="12" operator="equal">
      <formula>#N/A</formula>
    </cfRule>
  </conditionalFormatting>
  <conditionalFormatting sqref="I1:I2">
    <cfRule type="cellIs" dxfId="65" priority="8" operator="equal">
      <formula>#N/A</formula>
    </cfRule>
  </conditionalFormatting>
  <conditionalFormatting sqref="H1">
    <cfRule type="cellIs" dxfId="64" priority="7" operator="equal">
      <formula>#N/A</formula>
    </cfRule>
  </conditionalFormatting>
  <conditionalFormatting sqref="E1">
    <cfRule type="cellIs" dxfId="63" priority="6" operator="equal">
      <formula>#N/A</formula>
    </cfRule>
  </conditionalFormatting>
  <conditionalFormatting sqref="I1">
    <cfRule type="containsText" dxfId="62" priority="4" operator="containsText" text="All Data Import Successfully">
      <formula>NOT(ISERROR(SEARCH("All Data Import Successfully",I1)))</formula>
    </cfRule>
    <cfRule type="containsText" dxfId="61" priority="5" operator="containsText" text="Difference Entry">
      <formula>NOT(ISERROR(SEARCH("Difference Entry",I1)))</formula>
    </cfRule>
  </conditionalFormatting>
  <conditionalFormatting sqref="E2:G2">
    <cfRule type="cellIs" dxfId="60" priority="3" operator="equal">
      <formula>#N/A</formula>
    </cfRule>
  </conditionalFormatting>
  <conditionalFormatting sqref="H2">
    <cfRule type="cellIs" dxfId="59" priority="2" operator="equal">
      <formula>#N/A</formula>
    </cfRule>
  </conditionalFormatting>
  <conditionalFormatting sqref="I2">
    <cfRule type="cellIs" dxfId="5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340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342</v>
      </c>
      <c r="B3" s="56"/>
      <c r="C3" s="55"/>
      <c r="D3" s="55" t="s">
        <v>341</v>
      </c>
      <c r="E3" s="57"/>
      <c r="F3" s="55"/>
      <c r="G3" s="21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336</v>
      </c>
      <c r="C4" s="101" t="s">
        <v>33</v>
      </c>
      <c r="D4" s="101" t="s">
        <v>337</v>
      </c>
      <c r="E4" s="101" t="s">
        <v>338</v>
      </c>
      <c r="F4" s="101" t="s">
        <v>339</v>
      </c>
      <c r="DA4" s="38" t="str">
        <f>+DA3</f>
        <v>Equitas Small Finance Bank</v>
      </c>
    </row>
  </sheetData>
  <sheetProtection algorithmName="SHA-512" hashValue="p8Kg01yFIJNqxhCKZpr/ziNLD64N+76CBEbkKsEmLX7Urk44BIbHFELZyvrBgtbTTaWghpM/4jIBf5SMdRRsSQ==" saltValue="GBna8CPv8paYJVFdttG64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6" priority="11" operator="equal">
      <formula>#N/A</formula>
    </cfRule>
  </conditionalFormatting>
  <conditionalFormatting sqref="DG2">
    <cfRule type="cellIs" dxfId="45" priority="10" operator="equal">
      <formula>#N/A</formula>
    </cfRule>
  </conditionalFormatting>
  <conditionalFormatting sqref="DH2:DI2">
    <cfRule type="cellIs" dxfId="44" priority="9" operator="equal">
      <formula>#N/A</formula>
    </cfRule>
  </conditionalFormatting>
  <conditionalFormatting sqref="I1:I2">
    <cfRule type="cellIs" dxfId="43" priority="8" operator="equal">
      <formula>#N/A</formula>
    </cfRule>
  </conditionalFormatting>
  <conditionalFormatting sqref="H1">
    <cfRule type="cellIs" dxfId="42" priority="7" operator="equal">
      <formula>#N/A</formula>
    </cfRule>
  </conditionalFormatting>
  <conditionalFormatting sqref="E1">
    <cfRule type="cellIs" dxfId="41" priority="6" operator="equal">
      <formula>#N/A</formula>
    </cfRule>
  </conditionalFormatting>
  <conditionalFormatting sqref="I1">
    <cfRule type="containsText" dxfId="40" priority="4" operator="containsText" text="All Data Import Successfully">
      <formula>NOT(ISERROR(SEARCH("All Data Import Successfully",I1)))</formula>
    </cfRule>
    <cfRule type="containsText" dxfId="39" priority="5" operator="containsText" text="Difference Entry">
      <formula>NOT(ISERROR(SEARCH("Difference Entry",I1)))</formula>
    </cfRule>
  </conditionalFormatting>
  <conditionalFormatting sqref="E2:G2">
    <cfRule type="cellIs" dxfId="38" priority="3" operator="equal">
      <formula>#N/A</formula>
    </cfRule>
  </conditionalFormatting>
  <conditionalFormatting sqref="H2">
    <cfRule type="cellIs" dxfId="37" priority="2" operator="equal">
      <formula>#N/A</formula>
    </cfRule>
  </conditionalFormatting>
  <conditionalFormatting sqref="I2">
    <cfRule type="cellIs" dxfId="3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8" sqref="A8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1" t="s">
        <v>78</v>
      </c>
      <c r="B4" s="112" t="s">
        <v>39</v>
      </c>
      <c r="C4" s="357" t="s">
        <v>147</v>
      </c>
      <c r="D4" s="357"/>
      <c r="E4" s="112" t="s">
        <v>18</v>
      </c>
      <c r="F4" s="112" t="s">
        <v>152</v>
      </c>
      <c r="G4" s="112" t="s">
        <v>153</v>
      </c>
      <c r="H4" s="112" t="s">
        <v>154</v>
      </c>
      <c r="I4" s="112" t="s">
        <v>155</v>
      </c>
      <c r="J4" s="113" t="s">
        <v>156</v>
      </c>
      <c r="DA4" s="38" t="str">
        <f>+DA3</f>
        <v>Federal Bank</v>
      </c>
    </row>
  </sheetData>
  <sheetProtection algorithmName="SHA-512" hashValue="VwO0qNnrZggLU1TL4FyIN38PMUyTuORjgHfvVMIVA7d//Q/HBO9eqbyrDGNe7ap19ixPEYyCfIQdcNEWr+R4dA==" saltValue="/Q4bULo7qMPzXdtL4Sp2X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132" priority="23" operator="equal">
      <formula>#N/A</formula>
    </cfRule>
  </conditionalFormatting>
  <conditionalFormatting sqref="DG2">
    <cfRule type="cellIs" dxfId="131" priority="18" operator="equal">
      <formula>#N/A</formula>
    </cfRule>
  </conditionalFormatting>
  <conditionalFormatting sqref="DH2:DI2">
    <cfRule type="cellIs" dxfId="130" priority="17" operator="equal">
      <formula>#N/A</formula>
    </cfRule>
  </conditionalFormatting>
  <conditionalFormatting sqref="I1:I2">
    <cfRule type="cellIs" dxfId="129" priority="8" operator="equal">
      <formula>#N/A</formula>
    </cfRule>
  </conditionalFormatting>
  <conditionalFormatting sqref="H1">
    <cfRule type="cellIs" dxfId="128" priority="7" operator="equal">
      <formula>#N/A</formula>
    </cfRule>
  </conditionalFormatting>
  <conditionalFormatting sqref="E1">
    <cfRule type="cellIs" dxfId="127" priority="6" operator="equal">
      <formula>#N/A</formula>
    </cfRule>
  </conditionalFormatting>
  <conditionalFormatting sqref="I1">
    <cfRule type="containsText" dxfId="126" priority="4" operator="containsText" text="All Data Import Successfully">
      <formula>NOT(ISERROR(SEARCH("All Data Import Successfully",I1)))</formula>
    </cfRule>
    <cfRule type="containsText" dxfId="125" priority="5" operator="containsText" text="Difference Entry">
      <formula>NOT(ISERROR(SEARCH("Difference Entry",I1)))</formula>
    </cfRule>
  </conditionalFormatting>
  <conditionalFormatting sqref="E2:G2">
    <cfRule type="cellIs" dxfId="124" priority="3" operator="equal">
      <formula>#N/A</formula>
    </cfRule>
  </conditionalFormatting>
  <conditionalFormatting sqref="H2">
    <cfRule type="cellIs" dxfId="123" priority="2" operator="equal">
      <formula>#N/A</formula>
    </cfRule>
  </conditionalFormatting>
  <conditionalFormatting sqref="I2">
    <cfRule type="cellIs" dxfId="12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524F2-F2D5-4571-BE07-65B736C9C0AE}">
  <sheetPr codeName="Sheet69"/>
  <dimension ref="A1:DZ23"/>
  <sheetViews>
    <sheetView topLeftCell="DC5" workbookViewId="0">
      <selection activeCell="DD10" sqref="DD10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19</v>
      </c>
      <c r="F2" s="11">
        <f>+COUNTIF($DE:$DE,"&gt;"&amp;0)</f>
        <v>13</v>
      </c>
      <c r="G2" s="11">
        <f>+COUNTIF($DD:$DD,"&gt;"&amp;0)</f>
        <v>0</v>
      </c>
      <c r="H2" s="12">
        <f>+F2+G2</f>
        <v>13</v>
      </c>
      <c r="I2" s="12">
        <f>+E2-H2</f>
        <v>6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151</v>
      </c>
      <c r="B3" s="56"/>
      <c r="C3" s="55"/>
      <c r="D3" s="55" t="s">
        <v>194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Federal Bank</v>
      </c>
      <c r="DB3" s="140">
        <f>VALUE(B3)</f>
        <v>0</v>
      </c>
      <c r="DC3" s="141" t="e">
        <f>+CONCATENATE(TEXT(DB3,"D"),"",TEXT(DB3,"MM"),"","/",SUBSTITUTE(DF3,",",""),"/",DK3)</f>
        <v>#VALUE!</v>
      </c>
      <c r="DD3" s="50">
        <f>IF(F3="", 0, IFERROR(VALUE(SUBSTITUTE(F3, ",", "")), 0))</f>
        <v>0</v>
      </c>
      <c r="DE3" s="50">
        <f>IF(H3="", 0, IFERROR(VALUE(SUBSTITUTE(H3, ",", "")), 0))</f>
        <v>0</v>
      </c>
      <c r="DF3" s="50" t="e">
        <f>IF(K3=" ","",VALUE(SUBSTITUTE((K3),",","")))</f>
        <v>#VALUE!</v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>
        <f>VALUE(B3)</f>
        <v>0</v>
      </c>
      <c r="DI3" s="143" t="str">
        <f>+IF(DE3=0,"Suspance Payment","Suspance Receipt")</f>
        <v>Suspance Payment</v>
      </c>
      <c r="DJ3" s="377" t="str">
        <f>+D3</f>
        <v>C:\Users\ADITYA\Desktop\Ecomm\Bank Statement\Fedral Bank .xls</v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9.5">
      <c r="A4" s="360" t="s">
        <v>32</v>
      </c>
      <c r="B4" s="361" t="s">
        <v>1227</v>
      </c>
      <c r="C4" s="362"/>
      <c r="D4" s="360" t="s">
        <v>1228</v>
      </c>
      <c r="E4" s="360" t="s">
        <v>1229</v>
      </c>
      <c r="F4" s="360" t="s">
        <v>1230</v>
      </c>
      <c r="G4" s="360" t="s">
        <v>1231</v>
      </c>
      <c r="H4" s="361" t="s">
        <v>1232</v>
      </c>
      <c r="I4" s="362"/>
      <c r="J4" s="360" t="s">
        <v>1233</v>
      </c>
      <c r="K4" s="361" t="s">
        <v>1234</v>
      </c>
      <c r="L4" s="362"/>
      <c r="M4" s="363" t="s">
        <v>1235</v>
      </c>
      <c r="DA4" s="38" t="str">
        <f>+DA3</f>
        <v>Federal Bank</v>
      </c>
    </row>
    <row r="5" spans="1:130">
      <c r="A5" s="365">
        <v>45384</v>
      </c>
      <c r="B5" s="366">
        <v>45384</v>
      </c>
      <c r="C5" s="367"/>
      <c r="D5" s="368" t="s">
        <v>1236</v>
      </c>
      <c r="E5" s="369" t="s">
        <v>1237</v>
      </c>
      <c r="F5" s="369" t="s">
        <v>1238</v>
      </c>
      <c r="G5" s="370"/>
      <c r="H5" s="371"/>
      <c r="I5" s="372"/>
      <c r="J5" s="373">
        <v>150000</v>
      </c>
      <c r="K5" s="374">
        <v>299986.05</v>
      </c>
      <c r="L5" s="375"/>
      <c r="M5" s="369" t="s">
        <v>1239</v>
      </c>
      <c r="N5" s="364"/>
      <c r="O5" s="364"/>
      <c r="P5" s="364"/>
      <c r="Q5" s="364"/>
      <c r="R5" s="364"/>
      <c r="S5" s="364"/>
      <c r="T5" s="364"/>
      <c r="U5" s="364"/>
      <c r="V5" s="364"/>
      <c r="W5" s="364"/>
      <c r="X5" s="364"/>
      <c r="Y5" s="364"/>
      <c r="Z5" s="364"/>
      <c r="AA5" s="364"/>
      <c r="AB5" s="364"/>
      <c r="AC5" s="364"/>
      <c r="AD5" s="364"/>
      <c r="AE5" s="364"/>
      <c r="AF5" s="364"/>
      <c r="AG5" s="364"/>
      <c r="AH5" s="364"/>
      <c r="AI5" s="364"/>
      <c r="AJ5" s="364"/>
      <c r="AK5" s="364"/>
      <c r="AL5" s="364"/>
      <c r="AM5" s="364"/>
      <c r="AN5" s="364"/>
      <c r="AO5" s="364"/>
      <c r="AP5" s="364"/>
      <c r="AQ5" s="364"/>
      <c r="AR5" s="364"/>
      <c r="AS5" s="364"/>
      <c r="AT5" s="364"/>
      <c r="AU5" s="364"/>
      <c r="AV5" s="364"/>
      <c r="AW5" s="364"/>
      <c r="AX5" s="364"/>
      <c r="AY5" s="364"/>
      <c r="AZ5" s="364"/>
      <c r="BA5" s="364"/>
      <c r="BB5" s="364"/>
      <c r="BC5" s="364"/>
      <c r="BD5" s="364"/>
      <c r="BE5" s="364"/>
      <c r="BF5" s="364"/>
      <c r="BG5" s="364"/>
      <c r="BH5" s="364"/>
      <c r="BI5" s="364"/>
      <c r="BJ5" s="364"/>
      <c r="BK5" s="364"/>
      <c r="BL5" s="364"/>
      <c r="BM5" s="364"/>
      <c r="BN5" s="364"/>
      <c r="BO5" s="364"/>
      <c r="BP5" s="364"/>
      <c r="BQ5" s="364"/>
      <c r="BR5" s="364"/>
      <c r="BS5" s="364"/>
      <c r="BT5" s="364"/>
      <c r="BU5" s="364"/>
      <c r="BV5" s="364"/>
      <c r="BW5" s="364"/>
      <c r="BX5" s="364"/>
      <c r="BY5" s="364"/>
      <c r="BZ5" s="364"/>
      <c r="CA5" s="364"/>
      <c r="CB5" s="364"/>
      <c r="CC5" s="364"/>
      <c r="CD5" s="364"/>
      <c r="CE5" s="364"/>
      <c r="CF5" s="364"/>
      <c r="CG5" s="364"/>
      <c r="CH5" s="364"/>
      <c r="CI5" s="364"/>
      <c r="CJ5" s="364"/>
      <c r="CK5" s="364"/>
      <c r="CL5" s="364"/>
      <c r="CM5" s="364"/>
      <c r="CN5" s="364"/>
      <c r="CO5" s="364"/>
      <c r="CP5" s="364"/>
      <c r="CQ5" s="364"/>
      <c r="CR5" s="364"/>
      <c r="CS5" s="364"/>
      <c r="CT5" s="364"/>
      <c r="CU5" s="364"/>
      <c r="CV5" s="364"/>
      <c r="CW5" s="364"/>
      <c r="CX5" s="364"/>
      <c r="CY5" s="364"/>
      <c r="CZ5" s="364"/>
      <c r="DA5" s="278" t="s">
        <v>151</v>
      </c>
      <c r="DB5" s="279">
        <v>45384</v>
      </c>
      <c r="DC5" s="280" t="s">
        <v>1274</v>
      </c>
      <c r="DD5" s="281">
        <v>0</v>
      </c>
      <c r="DE5" s="281">
        <v>0</v>
      </c>
      <c r="DF5" s="281">
        <v>299986.05</v>
      </c>
      <c r="DG5" s="282" t="s">
        <v>944</v>
      </c>
      <c r="DH5" s="284">
        <v>45384</v>
      </c>
      <c r="DI5" s="284" t="s">
        <v>767</v>
      </c>
      <c r="DJ5" s="285" t="s">
        <v>1300</v>
      </c>
      <c r="DK5" s="286">
        <v>1</v>
      </c>
      <c r="DL5" s="364"/>
      <c r="DM5" s="364"/>
      <c r="DN5" s="364"/>
      <c r="DO5" s="364"/>
      <c r="DP5" s="364"/>
      <c r="DQ5" s="364"/>
      <c r="DR5" s="364"/>
      <c r="DS5" s="364"/>
      <c r="DT5" s="364"/>
      <c r="DU5" s="364"/>
      <c r="DV5" s="364"/>
      <c r="DW5" s="364"/>
      <c r="DX5" s="364"/>
      <c r="DY5" s="364"/>
      <c r="DZ5" s="364"/>
    </row>
    <row r="6" spans="1:130" ht="45">
      <c r="A6" s="365">
        <v>45384</v>
      </c>
      <c r="B6" s="366">
        <v>45384</v>
      </c>
      <c r="C6" s="367"/>
      <c r="D6" s="376" t="s">
        <v>1240</v>
      </c>
      <c r="E6" s="369" t="s">
        <v>1241</v>
      </c>
      <c r="F6" s="369" t="s">
        <v>1242</v>
      </c>
      <c r="G6" s="370"/>
      <c r="H6" s="374">
        <v>9217</v>
      </c>
      <c r="I6" s="375"/>
      <c r="J6" s="370"/>
      <c r="K6" s="374">
        <v>290769.05</v>
      </c>
      <c r="L6" s="375"/>
      <c r="M6" s="369" t="s">
        <v>1239</v>
      </c>
      <c r="N6" s="364"/>
      <c r="O6" s="364"/>
      <c r="P6" s="364"/>
      <c r="Q6" s="364"/>
      <c r="R6" s="364"/>
      <c r="S6" s="364"/>
      <c r="T6" s="364"/>
      <c r="U6" s="364"/>
      <c r="V6" s="364"/>
      <c r="W6" s="364"/>
      <c r="X6" s="364"/>
      <c r="Y6" s="364"/>
      <c r="Z6" s="364"/>
      <c r="AA6" s="364"/>
      <c r="AB6" s="364"/>
      <c r="AC6" s="364"/>
      <c r="AD6" s="364"/>
      <c r="AE6" s="364"/>
      <c r="AF6" s="364"/>
      <c r="AG6" s="364"/>
      <c r="AH6" s="364"/>
      <c r="AI6" s="364"/>
      <c r="AJ6" s="364"/>
      <c r="AK6" s="364"/>
      <c r="AL6" s="364"/>
      <c r="AM6" s="364"/>
      <c r="AN6" s="364"/>
      <c r="AO6" s="364"/>
      <c r="AP6" s="364"/>
      <c r="AQ6" s="364"/>
      <c r="AR6" s="364"/>
      <c r="AS6" s="364"/>
      <c r="AT6" s="364"/>
      <c r="AU6" s="364"/>
      <c r="AV6" s="364"/>
      <c r="AW6" s="364"/>
      <c r="AX6" s="364"/>
      <c r="AY6" s="364"/>
      <c r="AZ6" s="364"/>
      <c r="BA6" s="364"/>
      <c r="BB6" s="364"/>
      <c r="BC6" s="364"/>
      <c r="BD6" s="364"/>
      <c r="BE6" s="364"/>
      <c r="BF6" s="364"/>
      <c r="BG6" s="364"/>
      <c r="BH6" s="364"/>
      <c r="BI6" s="364"/>
      <c r="BJ6" s="364"/>
      <c r="BK6" s="364"/>
      <c r="BL6" s="364"/>
      <c r="BM6" s="364"/>
      <c r="BN6" s="364"/>
      <c r="BO6" s="364"/>
      <c r="BP6" s="364"/>
      <c r="BQ6" s="364"/>
      <c r="BR6" s="364"/>
      <c r="BS6" s="364"/>
      <c r="BT6" s="364"/>
      <c r="BU6" s="364"/>
      <c r="BV6" s="364"/>
      <c r="BW6" s="364"/>
      <c r="BX6" s="364"/>
      <c r="BY6" s="364"/>
      <c r="BZ6" s="364"/>
      <c r="CA6" s="364"/>
      <c r="CB6" s="364"/>
      <c r="CC6" s="364"/>
      <c r="CD6" s="364"/>
      <c r="CE6" s="364"/>
      <c r="CF6" s="364"/>
      <c r="CG6" s="364"/>
      <c r="CH6" s="364"/>
      <c r="CI6" s="364"/>
      <c r="CJ6" s="364"/>
      <c r="CK6" s="364"/>
      <c r="CL6" s="364"/>
      <c r="CM6" s="364"/>
      <c r="CN6" s="364"/>
      <c r="CO6" s="364"/>
      <c r="CP6" s="364"/>
      <c r="CQ6" s="364"/>
      <c r="CR6" s="364"/>
      <c r="CS6" s="364"/>
      <c r="CT6" s="364"/>
      <c r="CU6" s="364"/>
      <c r="CV6" s="364"/>
      <c r="CW6" s="364"/>
      <c r="CX6" s="364"/>
      <c r="CY6" s="364"/>
      <c r="CZ6" s="364"/>
      <c r="DA6" s="278" t="s">
        <v>151</v>
      </c>
      <c r="DB6" s="279">
        <v>45384</v>
      </c>
      <c r="DC6" s="280" t="s">
        <v>1275</v>
      </c>
      <c r="DD6" s="281">
        <v>0</v>
      </c>
      <c r="DE6" s="281">
        <v>9217</v>
      </c>
      <c r="DF6" s="281">
        <v>290769.05</v>
      </c>
      <c r="DG6" s="282"/>
      <c r="DH6" s="284">
        <v>45384</v>
      </c>
      <c r="DI6" s="284" t="s">
        <v>762</v>
      </c>
      <c r="DJ6" s="378" t="s">
        <v>1301</v>
      </c>
      <c r="DK6" s="286">
        <v>2</v>
      </c>
      <c r="DL6" s="364"/>
      <c r="DM6" s="364"/>
      <c r="DN6" s="364"/>
      <c r="DO6" s="364"/>
      <c r="DP6" s="364"/>
      <c r="DQ6" s="364"/>
      <c r="DR6" s="364"/>
      <c r="DS6" s="364"/>
      <c r="DT6" s="364"/>
      <c r="DU6" s="364"/>
      <c r="DV6" s="364"/>
      <c r="DW6" s="364"/>
      <c r="DX6" s="364"/>
      <c r="DY6" s="364"/>
      <c r="DZ6" s="364"/>
    </row>
    <row r="7" spans="1:130" ht="45">
      <c r="A7" s="365">
        <v>45384</v>
      </c>
      <c r="B7" s="366">
        <v>45384</v>
      </c>
      <c r="C7" s="367"/>
      <c r="D7" s="376" t="s">
        <v>1243</v>
      </c>
      <c r="E7" s="369" t="s">
        <v>1241</v>
      </c>
      <c r="F7" s="369" t="s">
        <v>1244</v>
      </c>
      <c r="G7" s="370"/>
      <c r="H7" s="374">
        <v>67108</v>
      </c>
      <c r="I7" s="375"/>
      <c r="J7" s="370"/>
      <c r="K7" s="374">
        <v>223661.05</v>
      </c>
      <c r="L7" s="375"/>
      <c r="M7" s="369" t="s">
        <v>1239</v>
      </c>
      <c r="N7" s="364"/>
      <c r="O7" s="364"/>
      <c r="P7" s="364"/>
      <c r="Q7" s="364"/>
      <c r="R7" s="364"/>
      <c r="S7" s="364"/>
      <c r="T7" s="364"/>
      <c r="U7" s="364"/>
      <c r="V7" s="364"/>
      <c r="W7" s="364"/>
      <c r="X7" s="364"/>
      <c r="Y7" s="364"/>
      <c r="Z7" s="364"/>
      <c r="AA7" s="364"/>
      <c r="AB7" s="364"/>
      <c r="AC7" s="364"/>
      <c r="AD7" s="364"/>
      <c r="AE7" s="364"/>
      <c r="AF7" s="364"/>
      <c r="AG7" s="364"/>
      <c r="AH7" s="364"/>
      <c r="AI7" s="364"/>
      <c r="AJ7" s="364"/>
      <c r="AK7" s="364"/>
      <c r="AL7" s="364"/>
      <c r="AM7" s="364"/>
      <c r="AN7" s="364"/>
      <c r="AO7" s="364"/>
      <c r="AP7" s="364"/>
      <c r="AQ7" s="364"/>
      <c r="AR7" s="364"/>
      <c r="AS7" s="364"/>
      <c r="AT7" s="364"/>
      <c r="AU7" s="364"/>
      <c r="AV7" s="364"/>
      <c r="AW7" s="364"/>
      <c r="AX7" s="364"/>
      <c r="AY7" s="364"/>
      <c r="AZ7" s="364"/>
      <c r="BA7" s="364"/>
      <c r="BB7" s="364"/>
      <c r="BC7" s="364"/>
      <c r="BD7" s="364"/>
      <c r="BE7" s="364"/>
      <c r="BF7" s="364"/>
      <c r="BG7" s="364"/>
      <c r="BH7" s="364"/>
      <c r="BI7" s="364"/>
      <c r="BJ7" s="364"/>
      <c r="BK7" s="364"/>
      <c r="BL7" s="364"/>
      <c r="BM7" s="364"/>
      <c r="BN7" s="364"/>
      <c r="BO7" s="364"/>
      <c r="BP7" s="364"/>
      <c r="BQ7" s="364"/>
      <c r="BR7" s="364"/>
      <c r="BS7" s="364"/>
      <c r="BT7" s="364"/>
      <c r="BU7" s="364"/>
      <c r="BV7" s="364"/>
      <c r="BW7" s="364"/>
      <c r="BX7" s="364"/>
      <c r="BY7" s="364"/>
      <c r="BZ7" s="364"/>
      <c r="CA7" s="364"/>
      <c r="CB7" s="364"/>
      <c r="CC7" s="364"/>
      <c r="CD7" s="364"/>
      <c r="CE7" s="364"/>
      <c r="CF7" s="364"/>
      <c r="CG7" s="364"/>
      <c r="CH7" s="364"/>
      <c r="CI7" s="364"/>
      <c r="CJ7" s="364"/>
      <c r="CK7" s="364"/>
      <c r="CL7" s="364"/>
      <c r="CM7" s="364"/>
      <c r="CN7" s="364"/>
      <c r="CO7" s="364"/>
      <c r="CP7" s="364"/>
      <c r="CQ7" s="364"/>
      <c r="CR7" s="364"/>
      <c r="CS7" s="364"/>
      <c r="CT7" s="364"/>
      <c r="CU7" s="364"/>
      <c r="CV7" s="364"/>
      <c r="CW7" s="364"/>
      <c r="CX7" s="364"/>
      <c r="CY7" s="364"/>
      <c r="CZ7" s="364"/>
      <c r="DA7" s="278" t="s">
        <v>151</v>
      </c>
      <c r="DB7" s="279">
        <v>45384</v>
      </c>
      <c r="DC7" s="280" t="s">
        <v>1276</v>
      </c>
      <c r="DD7" s="281">
        <v>0</v>
      </c>
      <c r="DE7" s="281">
        <v>67108</v>
      </c>
      <c r="DF7" s="281">
        <v>223661.05</v>
      </c>
      <c r="DG7" s="282"/>
      <c r="DH7" s="284">
        <v>45384</v>
      </c>
      <c r="DI7" s="284" t="s">
        <v>762</v>
      </c>
      <c r="DJ7" s="378" t="s">
        <v>1302</v>
      </c>
      <c r="DK7" s="286">
        <v>3</v>
      </c>
      <c r="DL7" s="364"/>
      <c r="DM7" s="364"/>
      <c r="DN7" s="364"/>
      <c r="DO7" s="364"/>
      <c r="DP7" s="364"/>
      <c r="DQ7" s="364"/>
      <c r="DR7" s="364"/>
      <c r="DS7" s="364"/>
      <c r="DT7" s="364"/>
      <c r="DU7" s="364"/>
      <c r="DV7" s="364"/>
      <c r="DW7" s="364"/>
      <c r="DX7" s="364"/>
      <c r="DY7" s="364"/>
      <c r="DZ7" s="364"/>
    </row>
    <row r="8" spans="1:130">
      <c r="A8" s="365">
        <v>45391</v>
      </c>
      <c r="B8" s="366">
        <v>45391</v>
      </c>
      <c r="C8" s="367"/>
      <c r="D8" s="368" t="s">
        <v>1245</v>
      </c>
      <c r="E8" s="369" t="s">
        <v>1246</v>
      </c>
      <c r="F8" s="369" t="s">
        <v>1247</v>
      </c>
      <c r="G8" s="370"/>
      <c r="H8" s="374">
        <v>14700</v>
      </c>
      <c r="I8" s="375"/>
      <c r="J8" s="370"/>
      <c r="K8" s="374">
        <v>208961.05</v>
      </c>
      <c r="L8" s="375"/>
      <c r="M8" s="369" t="s">
        <v>1239</v>
      </c>
      <c r="N8" s="364"/>
      <c r="O8" s="364"/>
      <c r="P8" s="364"/>
      <c r="Q8" s="364"/>
      <c r="R8" s="364"/>
      <c r="S8" s="364"/>
      <c r="T8" s="364"/>
      <c r="U8" s="364"/>
      <c r="V8" s="364"/>
      <c r="W8" s="364"/>
      <c r="X8" s="364"/>
      <c r="Y8" s="364"/>
      <c r="Z8" s="364"/>
      <c r="AA8" s="364"/>
      <c r="AB8" s="364"/>
      <c r="AC8" s="364"/>
      <c r="AD8" s="364"/>
      <c r="AE8" s="364"/>
      <c r="AF8" s="364"/>
      <c r="AG8" s="364"/>
      <c r="AH8" s="364"/>
      <c r="AI8" s="364"/>
      <c r="AJ8" s="364"/>
      <c r="AK8" s="364"/>
      <c r="AL8" s="364"/>
      <c r="AM8" s="364"/>
      <c r="AN8" s="364"/>
      <c r="AO8" s="364"/>
      <c r="AP8" s="364"/>
      <c r="AQ8" s="364"/>
      <c r="AR8" s="364"/>
      <c r="AS8" s="364"/>
      <c r="AT8" s="364"/>
      <c r="AU8" s="364"/>
      <c r="AV8" s="364"/>
      <c r="AW8" s="364"/>
      <c r="AX8" s="364"/>
      <c r="AY8" s="364"/>
      <c r="AZ8" s="364"/>
      <c r="BA8" s="364"/>
      <c r="BB8" s="364"/>
      <c r="BC8" s="364"/>
      <c r="BD8" s="364"/>
      <c r="BE8" s="364"/>
      <c r="BF8" s="364"/>
      <c r="BG8" s="364"/>
      <c r="BH8" s="364"/>
      <c r="BI8" s="364"/>
      <c r="BJ8" s="364"/>
      <c r="BK8" s="364"/>
      <c r="BL8" s="364"/>
      <c r="BM8" s="364"/>
      <c r="BN8" s="364"/>
      <c r="BO8" s="364"/>
      <c r="BP8" s="364"/>
      <c r="BQ8" s="364"/>
      <c r="BR8" s="364"/>
      <c r="BS8" s="364"/>
      <c r="BT8" s="364"/>
      <c r="BU8" s="364"/>
      <c r="BV8" s="364"/>
      <c r="BW8" s="364"/>
      <c r="BX8" s="364"/>
      <c r="BY8" s="364"/>
      <c r="BZ8" s="364"/>
      <c r="CA8" s="364"/>
      <c r="CB8" s="364"/>
      <c r="CC8" s="364"/>
      <c r="CD8" s="364"/>
      <c r="CE8" s="364"/>
      <c r="CF8" s="364"/>
      <c r="CG8" s="364"/>
      <c r="CH8" s="364"/>
      <c r="CI8" s="364"/>
      <c r="CJ8" s="364"/>
      <c r="CK8" s="364"/>
      <c r="CL8" s="364"/>
      <c r="CM8" s="364"/>
      <c r="CN8" s="364"/>
      <c r="CO8" s="364"/>
      <c r="CP8" s="364"/>
      <c r="CQ8" s="364"/>
      <c r="CR8" s="364"/>
      <c r="CS8" s="364"/>
      <c r="CT8" s="364"/>
      <c r="CU8" s="364"/>
      <c r="CV8" s="364"/>
      <c r="CW8" s="364"/>
      <c r="CX8" s="364"/>
      <c r="CY8" s="364"/>
      <c r="CZ8" s="364"/>
      <c r="DA8" s="278" t="s">
        <v>151</v>
      </c>
      <c r="DB8" s="279">
        <v>45391</v>
      </c>
      <c r="DC8" s="280" t="s">
        <v>1277</v>
      </c>
      <c r="DD8" s="281">
        <v>0</v>
      </c>
      <c r="DE8" s="281">
        <v>14700</v>
      </c>
      <c r="DF8" s="281">
        <v>208961.05</v>
      </c>
      <c r="DG8" s="282"/>
      <c r="DH8" s="284">
        <v>45391</v>
      </c>
      <c r="DI8" s="284" t="s">
        <v>762</v>
      </c>
      <c r="DJ8" s="285" t="s">
        <v>1278</v>
      </c>
      <c r="DK8" s="286">
        <v>4</v>
      </c>
      <c r="DL8" s="364"/>
      <c r="DM8" s="364"/>
      <c r="DN8" s="364"/>
      <c r="DO8" s="364"/>
      <c r="DP8" s="364"/>
      <c r="DQ8" s="364"/>
      <c r="DR8" s="364"/>
      <c r="DS8" s="364"/>
      <c r="DT8" s="364"/>
      <c r="DU8" s="364"/>
      <c r="DV8" s="364"/>
      <c r="DW8" s="364"/>
      <c r="DX8" s="364"/>
      <c r="DY8" s="364"/>
      <c r="DZ8" s="364"/>
    </row>
    <row r="9" spans="1:130">
      <c r="A9" s="365">
        <v>45391</v>
      </c>
      <c r="B9" s="366">
        <v>45391</v>
      </c>
      <c r="C9" s="367"/>
      <c r="D9" s="368" t="s">
        <v>1248</v>
      </c>
      <c r="E9" s="369" t="s">
        <v>1246</v>
      </c>
      <c r="F9" s="369" t="s">
        <v>1247</v>
      </c>
      <c r="G9" s="370"/>
      <c r="H9" s="374">
        <v>27206</v>
      </c>
      <c r="I9" s="375"/>
      <c r="J9" s="370"/>
      <c r="K9" s="374">
        <v>181755.05</v>
      </c>
      <c r="L9" s="375"/>
      <c r="M9" s="369" t="s">
        <v>1239</v>
      </c>
      <c r="N9" s="364"/>
      <c r="O9" s="364"/>
      <c r="P9" s="364"/>
      <c r="Q9" s="364"/>
      <c r="R9" s="364"/>
      <c r="S9" s="364"/>
      <c r="T9" s="364"/>
      <c r="U9" s="364"/>
      <c r="V9" s="364"/>
      <c r="W9" s="364"/>
      <c r="X9" s="364"/>
      <c r="Y9" s="364"/>
      <c r="Z9" s="364"/>
      <c r="AA9" s="364"/>
      <c r="AB9" s="364"/>
      <c r="AC9" s="364"/>
      <c r="AD9" s="364"/>
      <c r="AE9" s="364"/>
      <c r="AF9" s="364"/>
      <c r="AG9" s="364"/>
      <c r="AH9" s="364"/>
      <c r="AI9" s="364"/>
      <c r="AJ9" s="364"/>
      <c r="AK9" s="364"/>
      <c r="AL9" s="364"/>
      <c r="AM9" s="364"/>
      <c r="AN9" s="364"/>
      <c r="AO9" s="364"/>
      <c r="AP9" s="364"/>
      <c r="AQ9" s="364"/>
      <c r="AR9" s="364"/>
      <c r="AS9" s="364"/>
      <c r="AT9" s="364"/>
      <c r="AU9" s="364"/>
      <c r="AV9" s="364"/>
      <c r="AW9" s="364"/>
      <c r="AX9" s="364"/>
      <c r="AY9" s="364"/>
      <c r="AZ9" s="364"/>
      <c r="BA9" s="364"/>
      <c r="BB9" s="364"/>
      <c r="BC9" s="364"/>
      <c r="BD9" s="364"/>
      <c r="BE9" s="364"/>
      <c r="BF9" s="364"/>
      <c r="BG9" s="364"/>
      <c r="BH9" s="364"/>
      <c r="BI9" s="364"/>
      <c r="BJ9" s="364"/>
      <c r="BK9" s="364"/>
      <c r="BL9" s="364"/>
      <c r="BM9" s="364"/>
      <c r="BN9" s="364"/>
      <c r="BO9" s="364"/>
      <c r="BP9" s="364"/>
      <c r="BQ9" s="364"/>
      <c r="BR9" s="364"/>
      <c r="BS9" s="364"/>
      <c r="BT9" s="364"/>
      <c r="BU9" s="364"/>
      <c r="BV9" s="364"/>
      <c r="BW9" s="364"/>
      <c r="BX9" s="364"/>
      <c r="BY9" s="364"/>
      <c r="BZ9" s="364"/>
      <c r="CA9" s="364"/>
      <c r="CB9" s="364"/>
      <c r="CC9" s="364"/>
      <c r="CD9" s="364"/>
      <c r="CE9" s="364"/>
      <c r="CF9" s="364"/>
      <c r="CG9" s="364"/>
      <c r="CH9" s="364"/>
      <c r="CI9" s="364"/>
      <c r="CJ9" s="364"/>
      <c r="CK9" s="364"/>
      <c r="CL9" s="364"/>
      <c r="CM9" s="364"/>
      <c r="CN9" s="364"/>
      <c r="CO9" s="364"/>
      <c r="CP9" s="364"/>
      <c r="CQ9" s="364"/>
      <c r="CR9" s="364"/>
      <c r="CS9" s="364"/>
      <c r="CT9" s="364"/>
      <c r="CU9" s="364"/>
      <c r="CV9" s="364"/>
      <c r="CW9" s="364"/>
      <c r="CX9" s="364"/>
      <c r="CY9" s="364"/>
      <c r="CZ9" s="364"/>
      <c r="DA9" s="278" t="s">
        <v>151</v>
      </c>
      <c r="DB9" s="279">
        <v>45391</v>
      </c>
      <c r="DC9" s="280" t="s">
        <v>1279</v>
      </c>
      <c r="DD9" s="281">
        <v>0</v>
      </c>
      <c r="DE9" s="281">
        <v>27206</v>
      </c>
      <c r="DF9" s="281">
        <v>181755.05</v>
      </c>
      <c r="DG9" s="282"/>
      <c r="DH9" s="284">
        <v>45391</v>
      </c>
      <c r="DI9" s="284" t="s">
        <v>762</v>
      </c>
      <c r="DJ9" s="285" t="s">
        <v>1280</v>
      </c>
      <c r="DK9" s="286">
        <v>5</v>
      </c>
      <c r="DL9" s="364"/>
      <c r="DM9" s="364"/>
      <c r="DN9" s="364"/>
      <c r="DO9" s="364"/>
      <c r="DP9" s="364"/>
      <c r="DQ9" s="364"/>
      <c r="DR9" s="364"/>
      <c r="DS9" s="364"/>
      <c r="DT9" s="364"/>
      <c r="DU9" s="364"/>
      <c r="DV9" s="364"/>
      <c r="DW9" s="364"/>
      <c r="DX9" s="364"/>
      <c r="DY9" s="364"/>
      <c r="DZ9" s="364"/>
    </row>
    <row r="10" spans="1:130">
      <c r="A10" s="365">
        <v>45398</v>
      </c>
      <c r="B10" s="366">
        <v>45398</v>
      </c>
      <c r="C10" s="367"/>
      <c r="D10" s="368" t="s">
        <v>1249</v>
      </c>
      <c r="E10" s="369" t="s">
        <v>1246</v>
      </c>
      <c r="F10" s="369" t="s">
        <v>1250</v>
      </c>
      <c r="G10" s="370"/>
      <c r="H10" s="374">
        <v>100000</v>
      </c>
      <c r="I10" s="375"/>
      <c r="J10" s="370"/>
      <c r="K10" s="374">
        <v>81755.05</v>
      </c>
      <c r="L10" s="375"/>
      <c r="M10" s="369" t="s">
        <v>1239</v>
      </c>
      <c r="N10" s="364"/>
      <c r="O10" s="364"/>
      <c r="P10" s="364"/>
      <c r="Q10" s="364"/>
      <c r="R10" s="364"/>
      <c r="S10" s="364"/>
      <c r="T10" s="364"/>
      <c r="U10" s="364"/>
      <c r="V10" s="364"/>
      <c r="W10" s="364"/>
      <c r="X10" s="364"/>
      <c r="Y10" s="364"/>
      <c r="Z10" s="364"/>
      <c r="AA10" s="364"/>
      <c r="AB10" s="364"/>
      <c r="AC10" s="364"/>
      <c r="AD10" s="364"/>
      <c r="AE10" s="364"/>
      <c r="AF10" s="364"/>
      <c r="AG10" s="364"/>
      <c r="AH10" s="364"/>
      <c r="AI10" s="364"/>
      <c r="AJ10" s="364"/>
      <c r="AK10" s="364"/>
      <c r="AL10" s="364"/>
      <c r="AM10" s="364"/>
      <c r="AN10" s="364"/>
      <c r="AO10" s="364"/>
      <c r="AP10" s="364"/>
      <c r="AQ10" s="364"/>
      <c r="AR10" s="364"/>
      <c r="AS10" s="364"/>
      <c r="AT10" s="364"/>
      <c r="AU10" s="364"/>
      <c r="AV10" s="364"/>
      <c r="AW10" s="364"/>
      <c r="AX10" s="364"/>
      <c r="AY10" s="364"/>
      <c r="AZ10" s="364"/>
      <c r="BA10" s="364"/>
      <c r="BB10" s="364"/>
      <c r="BC10" s="364"/>
      <c r="BD10" s="364"/>
      <c r="BE10" s="364"/>
      <c r="BF10" s="364"/>
      <c r="BG10" s="364"/>
      <c r="BH10" s="364"/>
      <c r="BI10" s="364"/>
      <c r="BJ10" s="364"/>
      <c r="BK10" s="364"/>
      <c r="BL10" s="364"/>
      <c r="BM10" s="364"/>
      <c r="BN10" s="364"/>
      <c r="BO10" s="364"/>
      <c r="BP10" s="364"/>
      <c r="BQ10" s="364"/>
      <c r="BR10" s="364"/>
      <c r="BS10" s="364"/>
      <c r="BT10" s="364"/>
      <c r="BU10" s="364"/>
      <c r="BV10" s="364"/>
      <c r="BW10" s="364"/>
      <c r="BX10" s="364"/>
      <c r="BY10" s="364"/>
      <c r="BZ10" s="364"/>
      <c r="CA10" s="364"/>
      <c r="CB10" s="364"/>
      <c r="CC10" s="364"/>
      <c r="CD10" s="364"/>
      <c r="CE10" s="364"/>
      <c r="CF10" s="364"/>
      <c r="CG10" s="364"/>
      <c r="CH10" s="364"/>
      <c r="CI10" s="364"/>
      <c r="CJ10" s="364"/>
      <c r="CK10" s="364"/>
      <c r="CL10" s="364"/>
      <c r="CM10" s="364"/>
      <c r="CN10" s="364"/>
      <c r="CO10" s="364"/>
      <c r="CP10" s="364"/>
      <c r="CQ10" s="364"/>
      <c r="CR10" s="364"/>
      <c r="CS10" s="364"/>
      <c r="CT10" s="364"/>
      <c r="CU10" s="364"/>
      <c r="CV10" s="364"/>
      <c r="CW10" s="364"/>
      <c r="CX10" s="364"/>
      <c r="CY10" s="364"/>
      <c r="CZ10" s="364"/>
      <c r="DA10" s="278" t="s">
        <v>151</v>
      </c>
      <c r="DB10" s="279">
        <v>45398</v>
      </c>
      <c r="DC10" s="280" t="s">
        <v>1281</v>
      </c>
      <c r="DD10" s="281">
        <v>0</v>
      </c>
      <c r="DE10" s="281">
        <v>100000</v>
      </c>
      <c r="DF10" s="281">
        <v>81755.05</v>
      </c>
      <c r="DG10" s="282"/>
      <c r="DH10" s="284">
        <v>45398</v>
      </c>
      <c r="DI10" s="284" t="s">
        <v>762</v>
      </c>
      <c r="DJ10" s="285" t="s">
        <v>1282</v>
      </c>
      <c r="DK10" s="286">
        <v>6</v>
      </c>
      <c r="DL10" s="364"/>
      <c r="DM10" s="364"/>
      <c r="DN10" s="364"/>
      <c r="DO10" s="364"/>
      <c r="DP10" s="364"/>
      <c r="DQ10" s="364"/>
      <c r="DR10" s="364"/>
      <c r="DS10" s="364"/>
      <c r="DT10" s="364"/>
      <c r="DU10" s="364"/>
      <c r="DV10" s="364"/>
      <c r="DW10" s="364"/>
      <c r="DX10" s="364"/>
      <c r="DY10" s="364"/>
      <c r="DZ10" s="364"/>
    </row>
    <row r="11" spans="1:130">
      <c r="A11" s="365">
        <v>45406</v>
      </c>
      <c r="B11" s="366">
        <v>45406</v>
      </c>
      <c r="C11" s="367"/>
      <c r="D11" s="368" t="s">
        <v>1251</v>
      </c>
      <c r="E11" s="369" t="s">
        <v>1246</v>
      </c>
      <c r="F11" s="369" t="s">
        <v>1252</v>
      </c>
      <c r="G11" s="370"/>
      <c r="H11" s="371"/>
      <c r="I11" s="372"/>
      <c r="J11" s="373">
        <v>57501</v>
      </c>
      <c r="K11" s="374">
        <v>139256.04999999999</v>
      </c>
      <c r="L11" s="375"/>
      <c r="M11" s="369" t="s">
        <v>1239</v>
      </c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64"/>
      <c r="AC11" s="364"/>
      <c r="AD11" s="364"/>
      <c r="AE11" s="364"/>
      <c r="AF11" s="364"/>
      <c r="AG11" s="364"/>
      <c r="AH11" s="364"/>
      <c r="AI11" s="364"/>
      <c r="AJ11" s="364"/>
      <c r="AK11" s="364"/>
      <c r="AL11" s="364"/>
      <c r="AM11" s="364"/>
      <c r="AN11" s="364"/>
      <c r="AO11" s="364"/>
      <c r="AP11" s="364"/>
      <c r="AQ11" s="364"/>
      <c r="AR11" s="364"/>
      <c r="AS11" s="364"/>
      <c r="AT11" s="364"/>
      <c r="AU11" s="364"/>
      <c r="AV11" s="364"/>
      <c r="AW11" s="364"/>
      <c r="AX11" s="364"/>
      <c r="AY11" s="364"/>
      <c r="AZ11" s="364"/>
      <c r="BA11" s="364"/>
      <c r="BB11" s="364"/>
      <c r="BC11" s="364"/>
      <c r="BD11" s="364"/>
      <c r="BE11" s="364"/>
      <c r="BF11" s="364"/>
      <c r="BG11" s="364"/>
      <c r="BH11" s="364"/>
      <c r="BI11" s="364"/>
      <c r="BJ11" s="364"/>
      <c r="BK11" s="364"/>
      <c r="BL11" s="364"/>
      <c r="BM11" s="364"/>
      <c r="BN11" s="364"/>
      <c r="BO11" s="364"/>
      <c r="BP11" s="364"/>
      <c r="BQ11" s="364"/>
      <c r="BR11" s="364"/>
      <c r="BS11" s="364"/>
      <c r="BT11" s="364"/>
      <c r="BU11" s="364"/>
      <c r="BV11" s="364"/>
      <c r="BW11" s="364"/>
      <c r="BX11" s="364"/>
      <c r="BY11" s="364"/>
      <c r="BZ11" s="364"/>
      <c r="CA11" s="364"/>
      <c r="CB11" s="364"/>
      <c r="CC11" s="364"/>
      <c r="CD11" s="364"/>
      <c r="CE11" s="364"/>
      <c r="CF11" s="364"/>
      <c r="CG11" s="364"/>
      <c r="CH11" s="364"/>
      <c r="CI11" s="364"/>
      <c r="CJ11" s="364"/>
      <c r="CK11" s="364"/>
      <c r="CL11" s="364"/>
      <c r="CM11" s="364"/>
      <c r="CN11" s="364"/>
      <c r="CO11" s="364"/>
      <c r="CP11" s="364"/>
      <c r="CQ11" s="364"/>
      <c r="CR11" s="364"/>
      <c r="CS11" s="364"/>
      <c r="CT11" s="364"/>
      <c r="CU11" s="364"/>
      <c r="CV11" s="364"/>
      <c r="CW11" s="364"/>
      <c r="CX11" s="364"/>
      <c r="CY11" s="364"/>
      <c r="CZ11" s="364"/>
      <c r="DA11" s="278" t="s">
        <v>151</v>
      </c>
      <c r="DB11" s="279">
        <v>45406</v>
      </c>
      <c r="DC11" s="280" t="s">
        <v>1283</v>
      </c>
      <c r="DD11" s="281">
        <v>0</v>
      </c>
      <c r="DE11" s="281">
        <v>0</v>
      </c>
      <c r="DF11" s="281">
        <v>139256.04999999999</v>
      </c>
      <c r="DG11" s="282" t="s">
        <v>1303</v>
      </c>
      <c r="DH11" s="284">
        <v>45406</v>
      </c>
      <c r="DI11" s="284" t="s">
        <v>767</v>
      </c>
      <c r="DJ11" s="285" t="s">
        <v>1304</v>
      </c>
      <c r="DK11" s="286">
        <v>7</v>
      </c>
      <c r="DL11" s="364"/>
      <c r="DM11" s="364"/>
      <c r="DN11" s="364"/>
      <c r="DO11" s="364"/>
      <c r="DP11" s="364"/>
      <c r="DQ11" s="364"/>
      <c r="DR11" s="364"/>
      <c r="DS11" s="364"/>
      <c r="DT11" s="364"/>
      <c r="DU11" s="364"/>
      <c r="DV11" s="364"/>
      <c r="DW11" s="364"/>
      <c r="DX11" s="364"/>
      <c r="DY11" s="364"/>
      <c r="DZ11" s="364"/>
    </row>
    <row r="12" spans="1:130">
      <c r="A12" s="365">
        <v>45406</v>
      </c>
      <c r="B12" s="366">
        <v>45406</v>
      </c>
      <c r="C12" s="367"/>
      <c r="D12" s="368" t="s">
        <v>1236</v>
      </c>
      <c r="E12" s="369" t="s">
        <v>1237</v>
      </c>
      <c r="F12" s="369" t="s">
        <v>1253</v>
      </c>
      <c r="G12" s="370"/>
      <c r="H12" s="371"/>
      <c r="I12" s="372"/>
      <c r="J12" s="373">
        <v>100000</v>
      </c>
      <c r="K12" s="374">
        <v>239256.05</v>
      </c>
      <c r="L12" s="375"/>
      <c r="M12" s="369" t="s">
        <v>1239</v>
      </c>
      <c r="N12" s="364"/>
      <c r="O12" s="364"/>
      <c r="P12" s="364"/>
      <c r="Q12" s="364"/>
      <c r="R12" s="364"/>
      <c r="S12" s="364"/>
      <c r="T12" s="364"/>
      <c r="U12" s="364"/>
      <c r="V12" s="364"/>
      <c r="W12" s="364"/>
      <c r="X12" s="364"/>
      <c r="Y12" s="364"/>
      <c r="Z12" s="364"/>
      <c r="AA12" s="364"/>
      <c r="AB12" s="364"/>
      <c r="AC12" s="364"/>
      <c r="AD12" s="364"/>
      <c r="AE12" s="364"/>
      <c r="AF12" s="364"/>
      <c r="AG12" s="364"/>
      <c r="AH12" s="364"/>
      <c r="AI12" s="364"/>
      <c r="AJ12" s="364"/>
      <c r="AK12" s="364"/>
      <c r="AL12" s="364"/>
      <c r="AM12" s="364"/>
      <c r="AN12" s="364"/>
      <c r="AO12" s="364"/>
      <c r="AP12" s="364"/>
      <c r="AQ12" s="364"/>
      <c r="AR12" s="364"/>
      <c r="AS12" s="364"/>
      <c r="AT12" s="364"/>
      <c r="AU12" s="364"/>
      <c r="AV12" s="364"/>
      <c r="AW12" s="364"/>
      <c r="AX12" s="364"/>
      <c r="AY12" s="364"/>
      <c r="AZ12" s="364"/>
      <c r="BA12" s="364"/>
      <c r="BB12" s="364"/>
      <c r="BC12" s="364"/>
      <c r="BD12" s="364"/>
      <c r="BE12" s="364"/>
      <c r="BF12" s="364"/>
      <c r="BG12" s="364"/>
      <c r="BH12" s="364"/>
      <c r="BI12" s="364"/>
      <c r="BJ12" s="364"/>
      <c r="BK12" s="364"/>
      <c r="BL12" s="364"/>
      <c r="BM12" s="364"/>
      <c r="BN12" s="364"/>
      <c r="BO12" s="364"/>
      <c r="BP12" s="364"/>
      <c r="BQ12" s="364"/>
      <c r="BR12" s="364"/>
      <c r="BS12" s="364"/>
      <c r="BT12" s="364"/>
      <c r="BU12" s="364"/>
      <c r="BV12" s="364"/>
      <c r="BW12" s="364"/>
      <c r="BX12" s="364"/>
      <c r="BY12" s="364"/>
      <c r="BZ12" s="364"/>
      <c r="CA12" s="364"/>
      <c r="CB12" s="364"/>
      <c r="CC12" s="364"/>
      <c r="CD12" s="364"/>
      <c r="CE12" s="364"/>
      <c r="CF12" s="364"/>
      <c r="CG12" s="364"/>
      <c r="CH12" s="364"/>
      <c r="CI12" s="364"/>
      <c r="CJ12" s="364"/>
      <c r="CK12" s="364"/>
      <c r="CL12" s="364"/>
      <c r="CM12" s="364"/>
      <c r="CN12" s="364"/>
      <c r="CO12" s="364"/>
      <c r="CP12" s="364"/>
      <c r="CQ12" s="364"/>
      <c r="CR12" s="364"/>
      <c r="CS12" s="364"/>
      <c r="CT12" s="364"/>
      <c r="CU12" s="364"/>
      <c r="CV12" s="364"/>
      <c r="CW12" s="364"/>
      <c r="CX12" s="364"/>
      <c r="CY12" s="364"/>
      <c r="CZ12" s="364"/>
      <c r="DA12" s="278" t="s">
        <v>151</v>
      </c>
      <c r="DB12" s="279">
        <v>45406</v>
      </c>
      <c r="DC12" s="280" t="s">
        <v>1284</v>
      </c>
      <c r="DD12" s="281">
        <v>0</v>
      </c>
      <c r="DE12" s="281">
        <v>0</v>
      </c>
      <c r="DF12" s="281">
        <v>239256.05</v>
      </c>
      <c r="DG12" s="282" t="s">
        <v>944</v>
      </c>
      <c r="DH12" s="284">
        <v>45406</v>
      </c>
      <c r="DI12" s="284" t="s">
        <v>767</v>
      </c>
      <c r="DJ12" s="285" t="s">
        <v>1300</v>
      </c>
      <c r="DK12" s="286">
        <v>8</v>
      </c>
      <c r="DL12" s="364"/>
      <c r="DM12" s="364"/>
      <c r="DN12" s="364"/>
      <c r="DO12" s="364"/>
      <c r="DP12" s="364"/>
      <c r="DQ12" s="364"/>
      <c r="DR12" s="364"/>
      <c r="DS12" s="364"/>
      <c r="DT12" s="364"/>
      <c r="DU12" s="364"/>
      <c r="DV12" s="364"/>
      <c r="DW12" s="364"/>
      <c r="DX12" s="364"/>
      <c r="DY12" s="364"/>
      <c r="DZ12" s="364"/>
    </row>
    <row r="13" spans="1:130">
      <c r="A13" s="365">
        <v>45408</v>
      </c>
      <c r="B13" s="366">
        <v>45408</v>
      </c>
      <c r="C13" s="367"/>
      <c r="D13" s="368" t="s">
        <v>1249</v>
      </c>
      <c r="E13" s="369" t="s">
        <v>1246</v>
      </c>
      <c r="F13" s="369" t="s">
        <v>1254</v>
      </c>
      <c r="G13" s="370"/>
      <c r="H13" s="374">
        <v>100000</v>
      </c>
      <c r="I13" s="375"/>
      <c r="J13" s="370"/>
      <c r="K13" s="374">
        <v>139256.04999999999</v>
      </c>
      <c r="L13" s="375"/>
      <c r="M13" s="369" t="s">
        <v>1239</v>
      </c>
      <c r="N13" s="364"/>
      <c r="O13" s="364"/>
      <c r="P13" s="364"/>
      <c r="Q13" s="364"/>
      <c r="R13" s="364"/>
      <c r="S13" s="364"/>
      <c r="T13" s="364"/>
      <c r="U13" s="364"/>
      <c r="V13" s="364"/>
      <c r="W13" s="364"/>
      <c r="X13" s="364"/>
      <c r="Y13" s="364"/>
      <c r="Z13" s="364"/>
      <c r="AA13" s="364"/>
      <c r="AB13" s="364"/>
      <c r="AC13" s="364"/>
      <c r="AD13" s="364"/>
      <c r="AE13" s="364"/>
      <c r="AF13" s="364"/>
      <c r="AG13" s="364"/>
      <c r="AH13" s="364"/>
      <c r="AI13" s="364"/>
      <c r="AJ13" s="364"/>
      <c r="AK13" s="364"/>
      <c r="AL13" s="364"/>
      <c r="AM13" s="364"/>
      <c r="AN13" s="364"/>
      <c r="AO13" s="364"/>
      <c r="AP13" s="364"/>
      <c r="AQ13" s="364"/>
      <c r="AR13" s="364"/>
      <c r="AS13" s="364"/>
      <c r="AT13" s="364"/>
      <c r="AU13" s="364"/>
      <c r="AV13" s="364"/>
      <c r="AW13" s="364"/>
      <c r="AX13" s="364"/>
      <c r="AY13" s="364"/>
      <c r="AZ13" s="364"/>
      <c r="BA13" s="364"/>
      <c r="BB13" s="364"/>
      <c r="BC13" s="364"/>
      <c r="BD13" s="364"/>
      <c r="BE13" s="364"/>
      <c r="BF13" s="364"/>
      <c r="BG13" s="364"/>
      <c r="BH13" s="364"/>
      <c r="BI13" s="364"/>
      <c r="BJ13" s="364"/>
      <c r="BK13" s="364"/>
      <c r="BL13" s="364"/>
      <c r="BM13" s="364"/>
      <c r="BN13" s="364"/>
      <c r="BO13" s="364"/>
      <c r="BP13" s="364"/>
      <c r="BQ13" s="364"/>
      <c r="BR13" s="364"/>
      <c r="BS13" s="364"/>
      <c r="BT13" s="364"/>
      <c r="BU13" s="364"/>
      <c r="BV13" s="364"/>
      <c r="BW13" s="364"/>
      <c r="BX13" s="364"/>
      <c r="BY13" s="364"/>
      <c r="BZ13" s="364"/>
      <c r="CA13" s="364"/>
      <c r="CB13" s="364"/>
      <c r="CC13" s="364"/>
      <c r="CD13" s="364"/>
      <c r="CE13" s="364"/>
      <c r="CF13" s="364"/>
      <c r="CG13" s="364"/>
      <c r="CH13" s="364"/>
      <c r="CI13" s="364"/>
      <c r="CJ13" s="364"/>
      <c r="CK13" s="364"/>
      <c r="CL13" s="364"/>
      <c r="CM13" s="364"/>
      <c r="CN13" s="364"/>
      <c r="CO13" s="364"/>
      <c r="CP13" s="364"/>
      <c r="CQ13" s="364"/>
      <c r="CR13" s="364"/>
      <c r="CS13" s="364"/>
      <c r="CT13" s="364"/>
      <c r="CU13" s="364"/>
      <c r="CV13" s="364"/>
      <c r="CW13" s="364"/>
      <c r="CX13" s="364"/>
      <c r="CY13" s="364"/>
      <c r="CZ13" s="364"/>
      <c r="DA13" s="278" t="s">
        <v>151</v>
      </c>
      <c r="DB13" s="279">
        <v>45408</v>
      </c>
      <c r="DC13" s="280" t="s">
        <v>1285</v>
      </c>
      <c r="DD13" s="281">
        <v>0</v>
      </c>
      <c r="DE13" s="281">
        <v>100000</v>
      </c>
      <c r="DF13" s="281">
        <v>139256.04999999999</v>
      </c>
      <c r="DG13" s="282"/>
      <c r="DH13" s="284">
        <v>45408</v>
      </c>
      <c r="DI13" s="284" t="s">
        <v>762</v>
      </c>
      <c r="DJ13" s="285" t="s">
        <v>1282</v>
      </c>
      <c r="DK13" s="286">
        <v>9</v>
      </c>
      <c r="DL13" s="364"/>
      <c r="DM13" s="364"/>
      <c r="DN13" s="364"/>
      <c r="DO13" s="364"/>
      <c r="DP13" s="364"/>
      <c r="DQ13" s="364"/>
      <c r="DR13" s="364"/>
      <c r="DS13" s="364"/>
      <c r="DT13" s="364"/>
      <c r="DU13" s="364"/>
      <c r="DV13" s="364"/>
      <c r="DW13" s="364"/>
      <c r="DX13" s="364"/>
      <c r="DY13" s="364"/>
      <c r="DZ13" s="364"/>
    </row>
    <row r="14" spans="1:130" ht="45">
      <c r="A14" s="365">
        <v>45411</v>
      </c>
      <c r="B14" s="366">
        <v>45411</v>
      </c>
      <c r="C14" s="367"/>
      <c r="D14" s="376" t="s">
        <v>1255</v>
      </c>
      <c r="E14" s="369" t="s">
        <v>1241</v>
      </c>
      <c r="F14" s="369" t="s">
        <v>1256</v>
      </c>
      <c r="G14" s="370"/>
      <c r="H14" s="374">
        <v>93028</v>
      </c>
      <c r="I14" s="375"/>
      <c r="J14" s="370"/>
      <c r="K14" s="374">
        <v>46228.05</v>
      </c>
      <c r="L14" s="375"/>
      <c r="M14" s="369" t="s">
        <v>1239</v>
      </c>
      <c r="N14" s="364"/>
      <c r="O14" s="364"/>
      <c r="P14" s="364"/>
      <c r="Q14" s="364"/>
      <c r="R14" s="364"/>
      <c r="S14" s="364"/>
      <c r="T14" s="364"/>
      <c r="U14" s="364"/>
      <c r="V14" s="364"/>
      <c r="W14" s="364"/>
      <c r="X14" s="364"/>
      <c r="Y14" s="364"/>
      <c r="Z14" s="364"/>
      <c r="AA14" s="364"/>
      <c r="AB14" s="364"/>
      <c r="AC14" s="364"/>
      <c r="AD14" s="364"/>
      <c r="AE14" s="364"/>
      <c r="AF14" s="364"/>
      <c r="AG14" s="364"/>
      <c r="AH14" s="364"/>
      <c r="AI14" s="364"/>
      <c r="AJ14" s="364"/>
      <c r="AK14" s="364"/>
      <c r="AL14" s="364"/>
      <c r="AM14" s="364"/>
      <c r="AN14" s="364"/>
      <c r="AO14" s="364"/>
      <c r="AP14" s="364"/>
      <c r="AQ14" s="364"/>
      <c r="AR14" s="364"/>
      <c r="AS14" s="364"/>
      <c r="AT14" s="364"/>
      <c r="AU14" s="364"/>
      <c r="AV14" s="364"/>
      <c r="AW14" s="364"/>
      <c r="AX14" s="364"/>
      <c r="AY14" s="364"/>
      <c r="AZ14" s="364"/>
      <c r="BA14" s="364"/>
      <c r="BB14" s="364"/>
      <c r="BC14" s="364"/>
      <c r="BD14" s="364"/>
      <c r="BE14" s="364"/>
      <c r="BF14" s="364"/>
      <c r="BG14" s="364"/>
      <c r="BH14" s="364"/>
      <c r="BI14" s="364"/>
      <c r="BJ14" s="364"/>
      <c r="BK14" s="364"/>
      <c r="BL14" s="364"/>
      <c r="BM14" s="364"/>
      <c r="BN14" s="364"/>
      <c r="BO14" s="364"/>
      <c r="BP14" s="364"/>
      <c r="BQ14" s="364"/>
      <c r="BR14" s="364"/>
      <c r="BS14" s="364"/>
      <c r="BT14" s="364"/>
      <c r="BU14" s="364"/>
      <c r="BV14" s="364"/>
      <c r="BW14" s="364"/>
      <c r="BX14" s="364"/>
      <c r="BY14" s="364"/>
      <c r="BZ14" s="364"/>
      <c r="CA14" s="364"/>
      <c r="CB14" s="364"/>
      <c r="CC14" s="364"/>
      <c r="CD14" s="364"/>
      <c r="CE14" s="364"/>
      <c r="CF14" s="364"/>
      <c r="CG14" s="364"/>
      <c r="CH14" s="364"/>
      <c r="CI14" s="364"/>
      <c r="CJ14" s="364"/>
      <c r="CK14" s="364"/>
      <c r="CL14" s="364"/>
      <c r="CM14" s="364"/>
      <c r="CN14" s="364"/>
      <c r="CO14" s="364"/>
      <c r="CP14" s="364"/>
      <c r="CQ14" s="364"/>
      <c r="CR14" s="364"/>
      <c r="CS14" s="364"/>
      <c r="CT14" s="364"/>
      <c r="CU14" s="364"/>
      <c r="CV14" s="364"/>
      <c r="CW14" s="364"/>
      <c r="CX14" s="364"/>
      <c r="CY14" s="364"/>
      <c r="CZ14" s="364"/>
      <c r="DA14" s="278" t="s">
        <v>151</v>
      </c>
      <c r="DB14" s="279">
        <v>45411</v>
      </c>
      <c r="DC14" s="280" t="s">
        <v>1286</v>
      </c>
      <c r="DD14" s="281">
        <v>0</v>
      </c>
      <c r="DE14" s="281">
        <v>93028</v>
      </c>
      <c r="DF14" s="281">
        <v>46228.05</v>
      </c>
      <c r="DG14" s="282"/>
      <c r="DH14" s="284">
        <v>45411</v>
      </c>
      <c r="DI14" s="284" t="s">
        <v>762</v>
      </c>
      <c r="DJ14" s="378" t="s">
        <v>1305</v>
      </c>
      <c r="DK14" s="286">
        <v>10</v>
      </c>
      <c r="DL14" s="364"/>
      <c r="DM14" s="364"/>
      <c r="DN14" s="364"/>
      <c r="DO14" s="364"/>
      <c r="DP14" s="364"/>
      <c r="DQ14" s="364"/>
      <c r="DR14" s="364"/>
      <c r="DS14" s="364"/>
      <c r="DT14" s="364"/>
      <c r="DU14" s="364"/>
      <c r="DV14" s="364"/>
      <c r="DW14" s="364"/>
      <c r="DX14" s="364"/>
      <c r="DY14" s="364"/>
      <c r="DZ14" s="364"/>
    </row>
    <row r="15" spans="1:130">
      <c r="A15" s="365">
        <v>45412</v>
      </c>
      <c r="B15" s="366">
        <v>45412</v>
      </c>
      <c r="C15" s="367"/>
      <c r="D15" s="368" t="s">
        <v>1257</v>
      </c>
      <c r="E15" s="369" t="s">
        <v>1246</v>
      </c>
      <c r="F15" s="369" t="s">
        <v>1258</v>
      </c>
      <c r="G15" s="370"/>
      <c r="H15" s="374">
        <v>21251</v>
      </c>
      <c r="I15" s="375"/>
      <c r="J15" s="370"/>
      <c r="K15" s="374">
        <v>24977.05</v>
      </c>
      <c r="L15" s="375"/>
      <c r="M15" s="369" t="s">
        <v>1239</v>
      </c>
      <c r="N15" s="364"/>
      <c r="O15" s="364"/>
      <c r="P15" s="364"/>
      <c r="Q15" s="364"/>
      <c r="R15" s="364"/>
      <c r="S15" s="364"/>
      <c r="T15" s="364"/>
      <c r="U15" s="364"/>
      <c r="V15" s="364"/>
      <c r="W15" s="364"/>
      <c r="X15" s="364"/>
      <c r="Y15" s="364"/>
      <c r="Z15" s="364"/>
      <c r="AA15" s="364"/>
      <c r="AB15" s="364"/>
      <c r="AC15" s="364"/>
      <c r="AD15" s="364"/>
      <c r="AE15" s="364"/>
      <c r="AF15" s="364"/>
      <c r="AG15" s="364"/>
      <c r="AH15" s="364"/>
      <c r="AI15" s="364"/>
      <c r="AJ15" s="364"/>
      <c r="AK15" s="364"/>
      <c r="AL15" s="364"/>
      <c r="AM15" s="364"/>
      <c r="AN15" s="364"/>
      <c r="AO15" s="364"/>
      <c r="AP15" s="364"/>
      <c r="AQ15" s="364"/>
      <c r="AR15" s="364"/>
      <c r="AS15" s="364"/>
      <c r="AT15" s="364"/>
      <c r="AU15" s="364"/>
      <c r="AV15" s="364"/>
      <c r="AW15" s="364"/>
      <c r="AX15" s="364"/>
      <c r="AY15" s="364"/>
      <c r="AZ15" s="364"/>
      <c r="BA15" s="364"/>
      <c r="BB15" s="364"/>
      <c r="BC15" s="364"/>
      <c r="BD15" s="364"/>
      <c r="BE15" s="364"/>
      <c r="BF15" s="364"/>
      <c r="BG15" s="364"/>
      <c r="BH15" s="364"/>
      <c r="BI15" s="364"/>
      <c r="BJ15" s="364"/>
      <c r="BK15" s="364"/>
      <c r="BL15" s="364"/>
      <c r="BM15" s="364"/>
      <c r="BN15" s="364"/>
      <c r="BO15" s="364"/>
      <c r="BP15" s="364"/>
      <c r="BQ15" s="364"/>
      <c r="BR15" s="364"/>
      <c r="BS15" s="364"/>
      <c r="BT15" s="364"/>
      <c r="BU15" s="364"/>
      <c r="BV15" s="364"/>
      <c r="BW15" s="364"/>
      <c r="BX15" s="364"/>
      <c r="BY15" s="364"/>
      <c r="BZ15" s="364"/>
      <c r="CA15" s="364"/>
      <c r="CB15" s="364"/>
      <c r="CC15" s="364"/>
      <c r="CD15" s="364"/>
      <c r="CE15" s="364"/>
      <c r="CF15" s="364"/>
      <c r="CG15" s="364"/>
      <c r="CH15" s="364"/>
      <c r="CI15" s="364"/>
      <c r="CJ15" s="364"/>
      <c r="CK15" s="364"/>
      <c r="CL15" s="364"/>
      <c r="CM15" s="364"/>
      <c r="CN15" s="364"/>
      <c r="CO15" s="364"/>
      <c r="CP15" s="364"/>
      <c r="CQ15" s="364"/>
      <c r="CR15" s="364"/>
      <c r="CS15" s="364"/>
      <c r="CT15" s="364"/>
      <c r="CU15" s="364"/>
      <c r="CV15" s="364"/>
      <c r="CW15" s="364"/>
      <c r="CX15" s="364"/>
      <c r="CY15" s="364"/>
      <c r="CZ15" s="364"/>
      <c r="DA15" s="278" t="s">
        <v>151</v>
      </c>
      <c r="DB15" s="279">
        <v>45412</v>
      </c>
      <c r="DC15" s="280" t="s">
        <v>1287</v>
      </c>
      <c r="DD15" s="281">
        <v>0</v>
      </c>
      <c r="DE15" s="281">
        <v>21251</v>
      </c>
      <c r="DF15" s="281">
        <v>24977.05</v>
      </c>
      <c r="DG15" s="282"/>
      <c r="DH15" s="284">
        <v>45412</v>
      </c>
      <c r="DI15" s="284" t="s">
        <v>762</v>
      </c>
      <c r="DJ15" s="285" t="s">
        <v>1288</v>
      </c>
      <c r="DK15" s="286">
        <v>11</v>
      </c>
      <c r="DL15" s="364"/>
      <c r="DM15" s="364"/>
      <c r="DN15" s="364"/>
      <c r="DO15" s="364"/>
      <c r="DP15" s="364"/>
      <c r="DQ15" s="364"/>
      <c r="DR15" s="364"/>
      <c r="DS15" s="364"/>
      <c r="DT15" s="364"/>
      <c r="DU15" s="364"/>
      <c r="DV15" s="364"/>
      <c r="DW15" s="364"/>
      <c r="DX15" s="364"/>
      <c r="DY15" s="364"/>
      <c r="DZ15" s="364"/>
    </row>
    <row r="16" spans="1:130">
      <c r="A16" s="365">
        <v>45412</v>
      </c>
      <c r="B16" s="366">
        <v>45412</v>
      </c>
      <c r="C16" s="367"/>
      <c r="D16" s="368" t="s">
        <v>1259</v>
      </c>
      <c r="E16" s="369" t="s">
        <v>1246</v>
      </c>
      <c r="F16" s="369" t="s">
        <v>1258</v>
      </c>
      <c r="G16" s="370"/>
      <c r="H16" s="374">
        <v>4500</v>
      </c>
      <c r="I16" s="375"/>
      <c r="J16" s="370"/>
      <c r="K16" s="374">
        <v>20477.05</v>
      </c>
      <c r="L16" s="375"/>
      <c r="M16" s="369" t="s">
        <v>1239</v>
      </c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64"/>
      <c r="AC16" s="364"/>
      <c r="AD16" s="364"/>
      <c r="AE16" s="364"/>
      <c r="AF16" s="364"/>
      <c r="AG16" s="364"/>
      <c r="AH16" s="364"/>
      <c r="AI16" s="364"/>
      <c r="AJ16" s="364"/>
      <c r="AK16" s="364"/>
      <c r="AL16" s="364"/>
      <c r="AM16" s="364"/>
      <c r="AN16" s="364"/>
      <c r="AO16" s="364"/>
      <c r="AP16" s="364"/>
      <c r="AQ16" s="364"/>
      <c r="AR16" s="364"/>
      <c r="AS16" s="364"/>
      <c r="AT16" s="364"/>
      <c r="AU16" s="364"/>
      <c r="AV16" s="364"/>
      <c r="AW16" s="364"/>
      <c r="AX16" s="364"/>
      <c r="AY16" s="364"/>
      <c r="AZ16" s="364"/>
      <c r="BA16" s="364"/>
      <c r="BB16" s="364"/>
      <c r="BC16" s="364"/>
      <c r="BD16" s="364"/>
      <c r="BE16" s="364"/>
      <c r="BF16" s="364"/>
      <c r="BG16" s="364"/>
      <c r="BH16" s="364"/>
      <c r="BI16" s="364"/>
      <c r="BJ16" s="364"/>
      <c r="BK16" s="364"/>
      <c r="BL16" s="364"/>
      <c r="BM16" s="364"/>
      <c r="BN16" s="364"/>
      <c r="BO16" s="364"/>
      <c r="BP16" s="364"/>
      <c r="BQ16" s="364"/>
      <c r="BR16" s="364"/>
      <c r="BS16" s="364"/>
      <c r="BT16" s="364"/>
      <c r="BU16" s="364"/>
      <c r="BV16" s="364"/>
      <c r="BW16" s="364"/>
      <c r="BX16" s="364"/>
      <c r="BY16" s="364"/>
      <c r="BZ16" s="364"/>
      <c r="CA16" s="364"/>
      <c r="CB16" s="364"/>
      <c r="CC16" s="364"/>
      <c r="CD16" s="364"/>
      <c r="CE16" s="364"/>
      <c r="CF16" s="364"/>
      <c r="CG16" s="364"/>
      <c r="CH16" s="364"/>
      <c r="CI16" s="364"/>
      <c r="CJ16" s="364"/>
      <c r="CK16" s="364"/>
      <c r="CL16" s="364"/>
      <c r="CM16" s="364"/>
      <c r="CN16" s="364"/>
      <c r="CO16" s="364"/>
      <c r="CP16" s="364"/>
      <c r="CQ16" s="364"/>
      <c r="CR16" s="364"/>
      <c r="CS16" s="364"/>
      <c r="CT16" s="364"/>
      <c r="CU16" s="364"/>
      <c r="CV16" s="364"/>
      <c r="CW16" s="364"/>
      <c r="CX16" s="364"/>
      <c r="CY16" s="364"/>
      <c r="CZ16" s="364"/>
      <c r="DA16" s="278" t="s">
        <v>151</v>
      </c>
      <c r="DB16" s="279">
        <v>45412</v>
      </c>
      <c r="DC16" s="280" t="s">
        <v>1289</v>
      </c>
      <c r="DD16" s="281">
        <v>0</v>
      </c>
      <c r="DE16" s="281">
        <v>4500</v>
      </c>
      <c r="DF16" s="281">
        <v>20477.05</v>
      </c>
      <c r="DG16" s="282"/>
      <c r="DH16" s="284">
        <v>45412</v>
      </c>
      <c r="DI16" s="284" t="s">
        <v>762</v>
      </c>
      <c r="DJ16" s="285" t="s">
        <v>1290</v>
      </c>
      <c r="DK16" s="286">
        <v>12</v>
      </c>
      <c r="DL16" s="364"/>
      <c r="DM16" s="364"/>
      <c r="DN16" s="364"/>
      <c r="DO16" s="364"/>
      <c r="DP16" s="364"/>
      <c r="DQ16" s="364"/>
      <c r="DR16" s="364"/>
      <c r="DS16" s="364"/>
      <c r="DT16" s="364"/>
      <c r="DU16" s="364"/>
      <c r="DV16" s="364"/>
      <c r="DW16" s="364"/>
      <c r="DX16" s="364"/>
      <c r="DY16" s="364"/>
      <c r="DZ16" s="364"/>
    </row>
    <row r="17" spans="1:130" ht="45">
      <c r="A17" s="365">
        <v>45429</v>
      </c>
      <c r="B17" s="366">
        <v>45429</v>
      </c>
      <c r="C17" s="367"/>
      <c r="D17" s="376" t="s">
        <v>1260</v>
      </c>
      <c r="E17" s="369" t="s">
        <v>1241</v>
      </c>
      <c r="F17" s="369" t="s">
        <v>1261</v>
      </c>
      <c r="G17" s="370"/>
      <c r="H17" s="371"/>
      <c r="I17" s="372"/>
      <c r="J17" s="373">
        <v>39527</v>
      </c>
      <c r="K17" s="374">
        <v>60004.05</v>
      </c>
      <c r="L17" s="375"/>
      <c r="M17" s="369" t="s">
        <v>1239</v>
      </c>
      <c r="N17" s="364"/>
      <c r="O17" s="364"/>
      <c r="P17" s="364"/>
      <c r="Q17" s="364"/>
      <c r="R17" s="364"/>
      <c r="S17" s="364"/>
      <c r="T17" s="364"/>
      <c r="U17" s="364"/>
      <c r="V17" s="364"/>
      <c r="W17" s="364"/>
      <c r="X17" s="364"/>
      <c r="Y17" s="364"/>
      <c r="Z17" s="364"/>
      <c r="AA17" s="364"/>
      <c r="AB17" s="364"/>
      <c r="AC17" s="364"/>
      <c r="AD17" s="364"/>
      <c r="AE17" s="364"/>
      <c r="AF17" s="364"/>
      <c r="AG17" s="364"/>
      <c r="AH17" s="364"/>
      <c r="AI17" s="364"/>
      <c r="AJ17" s="364"/>
      <c r="AK17" s="364"/>
      <c r="AL17" s="364"/>
      <c r="AM17" s="364"/>
      <c r="AN17" s="364"/>
      <c r="AO17" s="364"/>
      <c r="AP17" s="364"/>
      <c r="AQ17" s="364"/>
      <c r="AR17" s="364"/>
      <c r="AS17" s="364"/>
      <c r="AT17" s="364"/>
      <c r="AU17" s="364"/>
      <c r="AV17" s="364"/>
      <c r="AW17" s="364"/>
      <c r="AX17" s="364"/>
      <c r="AY17" s="364"/>
      <c r="AZ17" s="364"/>
      <c r="BA17" s="364"/>
      <c r="BB17" s="364"/>
      <c r="BC17" s="364"/>
      <c r="BD17" s="364"/>
      <c r="BE17" s="364"/>
      <c r="BF17" s="364"/>
      <c r="BG17" s="364"/>
      <c r="BH17" s="364"/>
      <c r="BI17" s="364"/>
      <c r="BJ17" s="364"/>
      <c r="BK17" s="364"/>
      <c r="BL17" s="364"/>
      <c r="BM17" s="364"/>
      <c r="BN17" s="364"/>
      <c r="BO17" s="364"/>
      <c r="BP17" s="364"/>
      <c r="BQ17" s="364"/>
      <c r="BR17" s="364"/>
      <c r="BS17" s="364"/>
      <c r="BT17" s="364"/>
      <c r="BU17" s="364"/>
      <c r="BV17" s="364"/>
      <c r="BW17" s="364"/>
      <c r="BX17" s="364"/>
      <c r="BY17" s="364"/>
      <c r="BZ17" s="364"/>
      <c r="CA17" s="364"/>
      <c r="CB17" s="364"/>
      <c r="CC17" s="364"/>
      <c r="CD17" s="364"/>
      <c r="CE17" s="364"/>
      <c r="CF17" s="364"/>
      <c r="CG17" s="364"/>
      <c r="CH17" s="364"/>
      <c r="CI17" s="364"/>
      <c r="CJ17" s="364"/>
      <c r="CK17" s="364"/>
      <c r="CL17" s="364"/>
      <c r="CM17" s="364"/>
      <c r="CN17" s="364"/>
      <c r="CO17" s="364"/>
      <c r="CP17" s="364"/>
      <c r="CQ17" s="364"/>
      <c r="CR17" s="364"/>
      <c r="CS17" s="364"/>
      <c r="CT17" s="364"/>
      <c r="CU17" s="364"/>
      <c r="CV17" s="364"/>
      <c r="CW17" s="364"/>
      <c r="CX17" s="364"/>
      <c r="CY17" s="364"/>
      <c r="CZ17" s="364"/>
      <c r="DA17" s="278" t="s">
        <v>151</v>
      </c>
      <c r="DB17" s="279">
        <v>45429</v>
      </c>
      <c r="DC17" s="280" t="s">
        <v>1291</v>
      </c>
      <c r="DD17" s="281">
        <v>0</v>
      </c>
      <c r="DE17" s="281">
        <v>0</v>
      </c>
      <c r="DF17" s="281">
        <v>60004.05</v>
      </c>
      <c r="DG17" s="282"/>
      <c r="DH17" s="284">
        <v>45429</v>
      </c>
      <c r="DI17" s="284" t="s">
        <v>767</v>
      </c>
      <c r="DJ17" s="378" t="s">
        <v>1306</v>
      </c>
      <c r="DK17" s="286">
        <v>13</v>
      </c>
      <c r="DL17" s="364"/>
      <c r="DM17" s="364"/>
      <c r="DN17" s="364"/>
      <c r="DO17" s="364"/>
      <c r="DP17" s="364"/>
      <c r="DQ17" s="364"/>
      <c r="DR17" s="364"/>
      <c r="DS17" s="364"/>
      <c r="DT17" s="364"/>
      <c r="DU17" s="364"/>
      <c r="DV17" s="364"/>
      <c r="DW17" s="364"/>
      <c r="DX17" s="364"/>
      <c r="DY17" s="364"/>
      <c r="DZ17" s="364"/>
    </row>
    <row r="18" spans="1:130">
      <c r="A18" s="365">
        <v>45439</v>
      </c>
      <c r="B18" s="366">
        <v>45439</v>
      </c>
      <c r="C18" s="367"/>
      <c r="D18" s="368" t="s">
        <v>1262</v>
      </c>
      <c r="E18" s="369" t="s">
        <v>1263</v>
      </c>
      <c r="F18" s="369" t="s">
        <v>1264</v>
      </c>
      <c r="G18" s="370"/>
      <c r="H18" s="371"/>
      <c r="I18" s="372"/>
      <c r="J18" s="373">
        <v>660000</v>
      </c>
      <c r="K18" s="374">
        <v>720004.05</v>
      </c>
      <c r="L18" s="375"/>
      <c r="M18" s="369" t="s">
        <v>1239</v>
      </c>
      <c r="N18" s="364"/>
      <c r="O18" s="364"/>
      <c r="P18" s="364"/>
      <c r="Q18" s="364"/>
      <c r="R18" s="364"/>
      <c r="S18" s="364"/>
      <c r="T18" s="364"/>
      <c r="U18" s="364"/>
      <c r="V18" s="364"/>
      <c r="W18" s="364"/>
      <c r="X18" s="364"/>
      <c r="Y18" s="364"/>
      <c r="Z18" s="364"/>
      <c r="AA18" s="364"/>
      <c r="AB18" s="364"/>
      <c r="AC18" s="364"/>
      <c r="AD18" s="364"/>
      <c r="AE18" s="364"/>
      <c r="AF18" s="364"/>
      <c r="AG18" s="364"/>
      <c r="AH18" s="364"/>
      <c r="AI18" s="364"/>
      <c r="AJ18" s="364"/>
      <c r="AK18" s="364"/>
      <c r="AL18" s="364"/>
      <c r="AM18" s="364"/>
      <c r="AN18" s="364"/>
      <c r="AO18" s="364"/>
      <c r="AP18" s="364"/>
      <c r="AQ18" s="364"/>
      <c r="AR18" s="364"/>
      <c r="AS18" s="364"/>
      <c r="AT18" s="364"/>
      <c r="AU18" s="364"/>
      <c r="AV18" s="364"/>
      <c r="AW18" s="364"/>
      <c r="AX18" s="364"/>
      <c r="AY18" s="364"/>
      <c r="AZ18" s="364"/>
      <c r="BA18" s="364"/>
      <c r="BB18" s="364"/>
      <c r="BC18" s="364"/>
      <c r="BD18" s="364"/>
      <c r="BE18" s="364"/>
      <c r="BF18" s="364"/>
      <c r="BG18" s="364"/>
      <c r="BH18" s="364"/>
      <c r="BI18" s="364"/>
      <c r="BJ18" s="364"/>
      <c r="BK18" s="364"/>
      <c r="BL18" s="364"/>
      <c r="BM18" s="364"/>
      <c r="BN18" s="364"/>
      <c r="BO18" s="364"/>
      <c r="BP18" s="364"/>
      <c r="BQ18" s="364"/>
      <c r="BR18" s="364"/>
      <c r="BS18" s="364"/>
      <c r="BT18" s="364"/>
      <c r="BU18" s="364"/>
      <c r="BV18" s="364"/>
      <c r="BW18" s="364"/>
      <c r="BX18" s="364"/>
      <c r="BY18" s="364"/>
      <c r="BZ18" s="364"/>
      <c r="CA18" s="364"/>
      <c r="CB18" s="364"/>
      <c r="CC18" s="364"/>
      <c r="CD18" s="364"/>
      <c r="CE18" s="364"/>
      <c r="CF18" s="364"/>
      <c r="CG18" s="364"/>
      <c r="CH18" s="364"/>
      <c r="CI18" s="364"/>
      <c r="CJ18" s="364"/>
      <c r="CK18" s="364"/>
      <c r="CL18" s="364"/>
      <c r="CM18" s="364"/>
      <c r="CN18" s="364"/>
      <c r="CO18" s="364"/>
      <c r="CP18" s="364"/>
      <c r="CQ18" s="364"/>
      <c r="CR18" s="364"/>
      <c r="CS18" s="364"/>
      <c r="CT18" s="364"/>
      <c r="CU18" s="364"/>
      <c r="CV18" s="364"/>
      <c r="CW18" s="364"/>
      <c r="CX18" s="364"/>
      <c r="CY18" s="364"/>
      <c r="CZ18" s="364"/>
      <c r="DA18" s="278" t="s">
        <v>151</v>
      </c>
      <c r="DB18" s="279">
        <v>45439</v>
      </c>
      <c r="DC18" s="280" t="s">
        <v>1292</v>
      </c>
      <c r="DD18" s="281">
        <v>0</v>
      </c>
      <c r="DE18" s="281">
        <v>0</v>
      </c>
      <c r="DF18" s="281">
        <v>720004.05</v>
      </c>
      <c r="DG18" s="282"/>
      <c r="DH18" s="284">
        <v>45439</v>
      </c>
      <c r="DI18" s="284" t="s">
        <v>767</v>
      </c>
      <c r="DJ18" s="285" t="s">
        <v>1293</v>
      </c>
      <c r="DK18" s="286">
        <v>14</v>
      </c>
      <c r="DL18" s="364"/>
      <c r="DM18" s="364"/>
      <c r="DN18" s="364"/>
      <c r="DO18" s="364"/>
      <c r="DP18" s="364"/>
      <c r="DQ18" s="364"/>
      <c r="DR18" s="364"/>
      <c r="DS18" s="364"/>
      <c r="DT18" s="364"/>
      <c r="DU18" s="364"/>
      <c r="DV18" s="364"/>
      <c r="DW18" s="364"/>
      <c r="DX18" s="364"/>
      <c r="DY18" s="364"/>
      <c r="DZ18" s="364"/>
    </row>
    <row r="19" spans="1:130" ht="45">
      <c r="A19" s="365">
        <v>45440</v>
      </c>
      <c r="B19" s="366">
        <v>45440</v>
      </c>
      <c r="C19" s="367"/>
      <c r="D19" s="376" t="s">
        <v>1265</v>
      </c>
      <c r="E19" s="369" t="s">
        <v>1241</v>
      </c>
      <c r="F19" s="369" t="s">
        <v>1266</v>
      </c>
      <c r="G19" s="370"/>
      <c r="H19" s="374">
        <v>68588</v>
      </c>
      <c r="I19" s="375"/>
      <c r="J19" s="370"/>
      <c r="K19" s="374">
        <v>651416.05000000005</v>
      </c>
      <c r="L19" s="375"/>
      <c r="M19" s="369" t="s">
        <v>1239</v>
      </c>
      <c r="N19" s="364"/>
      <c r="O19" s="364"/>
      <c r="P19" s="364"/>
      <c r="Q19" s="364"/>
      <c r="R19" s="364"/>
      <c r="S19" s="364"/>
      <c r="T19" s="364"/>
      <c r="U19" s="364"/>
      <c r="V19" s="364"/>
      <c r="W19" s="364"/>
      <c r="X19" s="364"/>
      <c r="Y19" s="364"/>
      <c r="Z19" s="364"/>
      <c r="AA19" s="364"/>
      <c r="AB19" s="364"/>
      <c r="AC19" s="364"/>
      <c r="AD19" s="364"/>
      <c r="AE19" s="364"/>
      <c r="AF19" s="364"/>
      <c r="AG19" s="364"/>
      <c r="AH19" s="364"/>
      <c r="AI19" s="364"/>
      <c r="AJ19" s="364"/>
      <c r="AK19" s="364"/>
      <c r="AL19" s="364"/>
      <c r="AM19" s="364"/>
      <c r="AN19" s="364"/>
      <c r="AO19" s="364"/>
      <c r="AP19" s="364"/>
      <c r="AQ19" s="364"/>
      <c r="AR19" s="364"/>
      <c r="AS19" s="364"/>
      <c r="AT19" s="364"/>
      <c r="AU19" s="364"/>
      <c r="AV19" s="364"/>
      <c r="AW19" s="364"/>
      <c r="AX19" s="364"/>
      <c r="AY19" s="364"/>
      <c r="AZ19" s="364"/>
      <c r="BA19" s="364"/>
      <c r="BB19" s="364"/>
      <c r="BC19" s="364"/>
      <c r="BD19" s="364"/>
      <c r="BE19" s="364"/>
      <c r="BF19" s="364"/>
      <c r="BG19" s="364"/>
      <c r="BH19" s="364"/>
      <c r="BI19" s="364"/>
      <c r="BJ19" s="364"/>
      <c r="BK19" s="364"/>
      <c r="BL19" s="364"/>
      <c r="BM19" s="364"/>
      <c r="BN19" s="364"/>
      <c r="BO19" s="364"/>
      <c r="BP19" s="364"/>
      <c r="BQ19" s="364"/>
      <c r="BR19" s="364"/>
      <c r="BS19" s="364"/>
      <c r="BT19" s="364"/>
      <c r="BU19" s="364"/>
      <c r="BV19" s="364"/>
      <c r="BW19" s="364"/>
      <c r="BX19" s="364"/>
      <c r="BY19" s="364"/>
      <c r="BZ19" s="364"/>
      <c r="CA19" s="364"/>
      <c r="CB19" s="364"/>
      <c r="CC19" s="364"/>
      <c r="CD19" s="364"/>
      <c r="CE19" s="364"/>
      <c r="CF19" s="364"/>
      <c r="CG19" s="364"/>
      <c r="CH19" s="364"/>
      <c r="CI19" s="364"/>
      <c r="CJ19" s="364"/>
      <c r="CK19" s="364"/>
      <c r="CL19" s="364"/>
      <c r="CM19" s="364"/>
      <c r="CN19" s="364"/>
      <c r="CO19" s="364"/>
      <c r="CP19" s="364"/>
      <c r="CQ19" s="364"/>
      <c r="CR19" s="364"/>
      <c r="CS19" s="364"/>
      <c r="CT19" s="364"/>
      <c r="CU19" s="364"/>
      <c r="CV19" s="364"/>
      <c r="CW19" s="364"/>
      <c r="CX19" s="364"/>
      <c r="CY19" s="364"/>
      <c r="CZ19" s="364"/>
      <c r="DA19" s="278" t="s">
        <v>151</v>
      </c>
      <c r="DB19" s="279">
        <v>45440</v>
      </c>
      <c r="DC19" s="280" t="s">
        <v>1294</v>
      </c>
      <c r="DD19" s="281">
        <v>0</v>
      </c>
      <c r="DE19" s="281">
        <v>68588</v>
      </c>
      <c r="DF19" s="281">
        <v>651416.05000000005</v>
      </c>
      <c r="DG19" s="282"/>
      <c r="DH19" s="284">
        <v>45440</v>
      </c>
      <c r="DI19" s="284" t="s">
        <v>762</v>
      </c>
      <c r="DJ19" s="378" t="s">
        <v>1307</v>
      </c>
      <c r="DK19" s="286">
        <v>15</v>
      </c>
      <c r="DL19" s="364"/>
      <c r="DM19" s="364"/>
      <c r="DN19" s="364"/>
      <c r="DO19" s="364"/>
      <c r="DP19" s="364"/>
      <c r="DQ19" s="364"/>
      <c r="DR19" s="364"/>
      <c r="DS19" s="364"/>
      <c r="DT19" s="364"/>
      <c r="DU19" s="364"/>
      <c r="DV19" s="364"/>
      <c r="DW19" s="364"/>
      <c r="DX19" s="364"/>
      <c r="DY19" s="364"/>
      <c r="DZ19" s="364"/>
    </row>
    <row r="20" spans="1:130" ht="45">
      <c r="A20" s="365">
        <v>45440</v>
      </c>
      <c r="B20" s="366">
        <v>45440</v>
      </c>
      <c r="C20" s="367"/>
      <c r="D20" s="376" t="s">
        <v>1267</v>
      </c>
      <c r="E20" s="369" t="s">
        <v>1241</v>
      </c>
      <c r="F20" s="369" t="s">
        <v>1268</v>
      </c>
      <c r="G20" s="370"/>
      <c r="H20" s="374">
        <v>20272</v>
      </c>
      <c r="I20" s="375"/>
      <c r="J20" s="370"/>
      <c r="K20" s="374">
        <v>631144.05000000005</v>
      </c>
      <c r="L20" s="375"/>
      <c r="M20" s="369" t="s">
        <v>1239</v>
      </c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64"/>
      <c r="AC20" s="364"/>
      <c r="AD20" s="364"/>
      <c r="AE20" s="364"/>
      <c r="AF20" s="364"/>
      <c r="AG20" s="364"/>
      <c r="AH20" s="364"/>
      <c r="AI20" s="364"/>
      <c r="AJ20" s="364"/>
      <c r="AK20" s="364"/>
      <c r="AL20" s="364"/>
      <c r="AM20" s="364"/>
      <c r="AN20" s="364"/>
      <c r="AO20" s="364"/>
      <c r="AP20" s="364"/>
      <c r="AQ20" s="364"/>
      <c r="AR20" s="364"/>
      <c r="AS20" s="364"/>
      <c r="AT20" s="364"/>
      <c r="AU20" s="364"/>
      <c r="AV20" s="364"/>
      <c r="AW20" s="364"/>
      <c r="AX20" s="364"/>
      <c r="AY20" s="364"/>
      <c r="AZ20" s="364"/>
      <c r="BA20" s="364"/>
      <c r="BB20" s="364"/>
      <c r="BC20" s="364"/>
      <c r="BD20" s="364"/>
      <c r="BE20" s="364"/>
      <c r="BF20" s="364"/>
      <c r="BG20" s="364"/>
      <c r="BH20" s="364"/>
      <c r="BI20" s="364"/>
      <c r="BJ20" s="364"/>
      <c r="BK20" s="364"/>
      <c r="BL20" s="364"/>
      <c r="BM20" s="364"/>
      <c r="BN20" s="364"/>
      <c r="BO20" s="364"/>
      <c r="BP20" s="364"/>
      <c r="BQ20" s="364"/>
      <c r="BR20" s="364"/>
      <c r="BS20" s="364"/>
      <c r="BT20" s="364"/>
      <c r="BU20" s="364"/>
      <c r="BV20" s="364"/>
      <c r="BW20" s="364"/>
      <c r="BX20" s="364"/>
      <c r="BY20" s="364"/>
      <c r="BZ20" s="364"/>
      <c r="CA20" s="364"/>
      <c r="CB20" s="364"/>
      <c r="CC20" s="364"/>
      <c r="CD20" s="364"/>
      <c r="CE20" s="364"/>
      <c r="CF20" s="364"/>
      <c r="CG20" s="364"/>
      <c r="CH20" s="364"/>
      <c r="CI20" s="364"/>
      <c r="CJ20" s="364"/>
      <c r="CK20" s="364"/>
      <c r="CL20" s="364"/>
      <c r="CM20" s="364"/>
      <c r="CN20" s="364"/>
      <c r="CO20" s="364"/>
      <c r="CP20" s="364"/>
      <c r="CQ20" s="364"/>
      <c r="CR20" s="364"/>
      <c r="CS20" s="364"/>
      <c r="CT20" s="364"/>
      <c r="CU20" s="364"/>
      <c r="CV20" s="364"/>
      <c r="CW20" s="364"/>
      <c r="CX20" s="364"/>
      <c r="CY20" s="364"/>
      <c r="CZ20" s="364"/>
      <c r="DA20" s="278" t="s">
        <v>151</v>
      </c>
      <c r="DB20" s="279">
        <v>45440</v>
      </c>
      <c r="DC20" s="280" t="s">
        <v>1295</v>
      </c>
      <c r="DD20" s="281">
        <v>0</v>
      </c>
      <c r="DE20" s="281">
        <v>20272</v>
      </c>
      <c r="DF20" s="281">
        <v>631144.05000000005</v>
      </c>
      <c r="DG20" s="282"/>
      <c r="DH20" s="284">
        <v>45440</v>
      </c>
      <c r="DI20" s="284" t="s">
        <v>762</v>
      </c>
      <c r="DJ20" s="378" t="s">
        <v>1308</v>
      </c>
      <c r="DK20" s="286">
        <v>16</v>
      </c>
      <c r="DL20" s="364"/>
      <c r="DM20" s="364"/>
      <c r="DN20" s="364"/>
      <c r="DO20" s="364"/>
      <c r="DP20" s="364"/>
      <c r="DQ20" s="364"/>
      <c r="DR20" s="364"/>
      <c r="DS20" s="364"/>
      <c r="DT20" s="364"/>
      <c r="DU20" s="364"/>
      <c r="DV20" s="364"/>
      <c r="DW20" s="364"/>
      <c r="DX20" s="364"/>
      <c r="DY20" s="364"/>
      <c r="DZ20" s="364"/>
    </row>
    <row r="21" spans="1:130">
      <c r="A21" s="365">
        <v>45441</v>
      </c>
      <c r="B21" s="366">
        <v>45441</v>
      </c>
      <c r="C21" s="367"/>
      <c r="D21" s="368" t="s">
        <v>1269</v>
      </c>
      <c r="E21" s="369" t="s">
        <v>1246</v>
      </c>
      <c r="F21" s="369" t="s">
        <v>1270</v>
      </c>
      <c r="G21" s="370"/>
      <c r="H21" s="374">
        <v>537604</v>
      </c>
      <c r="I21" s="375"/>
      <c r="J21" s="370"/>
      <c r="K21" s="374">
        <v>93540.05</v>
      </c>
      <c r="L21" s="375"/>
      <c r="M21" s="369" t="s">
        <v>1239</v>
      </c>
      <c r="N21" s="364"/>
      <c r="O21" s="364"/>
      <c r="P21" s="364"/>
      <c r="Q21" s="364"/>
      <c r="R21" s="364"/>
      <c r="S21" s="364"/>
      <c r="T21" s="364"/>
      <c r="U21" s="364"/>
      <c r="V21" s="364"/>
      <c r="W21" s="364"/>
      <c r="X21" s="364"/>
      <c r="Y21" s="364"/>
      <c r="Z21" s="364"/>
      <c r="AA21" s="364"/>
      <c r="AB21" s="364"/>
      <c r="AC21" s="364"/>
      <c r="AD21" s="364"/>
      <c r="AE21" s="364"/>
      <c r="AF21" s="364"/>
      <c r="AG21" s="364"/>
      <c r="AH21" s="364"/>
      <c r="AI21" s="364"/>
      <c r="AJ21" s="364"/>
      <c r="AK21" s="364"/>
      <c r="AL21" s="364"/>
      <c r="AM21" s="364"/>
      <c r="AN21" s="364"/>
      <c r="AO21" s="364"/>
      <c r="AP21" s="364"/>
      <c r="AQ21" s="364"/>
      <c r="AR21" s="364"/>
      <c r="AS21" s="364"/>
      <c r="AT21" s="364"/>
      <c r="AU21" s="364"/>
      <c r="AV21" s="364"/>
      <c r="AW21" s="364"/>
      <c r="AX21" s="364"/>
      <c r="AY21" s="364"/>
      <c r="AZ21" s="364"/>
      <c r="BA21" s="364"/>
      <c r="BB21" s="364"/>
      <c r="BC21" s="364"/>
      <c r="BD21" s="364"/>
      <c r="BE21" s="364"/>
      <c r="BF21" s="364"/>
      <c r="BG21" s="364"/>
      <c r="BH21" s="364"/>
      <c r="BI21" s="364"/>
      <c r="BJ21" s="364"/>
      <c r="BK21" s="364"/>
      <c r="BL21" s="364"/>
      <c r="BM21" s="364"/>
      <c r="BN21" s="364"/>
      <c r="BO21" s="364"/>
      <c r="BP21" s="364"/>
      <c r="BQ21" s="364"/>
      <c r="BR21" s="364"/>
      <c r="BS21" s="364"/>
      <c r="BT21" s="364"/>
      <c r="BU21" s="364"/>
      <c r="BV21" s="364"/>
      <c r="BW21" s="364"/>
      <c r="BX21" s="364"/>
      <c r="BY21" s="364"/>
      <c r="BZ21" s="364"/>
      <c r="CA21" s="364"/>
      <c r="CB21" s="364"/>
      <c r="CC21" s="364"/>
      <c r="CD21" s="364"/>
      <c r="CE21" s="364"/>
      <c r="CF21" s="364"/>
      <c r="CG21" s="364"/>
      <c r="CH21" s="364"/>
      <c r="CI21" s="364"/>
      <c r="CJ21" s="364"/>
      <c r="CK21" s="364"/>
      <c r="CL21" s="364"/>
      <c r="CM21" s="364"/>
      <c r="CN21" s="364"/>
      <c r="CO21" s="364"/>
      <c r="CP21" s="364"/>
      <c r="CQ21" s="364"/>
      <c r="CR21" s="364"/>
      <c r="CS21" s="364"/>
      <c r="CT21" s="364"/>
      <c r="CU21" s="364"/>
      <c r="CV21" s="364"/>
      <c r="CW21" s="364"/>
      <c r="CX21" s="364"/>
      <c r="CY21" s="364"/>
      <c r="CZ21" s="364"/>
      <c r="DA21" s="278" t="s">
        <v>151</v>
      </c>
      <c r="DB21" s="279">
        <v>45441</v>
      </c>
      <c r="DC21" s="280" t="s">
        <v>1296</v>
      </c>
      <c r="DD21" s="281">
        <v>0</v>
      </c>
      <c r="DE21" s="281">
        <v>537604</v>
      </c>
      <c r="DF21" s="281">
        <v>93540.05</v>
      </c>
      <c r="DG21" s="282"/>
      <c r="DH21" s="284">
        <v>45441</v>
      </c>
      <c r="DI21" s="284" t="s">
        <v>762</v>
      </c>
      <c r="DJ21" s="285" t="s">
        <v>1297</v>
      </c>
      <c r="DK21" s="286">
        <v>17</v>
      </c>
      <c r="DL21" s="364"/>
      <c r="DM21" s="364"/>
      <c r="DN21" s="364"/>
      <c r="DO21" s="364"/>
      <c r="DP21" s="364"/>
      <c r="DQ21" s="364"/>
      <c r="DR21" s="364"/>
      <c r="DS21" s="364"/>
      <c r="DT21" s="364"/>
      <c r="DU21" s="364"/>
      <c r="DV21" s="364"/>
      <c r="DW21" s="364"/>
      <c r="DX21" s="364"/>
      <c r="DY21" s="364"/>
      <c r="DZ21" s="364"/>
    </row>
    <row r="22" spans="1:130">
      <c r="A22" s="365">
        <v>45442</v>
      </c>
      <c r="B22" s="366">
        <v>45442</v>
      </c>
      <c r="C22" s="367"/>
      <c r="D22" s="368" t="s">
        <v>1249</v>
      </c>
      <c r="E22" s="369" t="s">
        <v>1246</v>
      </c>
      <c r="F22" s="369" t="s">
        <v>1271</v>
      </c>
      <c r="G22" s="370"/>
      <c r="H22" s="374">
        <v>83674</v>
      </c>
      <c r="I22" s="375"/>
      <c r="J22" s="370"/>
      <c r="K22" s="374">
        <v>9866.0499999999993</v>
      </c>
      <c r="L22" s="375"/>
      <c r="M22" s="369" t="s">
        <v>1239</v>
      </c>
      <c r="N22" s="364"/>
      <c r="O22" s="364"/>
      <c r="P22" s="364"/>
      <c r="Q22" s="364"/>
      <c r="R22" s="364"/>
      <c r="S22" s="364"/>
      <c r="T22" s="364"/>
      <c r="U22" s="364"/>
      <c r="V22" s="364"/>
      <c r="W22" s="364"/>
      <c r="X22" s="364"/>
      <c r="Y22" s="364"/>
      <c r="Z22" s="364"/>
      <c r="AA22" s="364"/>
      <c r="AB22" s="364"/>
      <c r="AC22" s="364"/>
      <c r="AD22" s="364"/>
      <c r="AE22" s="364"/>
      <c r="AF22" s="364"/>
      <c r="AG22" s="364"/>
      <c r="AH22" s="364"/>
      <c r="AI22" s="364"/>
      <c r="AJ22" s="364"/>
      <c r="AK22" s="364"/>
      <c r="AL22" s="364"/>
      <c r="AM22" s="364"/>
      <c r="AN22" s="364"/>
      <c r="AO22" s="364"/>
      <c r="AP22" s="364"/>
      <c r="AQ22" s="364"/>
      <c r="AR22" s="364"/>
      <c r="AS22" s="364"/>
      <c r="AT22" s="364"/>
      <c r="AU22" s="364"/>
      <c r="AV22" s="364"/>
      <c r="AW22" s="364"/>
      <c r="AX22" s="364"/>
      <c r="AY22" s="364"/>
      <c r="AZ22" s="364"/>
      <c r="BA22" s="364"/>
      <c r="BB22" s="364"/>
      <c r="BC22" s="364"/>
      <c r="BD22" s="364"/>
      <c r="BE22" s="364"/>
      <c r="BF22" s="364"/>
      <c r="BG22" s="364"/>
      <c r="BH22" s="364"/>
      <c r="BI22" s="364"/>
      <c r="BJ22" s="364"/>
      <c r="BK22" s="364"/>
      <c r="BL22" s="364"/>
      <c r="BM22" s="364"/>
      <c r="BN22" s="364"/>
      <c r="BO22" s="364"/>
      <c r="BP22" s="364"/>
      <c r="BQ22" s="364"/>
      <c r="BR22" s="364"/>
      <c r="BS22" s="364"/>
      <c r="BT22" s="364"/>
      <c r="BU22" s="364"/>
      <c r="BV22" s="364"/>
      <c r="BW22" s="364"/>
      <c r="BX22" s="364"/>
      <c r="BY22" s="364"/>
      <c r="BZ22" s="364"/>
      <c r="CA22" s="364"/>
      <c r="CB22" s="364"/>
      <c r="CC22" s="364"/>
      <c r="CD22" s="364"/>
      <c r="CE22" s="364"/>
      <c r="CF22" s="364"/>
      <c r="CG22" s="364"/>
      <c r="CH22" s="364"/>
      <c r="CI22" s="364"/>
      <c r="CJ22" s="364"/>
      <c r="CK22" s="364"/>
      <c r="CL22" s="364"/>
      <c r="CM22" s="364"/>
      <c r="CN22" s="364"/>
      <c r="CO22" s="364"/>
      <c r="CP22" s="364"/>
      <c r="CQ22" s="364"/>
      <c r="CR22" s="364"/>
      <c r="CS22" s="364"/>
      <c r="CT22" s="364"/>
      <c r="CU22" s="364"/>
      <c r="CV22" s="364"/>
      <c r="CW22" s="364"/>
      <c r="CX22" s="364"/>
      <c r="CY22" s="364"/>
      <c r="CZ22" s="364"/>
      <c r="DA22" s="278" t="s">
        <v>151</v>
      </c>
      <c r="DB22" s="279">
        <v>45442</v>
      </c>
      <c r="DC22" s="280" t="s">
        <v>1298</v>
      </c>
      <c r="DD22" s="281">
        <v>0</v>
      </c>
      <c r="DE22" s="281">
        <v>83674</v>
      </c>
      <c r="DF22" s="281">
        <v>9866.0499999999993</v>
      </c>
      <c r="DG22" s="282"/>
      <c r="DH22" s="284">
        <v>45442</v>
      </c>
      <c r="DI22" s="284" t="s">
        <v>762</v>
      </c>
      <c r="DJ22" s="285" t="s">
        <v>1282</v>
      </c>
      <c r="DK22" s="286">
        <v>18</v>
      </c>
      <c r="DL22" s="364"/>
      <c r="DM22" s="364"/>
      <c r="DN22" s="364"/>
      <c r="DO22" s="364"/>
      <c r="DP22" s="364"/>
      <c r="DQ22" s="364"/>
      <c r="DR22" s="364"/>
      <c r="DS22" s="364"/>
      <c r="DT22" s="364"/>
      <c r="DU22" s="364"/>
      <c r="DV22" s="364"/>
      <c r="DW22" s="364"/>
      <c r="DX22" s="364"/>
      <c r="DY22" s="364"/>
      <c r="DZ22" s="364"/>
    </row>
    <row r="23" spans="1:130" ht="45">
      <c r="A23" s="365">
        <v>45453</v>
      </c>
      <c r="B23" s="366">
        <v>45453</v>
      </c>
      <c r="C23" s="367"/>
      <c r="D23" s="376" t="s">
        <v>1272</v>
      </c>
      <c r="E23" s="369" t="s">
        <v>1241</v>
      </c>
      <c r="F23" s="369" t="s">
        <v>1273</v>
      </c>
      <c r="G23" s="370"/>
      <c r="H23" s="371"/>
      <c r="I23" s="372"/>
      <c r="J23" s="373">
        <v>23506</v>
      </c>
      <c r="K23" s="374">
        <v>33372.050000000003</v>
      </c>
      <c r="L23" s="375"/>
      <c r="M23" s="369" t="s">
        <v>1239</v>
      </c>
      <c r="N23" s="364"/>
      <c r="O23" s="364"/>
      <c r="P23" s="364"/>
      <c r="Q23" s="364"/>
      <c r="R23" s="364"/>
      <c r="S23" s="364"/>
      <c r="T23" s="364"/>
      <c r="U23" s="364"/>
      <c r="V23" s="364"/>
      <c r="W23" s="364"/>
      <c r="X23" s="364"/>
      <c r="Y23" s="364"/>
      <c r="Z23" s="364"/>
      <c r="AA23" s="364"/>
      <c r="AB23" s="364"/>
      <c r="AC23" s="364"/>
      <c r="AD23" s="364"/>
      <c r="AE23" s="364"/>
      <c r="AF23" s="364"/>
      <c r="AG23" s="364"/>
      <c r="AH23" s="364"/>
      <c r="AI23" s="364"/>
      <c r="AJ23" s="364"/>
      <c r="AK23" s="364"/>
      <c r="AL23" s="364"/>
      <c r="AM23" s="364"/>
      <c r="AN23" s="364"/>
      <c r="AO23" s="364"/>
      <c r="AP23" s="364"/>
      <c r="AQ23" s="364"/>
      <c r="AR23" s="364"/>
      <c r="AS23" s="364"/>
      <c r="AT23" s="364"/>
      <c r="AU23" s="364"/>
      <c r="AV23" s="364"/>
      <c r="AW23" s="364"/>
      <c r="AX23" s="364"/>
      <c r="AY23" s="364"/>
      <c r="AZ23" s="364"/>
      <c r="BA23" s="364"/>
      <c r="BB23" s="364"/>
      <c r="BC23" s="364"/>
      <c r="BD23" s="364"/>
      <c r="BE23" s="364"/>
      <c r="BF23" s="364"/>
      <c r="BG23" s="364"/>
      <c r="BH23" s="364"/>
      <c r="BI23" s="364"/>
      <c r="BJ23" s="364"/>
      <c r="BK23" s="364"/>
      <c r="BL23" s="364"/>
      <c r="BM23" s="364"/>
      <c r="BN23" s="364"/>
      <c r="BO23" s="364"/>
      <c r="BP23" s="364"/>
      <c r="BQ23" s="364"/>
      <c r="BR23" s="364"/>
      <c r="BS23" s="364"/>
      <c r="BT23" s="364"/>
      <c r="BU23" s="364"/>
      <c r="BV23" s="364"/>
      <c r="BW23" s="364"/>
      <c r="BX23" s="364"/>
      <c r="BY23" s="364"/>
      <c r="BZ23" s="364"/>
      <c r="CA23" s="364"/>
      <c r="CB23" s="364"/>
      <c r="CC23" s="364"/>
      <c r="CD23" s="364"/>
      <c r="CE23" s="364"/>
      <c r="CF23" s="364"/>
      <c r="CG23" s="364"/>
      <c r="CH23" s="364"/>
      <c r="CI23" s="364"/>
      <c r="CJ23" s="364"/>
      <c r="CK23" s="364"/>
      <c r="CL23" s="364"/>
      <c r="CM23" s="364"/>
      <c r="CN23" s="364"/>
      <c r="CO23" s="364"/>
      <c r="CP23" s="364"/>
      <c r="CQ23" s="364"/>
      <c r="CR23" s="364"/>
      <c r="CS23" s="364"/>
      <c r="CT23" s="364"/>
      <c r="CU23" s="364"/>
      <c r="CV23" s="364"/>
      <c r="CW23" s="364"/>
      <c r="CX23" s="364"/>
      <c r="CY23" s="364"/>
      <c r="CZ23" s="364"/>
      <c r="DA23" s="278" t="s">
        <v>151</v>
      </c>
      <c r="DB23" s="279">
        <v>45453</v>
      </c>
      <c r="DC23" s="280" t="s">
        <v>1299</v>
      </c>
      <c r="DD23" s="281">
        <v>0</v>
      </c>
      <c r="DE23" s="281">
        <v>0</v>
      </c>
      <c r="DF23" s="281">
        <v>33372.050000000003</v>
      </c>
      <c r="DG23" s="282"/>
      <c r="DH23" s="284">
        <v>45453</v>
      </c>
      <c r="DI23" s="284" t="s">
        <v>767</v>
      </c>
      <c r="DJ23" s="378" t="s">
        <v>1309</v>
      </c>
      <c r="DK23" s="286">
        <v>19</v>
      </c>
      <c r="DL23" s="364"/>
      <c r="DM23" s="364"/>
      <c r="DN23" s="364"/>
      <c r="DO23" s="364"/>
      <c r="DP23" s="364"/>
      <c r="DQ23" s="364"/>
      <c r="DR23" s="364"/>
      <c r="DS23" s="364"/>
      <c r="DT23" s="364"/>
      <c r="DU23" s="364"/>
      <c r="DV23" s="364"/>
      <c r="DW23" s="364"/>
      <c r="DX23" s="364"/>
      <c r="DY23" s="364"/>
      <c r="DZ23" s="364"/>
    </row>
  </sheetData>
  <sheetProtection algorithmName="SHA-512" hashValue="B8yWz+iimEl2ilziriN6BG0oqFgUGiLT2O/9kTvPdoQvg2ebN1pOsBgSRGuzQxU8BBWhe3g3MUc6Ohm4wcWV1Q==" saltValue="beb7FdyUrhv+McmIQ1Qy5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 DH5:DH23 DJ5:DJ23 DA5:DA23" name="Range1_11"/>
    <protectedRange algorithmName="SHA-512" hashValue="FeHjunJeBmEIe1Z+x4LSLD0xeXKoeHqEB4mLNgYC3pUDxBFAiT2e1scH7F48tQXpPGOh+9Z9iw2K5jb0kUxFkQ==" saltValue="Arxg+XESKZddo6Y2q+NDbg==" spinCount="100000" sqref="DD3:DF3 DD5:DF23" name="Range1_1_8"/>
    <protectedRange algorithmName="SHA-512" hashValue="FeHjunJeBmEIe1Z+x4LSLD0xeXKoeHqEB4mLNgYC3pUDxBFAiT2e1scH7F48tQXpPGOh+9Z9iw2K5jb0kUxFkQ==" saltValue="Arxg+XESKZddo6Y2q+NDbg==" spinCount="100000" sqref="DI3 DI5:DI23" name="Range1_2_8"/>
    <protectedRange algorithmName="SHA-512" hashValue="FeHjunJeBmEIe1Z+x4LSLD0xeXKoeHqEB4mLNgYC3pUDxBFAiT2e1scH7F48tQXpPGOh+9Z9iw2K5jb0kUxFkQ==" saltValue="Arxg+XESKZddo6Y2q+NDbg==" spinCount="100000" sqref="DK3 DK5:DK23" name="Range1_3_7"/>
    <protectedRange algorithmName="SHA-512" hashValue="FeHjunJeBmEIe1Z+x4LSLD0xeXKoeHqEB4mLNgYC3pUDxBFAiT2e1scH7F48tQXpPGOh+9Z9iw2K5jb0kUxFkQ==" saltValue="Arxg+XESKZddo6Y2q+NDbg==" spinCount="100000" sqref="DB3 DB5:DB23" name="Range1_4_1"/>
    <protectedRange algorithmName="SHA-512" hashValue="FeHjunJeBmEIe1Z+x4LSLD0xeXKoeHqEB4mLNgYC3pUDxBFAiT2e1scH7F48tQXpPGOh+9Z9iw2K5jb0kUxFkQ==" saltValue="Arxg+XESKZddo6Y2q+NDbg==" spinCount="100000" sqref="DC3 DC5:DC23" name="Range1_5"/>
  </protectedRanges>
  <mergeCells count="3">
    <mergeCell ref="B4:C4"/>
    <mergeCell ref="H4:I4"/>
    <mergeCell ref="K4:L4"/>
  </mergeCells>
  <conditionalFormatting sqref="E3">
    <cfRule type="cellIs" dxfId="10" priority="11" operator="equal">
      <formula>#N/A</formula>
    </cfRule>
  </conditionalFormatting>
  <conditionalFormatting sqref="DG2">
    <cfRule type="cellIs" dxfId="9" priority="10" operator="equal">
      <formula>#N/A</formula>
    </cfRule>
  </conditionalFormatting>
  <conditionalFormatting sqref="DH2:DI2">
    <cfRule type="cellIs" dxfId="8" priority="9" operator="equal">
      <formula>#N/A</formula>
    </cfRule>
  </conditionalFormatting>
  <conditionalFormatting sqref="I1:I2">
    <cfRule type="cellIs" dxfId="7" priority="8" operator="equal">
      <formula>#N/A</formula>
    </cfRule>
  </conditionalFormatting>
  <conditionalFormatting sqref="H1">
    <cfRule type="cellIs" dxfId="6" priority="7" operator="equal">
      <formula>#N/A</formula>
    </cfRule>
  </conditionalFormatting>
  <conditionalFormatting sqref="E1">
    <cfRule type="cellIs" dxfId="5" priority="6" operator="equal">
      <formula>#N/A</formula>
    </cfRule>
  </conditionalFormatting>
  <conditionalFormatting sqref="I1">
    <cfRule type="containsText" dxfId="4" priority="4" operator="containsText" text="All Data Import Successfully">
      <formula>NOT(ISERROR(SEARCH("All Data Import Successfully",I1)))</formula>
    </cfRule>
    <cfRule type="containsText" dxfId="3" priority="5" operator="containsText" text="Difference Entry">
      <formula>NOT(ISERROR(SEARCH("Difference Entry",I1)))</formula>
    </cfRule>
  </conditionalFormatting>
  <conditionalFormatting sqref="E2:G2">
    <cfRule type="cellIs" dxfId="2" priority="3" operator="equal">
      <formula>#N/A</formula>
    </cfRule>
  </conditionalFormatting>
  <conditionalFormatting sqref="H2">
    <cfRule type="cellIs" dxfId="1" priority="2" operator="equal">
      <formula>#N/A</formula>
    </cfRule>
  </conditionalFormatting>
  <conditionalFormatting sqref="I2">
    <cfRule type="cellIs" dxfId="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HoQqD+ImvfLrQtxjQMIuWuXI1StT9IcchBMVwdDdmy7theN6AVdkbStfNj8DCvRvJDQcwwNbSSVwDfsAAcqjqw==" saltValue="JaNkW+ccroUopKnYddOo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79" priority="18" operator="equal">
      <formula>#N/A</formula>
    </cfRule>
  </conditionalFormatting>
  <conditionalFormatting sqref="DG2">
    <cfRule type="cellIs" dxfId="378" priority="13" operator="equal">
      <formula>#N/A</formula>
    </cfRule>
  </conditionalFormatting>
  <conditionalFormatting sqref="DH2:DI2">
    <cfRule type="cellIs" dxfId="377" priority="12" operator="equal">
      <formula>#N/A</formula>
    </cfRule>
  </conditionalFormatting>
  <conditionalFormatting sqref="I1:I2">
    <cfRule type="cellIs" dxfId="376" priority="8" operator="equal">
      <formula>#N/A</formula>
    </cfRule>
  </conditionalFormatting>
  <conditionalFormatting sqref="H1">
    <cfRule type="cellIs" dxfId="375" priority="7" operator="equal">
      <formula>#N/A</formula>
    </cfRule>
  </conditionalFormatting>
  <conditionalFormatting sqref="E1">
    <cfRule type="cellIs" dxfId="374" priority="6" operator="equal">
      <formula>#N/A</formula>
    </cfRule>
  </conditionalFormatting>
  <conditionalFormatting sqref="I1">
    <cfRule type="containsText" dxfId="373" priority="4" operator="containsText" text="All Data Import Successfully">
      <formula>NOT(ISERROR(SEARCH("All Data Import Successfully",I1)))</formula>
    </cfRule>
    <cfRule type="containsText" dxfId="372" priority="5" operator="containsText" text="Difference Entry">
      <formula>NOT(ISERROR(SEARCH("Difference Entry",I1)))</formula>
    </cfRule>
  </conditionalFormatting>
  <conditionalFormatting sqref="E2:G2">
    <cfRule type="cellIs" dxfId="371" priority="3" operator="equal">
      <formula>#N/A</formula>
    </cfRule>
  </conditionalFormatting>
  <conditionalFormatting sqref="H2">
    <cfRule type="cellIs" dxfId="370" priority="2" operator="equal">
      <formula>#N/A</formula>
    </cfRule>
  </conditionalFormatting>
  <conditionalFormatting sqref="I2">
    <cfRule type="cellIs" dxfId="3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0Y4oY7xYt/GPfCI1XgUmCrY6PLg4/iphmXYWlWNAddWJFluhrriYu5owtDDUeb+Wa9SB/cynUu0HP82xnp6l+Q==" saltValue="GPmnF4y7biwYQO/CvYpDD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670" priority="11" operator="equal">
      <formula>#N/A</formula>
    </cfRule>
  </conditionalFormatting>
  <conditionalFormatting sqref="DG2">
    <cfRule type="cellIs" dxfId="669" priority="10" operator="equal">
      <formula>#N/A</formula>
    </cfRule>
  </conditionalFormatting>
  <conditionalFormatting sqref="DH2:DI2">
    <cfRule type="cellIs" dxfId="668" priority="9" operator="equal">
      <formula>#N/A</formula>
    </cfRule>
  </conditionalFormatting>
  <conditionalFormatting sqref="I1:I2">
    <cfRule type="cellIs" dxfId="667" priority="8" operator="equal">
      <formula>#N/A</formula>
    </cfRule>
  </conditionalFormatting>
  <conditionalFormatting sqref="H1">
    <cfRule type="cellIs" dxfId="666" priority="7" operator="equal">
      <formula>#N/A</formula>
    </cfRule>
  </conditionalFormatting>
  <conditionalFormatting sqref="E1">
    <cfRule type="cellIs" dxfId="665" priority="6" operator="equal">
      <formula>#N/A</formula>
    </cfRule>
  </conditionalFormatting>
  <conditionalFormatting sqref="I1">
    <cfRule type="containsText" dxfId="664" priority="4" operator="containsText" text="All Data Import Successfully">
      <formula>NOT(ISERROR(SEARCH("All Data Import Successfully",I1)))</formula>
    </cfRule>
    <cfRule type="containsText" dxfId="663" priority="5" operator="containsText" text="Difference Entry">
      <formula>NOT(ISERROR(SEARCH("Difference Entry",I1)))</formula>
    </cfRule>
  </conditionalFormatting>
  <conditionalFormatting sqref="E2:G2">
    <cfRule type="cellIs" dxfId="662" priority="3" operator="equal">
      <formula>#N/A</formula>
    </cfRule>
  </conditionalFormatting>
  <conditionalFormatting sqref="H2">
    <cfRule type="cellIs" dxfId="661" priority="2" operator="equal">
      <formula>#N/A</formula>
    </cfRule>
  </conditionalFormatting>
  <conditionalFormatting sqref="I2">
    <cfRule type="cellIs" dxfId="66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EFF68-2B34-4744-A335-29F81A186A10}">
  <sheetPr codeName="Sheet68">
    <tabColor theme="8" tint="0.79998168889431442"/>
  </sheetPr>
  <dimension ref="A1:DZ4"/>
  <sheetViews>
    <sheetView workbookViewId="0">
      <selection activeCell="D11" sqref="D1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60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ICICI Bank A/c.</v>
      </c>
      <c r="DB3" s="165">
        <f>VALUE(C3)</f>
        <v>0</v>
      </c>
      <c r="DC3" s="166" t="e">
        <f>+CONCATENATE(TEXT(DB3,"D"),"",TEXT(DB3,"MM"),"","/",SUBSTITUTE(DF3,",",""),"/",DK3)</f>
        <v>#VALUE!</v>
      </c>
      <c r="DD3" s="131" t="e">
        <f>IF(G3="CR",VALUE("0"),VALUE(SUBSTITUTE((TRIM(H3)),",","")))</f>
        <v>#VALUE!</v>
      </c>
      <c r="DE3" s="131" t="e">
        <f>IF(G3="DR",VALUE("0"),VALUE(SUBSTITUTE((TRIM(H3)),",","")))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+F3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6.25" customHeight="1">
      <c r="A4" s="340" t="s">
        <v>104</v>
      </c>
      <c r="B4" s="340" t="s">
        <v>1222</v>
      </c>
      <c r="C4" s="340" t="s">
        <v>18</v>
      </c>
      <c r="D4" s="340" t="s">
        <v>1223</v>
      </c>
      <c r="E4" s="340" t="s">
        <v>105</v>
      </c>
      <c r="F4" s="340" t="s">
        <v>19</v>
      </c>
      <c r="G4" s="340" t="s">
        <v>106</v>
      </c>
      <c r="H4" s="340" t="s">
        <v>1224</v>
      </c>
      <c r="I4" s="341" t="s">
        <v>1225</v>
      </c>
      <c r="DA4" s="38" t="str">
        <f>+DA3</f>
        <v>ICICI Bank A/c.</v>
      </c>
    </row>
  </sheetData>
  <sheetProtection algorithmName="SHA-512" hashValue="w3Oqz2XkM1PY9Zg7bdN7IMfavQoP2gIPps25uDFdk34SxvH1tFsp50a4KoqI6bvZuOtSvstUoYzbeFSD++L6pg==" saltValue="slnV26P2wcmTnCLPVEPq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681" priority="11" operator="equal">
      <formula>#N/A</formula>
    </cfRule>
  </conditionalFormatting>
  <conditionalFormatting sqref="DG2">
    <cfRule type="cellIs" dxfId="680" priority="10" operator="equal">
      <formula>#N/A</formula>
    </cfRule>
  </conditionalFormatting>
  <conditionalFormatting sqref="DH2:DI2">
    <cfRule type="cellIs" dxfId="679" priority="9" operator="equal">
      <formula>#N/A</formula>
    </cfRule>
  </conditionalFormatting>
  <conditionalFormatting sqref="I1:I2">
    <cfRule type="cellIs" dxfId="678" priority="8" operator="equal">
      <formula>#N/A</formula>
    </cfRule>
  </conditionalFormatting>
  <conditionalFormatting sqref="H1">
    <cfRule type="cellIs" dxfId="677" priority="7" operator="equal">
      <formula>#N/A</formula>
    </cfRule>
  </conditionalFormatting>
  <conditionalFormatting sqref="E1">
    <cfRule type="cellIs" dxfId="676" priority="6" operator="equal">
      <formula>#N/A</formula>
    </cfRule>
  </conditionalFormatting>
  <conditionalFormatting sqref="I1">
    <cfRule type="containsText" dxfId="675" priority="4" operator="containsText" text="All Data Import Successfully">
      <formula>NOT(ISERROR(SEARCH("All Data Import Successfully",I1)))</formula>
    </cfRule>
    <cfRule type="containsText" dxfId="674" priority="5" operator="containsText" text="Difference Entry">
      <formula>NOT(ISERROR(SEARCH("Difference Entry",I1)))</formula>
    </cfRule>
  </conditionalFormatting>
  <conditionalFormatting sqref="E2:G2">
    <cfRule type="cellIs" dxfId="673" priority="3" operator="equal">
      <formula>#N/A</formula>
    </cfRule>
  </conditionalFormatting>
  <conditionalFormatting sqref="H2">
    <cfRule type="cellIs" dxfId="672" priority="2" operator="equal">
      <formula>#N/A</formula>
    </cfRule>
  </conditionalFormatting>
  <conditionalFormatting sqref="I2">
    <cfRule type="cellIs" dxfId="67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showRuler="0" workbookViewId="0">
      <selection activeCell="C12" sqref="C12"/>
    </sheetView>
  </sheetViews>
  <sheetFormatPr defaultRowHeight="15"/>
  <cols>
    <col min="1" max="10" width="25.7109375" style="6" customWidth="1"/>
    <col min="11" max="104" width="9.140625" style="6"/>
    <col min="105" max="110" width="24.7109375" style="6" customWidth="1"/>
    <col min="111" max="111" width="37.140625" style="6" customWidth="1"/>
    <col min="112" max="113" width="24.7109375" style="6" customWidth="1"/>
    <col min="114" max="114" width="81.42578125" style="6" customWidth="1"/>
    <col min="115" max="115" width="24.7109375" style="6" customWidth="1"/>
    <col min="116" max="116" width="103.28515625" style="6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 t="s">
        <v>1083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str">
        <f>+CONCATENATE(TEXT(DB3,"D"),"",TEXT(DB3,"MM"),"/",RIGHT(E3,11),"/",SUBSTITUTE(DF3,",",""))</f>
        <v>001//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302" t="s">
        <v>6</v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6" t="s">
        <v>23</v>
      </c>
      <c r="B4" s="96" t="s">
        <v>24</v>
      </c>
      <c r="C4" s="96" t="s">
        <v>18</v>
      </c>
      <c r="D4" s="96" t="s">
        <v>25</v>
      </c>
      <c r="E4" s="96" t="s">
        <v>26</v>
      </c>
      <c r="F4" s="96" t="s">
        <v>27</v>
      </c>
      <c r="G4" s="96" t="s">
        <v>28</v>
      </c>
      <c r="H4" s="96" t="s">
        <v>29</v>
      </c>
      <c r="I4" s="96" t="s">
        <v>30</v>
      </c>
      <c r="J4" s="96" t="s">
        <v>31</v>
      </c>
      <c r="U4" s="6" t="s">
        <v>178</v>
      </c>
      <c r="DA4" s="38" t="str">
        <f>+DA3</f>
        <v>ICICI Bank A/c.</v>
      </c>
    </row>
  </sheetData>
  <sheetProtection algorithmName="SHA-512" hashValue="+X643EU6aI2MKOMAOLx6VhsH3ig4PilyS15grGuU60tN2bnSoOmO3MSvUYEpzhFgfRV/JfhxOZzbX45NhHAk6g==" saltValue="gZMeKSnLvWQ7fH+q23aSM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399" priority="10" operator="equal">
      <formula>#N/A</formula>
    </cfRule>
  </conditionalFormatting>
  <conditionalFormatting sqref="H1">
    <cfRule type="cellIs" dxfId="398" priority="9" operator="equal">
      <formula>#N/A</formula>
    </cfRule>
  </conditionalFormatting>
  <conditionalFormatting sqref="E1">
    <cfRule type="cellIs" dxfId="397" priority="8" operator="equal">
      <formula>#N/A</formula>
    </cfRule>
  </conditionalFormatting>
  <conditionalFormatting sqref="I1">
    <cfRule type="containsText" dxfId="396" priority="6" operator="containsText" text="All Data Import Successfully">
      <formula>NOT(ISERROR(SEARCH("All Data Import Successfully",I1)))</formula>
    </cfRule>
    <cfRule type="containsText" dxfId="395" priority="7" operator="containsText" text="Difference Entry">
      <formula>NOT(ISERROR(SEARCH("Difference Entry",I1)))</formula>
    </cfRule>
  </conditionalFormatting>
  <conditionalFormatting sqref="DG2">
    <cfRule type="cellIs" dxfId="394" priority="5" operator="equal">
      <formula>#N/A</formula>
    </cfRule>
  </conditionalFormatting>
  <conditionalFormatting sqref="DH2:DI2">
    <cfRule type="cellIs" dxfId="393" priority="4" operator="equal">
      <formula>#N/A</formula>
    </cfRule>
  </conditionalFormatting>
  <conditionalFormatting sqref="E2:G2">
    <cfRule type="cellIs" dxfId="392" priority="3" operator="equal">
      <formula>#N/A</formula>
    </cfRule>
  </conditionalFormatting>
  <conditionalFormatting sqref="H2">
    <cfRule type="cellIs" dxfId="391" priority="2" operator="equal">
      <formula>#N/A</formula>
    </cfRule>
  </conditionalFormatting>
  <conditionalFormatting sqref="I2">
    <cfRule type="cellIs" dxfId="39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5" t="str">
        <f>+$A$3</f>
        <v>ICICI Bank A/c.</v>
      </c>
      <c r="DB3" s="146">
        <f>VALUE(B3)</f>
        <v>0</v>
      </c>
      <c r="DC3" s="147" t="e">
        <f>+CONCATENATE(TEXT(DB3,"D"),"",TEXT(DB3,"MM"),"","/",SUBSTITUTE(DF3,",",""),"/",DK3)</f>
        <v>#VALUE!</v>
      </c>
      <c r="DD3" s="148">
        <f>IF(TRIM(J3)="",VALUE("0"),VALUE(SUBSTITUTE((TRIM(J3)),",","")))</f>
        <v>0</v>
      </c>
      <c r="DE3" s="148" t="e">
        <f>IF(TRIM(L3)="",VALUE("0"),VALUE(SUBSTITUTE((TRIM(L3)),",","")))</f>
        <v>#VALUE!</v>
      </c>
      <c r="DF3" s="148">
        <f>IF(TRIM(N3)="", 0, VALUE(SUBSTITUTE(SUBSTITUTE(SUBSTITUTE(TRIM(N3), ",", ""), "Cr", ""), "Dr", "")))</f>
        <v>0</v>
      </c>
      <c r="DG3" s="149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1" t="e">
        <f>+IF(DE3=0,"Suspance Payment","Suspance Receipt")</f>
        <v>#VALUE!</v>
      </c>
      <c r="DJ3" s="152">
        <f>+C3</f>
        <v>0</v>
      </c>
      <c r="DK3" s="15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8" t="s">
        <v>39</v>
      </c>
      <c r="B4" s="96" t="s">
        <v>216</v>
      </c>
      <c r="C4" s="96" t="s">
        <v>217</v>
      </c>
      <c r="D4" s="96"/>
      <c r="E4" s="96"/>
      <c r="F4" s="96"/>
      <c r="G4" s="96" t="s">
        <v>218</v>
      </c>
      <c r="H4" s="96"/>
      <c r="I4" s="96" t="s">
        <v>219</v>
      </c>
      <c r="J4" s="96" t="s">
        <v>220</v>
      </c>
      <c r="K4" s="137"/>
      <c r="L4" s="137" t="s">
        <v>221</v>
      </c>
      <c r="M4" s="137"/>
      <c r="N4" s="137" t="s">
        <v>222</v>
      </c>
      <c r="U4" s="6" t="s">
        <v>178</v>
      </c>
      <c r="DA4" s="38" t="str">
        <f>+DA3</f>
        <v>ICICI Bank A/c.</v>
      </c>
    </row>
  </sheetData>
  <sheetProtection algorithmName="SHA-512" hashValue="BYgFkddzds8Tase+h432c0Ecx7N13n+9y81iGVFu0erh/58vTew2o3XdGQwxBHkEOvLZmHMwxWzw+MNTE5+zrA==" saltValue="2tK9xx3HRB8gQCPW6YUd1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711" priority="10" operator="equal">
      <formula>#N/A</formula>
    </cfRule>
  </conditionalFormatting>
  <conditionalFormatting sqref="H1">
    <cfRule type="cellIs" dxfId="710" priority="9" operator="equal">
      <formula>#N/A</formula>
    </cfRule>
  </conditionalFormatting>
  <conditionalFormatting sqref="E1">
    <cfRule type="cellIs" dxfId="709" priority="8" operator="equal">
      <formula>#N/A</formula>
    </cfRule>
  </conditionalFormatting>
  <conditionalFormatting sqref="I1">
    <cfRule type="containsText" dxfId="708" priority="6" operator="containsText" text="All Data Import Successfully">
      <formula>NOT(ISERROR(SEARCH("All Data Import Successfully",I1)))</formula>
    </cfRule>
    <cfRule type="containsText" dxfId="707" priority="7" operator="containsText" text="Difference Entry">
      <formula>NOT(ISERROR(SEARCH("Difference Entry",I1)))</formula>
    </cfRule>
  </conditionalFormatting>
  <conditionalFormatting sqref="DG2">
    <cfRule type="cellIs" dxfId="706" priority="5" operator="equal">
      <formula>#N/A</formula>
    </cfRule>
  </conditionalFormatting>
  <conditionalFormatting sqref="DH2:DI2">
    <cfRule type="cellIs" dxfId="705" priority="4" operator="equal">
      <formula>#N/A</formula>
    </cfRule>
  </conditionalFormatting>
  <conditionalFormatting sqref="E2:G2">
    <cfRule type="cellIs" dxfId="704" priority="3" operator="equal">
      <formula>#N/A</formula>
    </cfRule>
  </conditionalFormatting>
  <conditionalFormatting sqref="H2">
    <cfRule type="cellIs" dxfId="703" priority="2" operator="equal">
      <formula>#N/A</formula>
    </cfRule>
  </conditionalFormatting>
  <conditionalFormatting sqref="I2">
    <cfRule type="cellIs" dxfId="70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workbookViewId="0">
      <selection activeCell="C18" sqref="C18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16</v>
      </c>
      <c r="B4" s="219" t="s">
        <v>324</v>
      </c>
      <c r="C4" s="219" t="s">
        <v>18</v>
      </c>
      <c r="D4" s="219"/>
      <c r="E4" s="219" t="s">
        <v>25</v>
      </c>
      <c r="F4" s="219" t="s">
        <v>325</v>
      </c>
      <c r="G4" s="219" t="s">
        <v>28</v>
      </c>
      <c r="H4" s="219" t="s">
        <v>326</v>
      </c>
      <c r="I4" s="219"/>
      <c r="J4" s="219" t="s">
        <v>327</v>
      </c>
      <c r="K4" s="220" t="s">
        <v>11</v>
      </c>
      <c r="U4" s="6" t="s">
        <v>178</v>
      </c>
      <c r="DA4" s="38" t="str">
        <f>+DA3</f>
        <v>ICICI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691" priority="10" operator="equal">
      <formula>#N/A</formula>
    </cfRule>
  </conditionalFormatting>
  <conditionalFormatting sqref="H1">
    <cfRule type="cellIs" dxfId="690" priority="9" operator="equal">
      <formula>#N/A</formula>
    </cfRule>
  </conditionalFormatting>
  <conditionalFormatting sqref="E1">
    <cfRule type="cellIs" dxfId="689" priority="8" operator="equal">
      <formula>#N/A</formula>
    </cfRule>
  </conditionalFormatting>
  <conditionalFormatting sqref="I1">
    <cfRule type="containsText" dxfId="688" priority="6" operator="containsText" text="All Data Import Successfully">
      <formula>NOT(ISERROR(SEARCH("All Data Import Successfully",I1)))</formula>
    </cfRule>
    <cfRule type="containsText" dxfId="687" priority="7" operator="containsText" text="Difference Entry">
      <formula>NOT(ISERROR(SEARCH("Difference Entry",I1)))</formula>
    </cfRule>
  </conditionalFormatting>
  <conditionalFormatting sqref="DG2">
    <cfRule type="cellIs" dxfId="686" priority="5" operator="equal">
      <formula>#N/A</formula>
    </cfRule>
  </conditionalFormatting>
  <conditionalFormatting sqref="DH2:DI2">
    <cfRule type="cellIs" dxfId="685" priority="4" operator="equal">
      <formula>#N/A</formula>
    </cfRule>
  </conditionalFormatting>
  <conditionalFormatting sqref="E2:G2">
    <cfRule type="cellIs" dxfId="684" priority="3" operator="equal">
      <formula>#N/A</formula>
    </cfRule>
  </conditionalFormatting>
  <conditionalFormatting sqref="H2">
    <cfRule type="cellIs" dxfId="683" priority="2" operator="equal">
      <formula>#N/A</formula>
    </cfRule>
  </conditionalFormatting>
  <conditionalFormatting sqref="I2">
    <cfRule type="cellIs" dxfId="68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showRuler="0" workbookViewId="0">
      <selection activeCell="D20" sqref="D2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141</v>
      </c>
      <c r="B3" s="18"/>
      <c r="C3" s="17"/>
      <c r="D3" s="17"/>
      <c r="E3" s="19"/>
      <c r="F3" s="17"/>
      <c r="G3" s="20"/>
      <c r="H3" s="21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136</v>
      </c>
      <c r="B4" s="63" t="s">
        <v>18</v>
      </c>
      <c r="C4" s="63" t="s">
        <v>25</v>
      </c>
      <c r="D4" s="63" t="s">
        <v>137</v>
      </c>
      <c r="E4" s="63" t="s">
        <v>28</v>
      </c>
      <c r="F4" s="63" t="s">
        <v>138</v>
      </c>
      <c r="G4" s="63" t="s">
        <v>139</v>
      </c>
      <c r="H4" s="63" t="s">
        <v>140</v>
      </c>
      <c r="I4" s="1"/>
      <c r="J4" s="1"/>
      <c r="DA4" s="38" t="str">
        <f>+DA3</f>
        <v>ICICI Bank A/c. (Saving)</v>
      </c>
    </row>
  </sheetData>
  <sheetProtection algorithmName="SHA-512" hashValue="W9TfxeLi1XGY0320mF1zBR+X9ewnEYOvRoZShmpVyrxDV0UqVjC1XtUWUJiBDU/k/e8LblLLhIKLP0do2RFl1w==" saltValue="skeLBl0SW3lQeTCItZpKc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389" priority="10" operator="equal">
      <formula>#N/A</formula>
    </cfRule>
  </conditionalFormatting>
  <conditionalFormatting sqref="H1">
    <cfRule type="cellIs" dxfId="388" priority="9" operator="equal">
      <formula>#N/A</formula>
    </cfRule>
  </conditionalFormatting>
  <conditionalFormatting sqref="E1">
    <cfRule type="cellIs" dxfId="387" priority="8" operator="equal">
      <formula>#N/A</formula>
    </cfRule>
  </conditionalFormatting>
  <conditionalFormatting sqref="I1">
    <cfRule type="containsText" dxfId="386" priority="6" operator="containsText" text="All Data Import Successfully">
      <formula>NOT(ISERROR(SEARCH("All Data Import Successfully",I1)))</formula>
    </cfRule>
    <cfRule type="containsText" dxfId="385" priority="7" operator="containsText" text="Difference Entry">
      <formula>NOT(ISERROR(SEARCH("Difference Entry",I1)))</formula>
    </cfRule>
  </conditionalFormatting>
  <conditionalFormatting sqref="DG2">
    <cfRule type="cellIs" dxfId="384" priority="5" operator="equal">
      <formula>#N/A</formula>
    </cfRule>
  </conditionalFormatting>
  <conditionalFormatting sqref="DH2:DI2">
    <cfRule type="cellIs" dxfId="383" priority="4" operator="equal">
      <formula>#N/A</formula>
    </cfRule>
  </conditionalFormatting>
  <conditionalFormatting sqref="E2:G2">
    <cfRule type="cellIs" dxfId="382" priority="3" operator="equal">
      <formula>#N/A</formula>
    </cfRule>
  </conditionalFormatting>
  <conditionalFormatting sqref="H2">
    <cfRule type="cellIs" dxfId="381" priority="2" operator="equal">
      <formula>#N/A</formula>
    </cfRule>
  </conditionalFormatting>
  <conditionalFormatting sqref="I2">
    <cfRule type="cellIs" dxfId="38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6"/>
  <sheetViews>
    <sheetView showRuler="0" workbookViewId="0">
      <selection activeCell="A7" sqref="A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167</v>
      </c>
      <c r="T1" s="92">
        <v>10</v>
      </c>
      <c r="U1" s="92" t="s">
        <v>170</v>
      </c>
      <c r="V1" s="92" t="s">
        <v>202</v>
      </c>
      <c r="W1" s="92" t="s">
        <v>223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6" t="s">
        <v>32</v>
      </c>
      <c r="B4" s="207" t="s">
        <v>147</v>
      </c>
      <c r="C4" s="207"/>
      <c r="D4" s="207"/>
      <c r="E4" s="207" t="s">
        <v>300</v>
      </c>
      <c r="F4" s="207" t="s">
        <v>68</v>
      </c>
      <c r="G4" s="207"/>
      <c r="H4" s="207" t="s">
        <v>69</v>
      </c>
      <c r="I4" s="207"/>
      <c r="J4" s="207" t="s">
        <v>301</v>
      </c>
      <c r="K4" s="207" t="s">
        <v>302</v>
      </c>
      <c r="L4" s="207"/>
      <c r="M4" s="208" t="s">
        <v>108</v>
      </c>
      <c r="N4" s="137"/>
      <c r="U4" s="6" t="s">
        <v>178</v>
      </c>
      <c r="DA4" s="38" t="str">
        <f>+DA3</f>
        <v>ICICI Bank A/c.</v>
      </c>
    </row>
    <row r="5" spans="1:130">
      <c r="DA5" s="278" t="s">
        <v>60</v>
      </c>
      <c r="DB5" s="279">
        <v>45504</v>
      </c>
      <c r="DC5" s="280" t="s">
        <v>422</v>
      </c>
      <c r="DD5" s="281">
        <v>0</v>
      </c>
      <c r="DE5" s="281" t="e">
        <v>#VALUE!</v>
      </c>
      <c r="DF5" s="281">
        <v>0</v>
      </c>
      <c r="DG5" s="282" t="s">
        <v>423</v>
      </c>
      <c r="DH5" s="283">
        <v>45504</v>
      </c>
      <c r="DI5" s="284" t="e">
        <v>#VALUE!</v>
      </c>
      <c r="DJ5" s="285" t="s">
        <v>424</v>
      </c>
      <c r="DK5" s="286">
        <v>1</v>
      </c>
    </row>
    <row r="6" spans="1:130">
      <c r="DA6" s="278" t="s">
        <v>60</v>
      </c>
      <c r="DB6" s="279">
        <v>45565</v>
      </c>
      <c r="DC6" s="280" t="s">
        <v>425</v>
      </c>
      <c r="DD6" s="281">
        <v>0</v>
      </c>
      <c r="DE6" s="281" t="e">
        <v>#VALUE!</v>
      </c>
      <c r="DF6" s="281">
        <v>0</v>
      </c>
      <c r="DG6" s="282" t="s">
        <v>426</v>
      </c>
      <c r="DH6" s="283">
        <v>45565</v>
      </c>
      <c r="DI6" s="284" t="e">
        <v>#VALUE!</v>
      </c>
      <c r="DJ6" s="285" t="s">
        <v>427</v>
      </c>
      <c r="DK6" s="286">
        <v>2</v>
      </c>
    </row>
  </sheetData>
  <sheetProtection algorithmName="SHA-512" hashValue="QNtJPd580UuZNCqGLERXAO0TzhztmQedUQLAAHQHCFfbT+bFtg0VksWEZKRMtEz3/YVUcsqY9giRyrsYnaS3Sw==" saltValue="oz+bSiUda0sPpU/OYmxR6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H5:DH6 DJ5:DJ6 DA5:DB6" name="Range1_4"/>
    <protectedRange algorithmName="SHA-512" hashValue="FeHjunJeBmEIe1Z+x4LSLD0xeXKoeHqEB4mLNgYC3pUDxBFAiT2e1scH7F48tQXpPGOh+9Z9iw2K5jb0kUxFkQ==" saltValue="Arxg+XESKZddo6Y2q+NDbg==" spinCount="100000" sqref="DD3:DF3 DD5:DF6" name="Range1_1_1"/>
    <protectedRange algorithmName="SHA-512" hashValue="FeHjunJeBmEIe1Z+x4LSLD0xeXKoeHqEB4mLNgYC3pUDxBFAiT2e1scH7F48tQXpPGOh+9Z9iw2K5jb0kUxFkQ==" saltValue="Arxg+XESKZddo6Y2q+NDbg==" spinCount="100000" sqref="DI3 DI5:DI6" name="Range1_2_1"/>
    <protectedRange algorithmName="SHA-512" hashValue="FeHjunJeBmEIe1Z+x4LSLD0xeXKoeHqEB4mLNgYC3pUDxBFAiT2e1scH7F48tQXpPGOh+9Z9iw2K5jb0kUxFkQ==" saltValue="Arxg+XESKZddo6Y2q+NDbg==" spinCount="100000" sqref="DK3 DK5:DK6" name="Range1_3_1"/>
    <protectedRange algorithmName="SHA-512" hashValue="FeHjunJeBmEIe1Z+x4LSLD0xeXKoeHqEB4mLNgYC3pUDxBFAiT2e1scH7F48tQXpPGOh+9Z9iw2K5jb0kUxFkQ==" saltValue="Arxg+XESKZddo6Y2q+NDbg==" spinCount="100000" sqref="DC3 DC5:DC6" name="Range1_5"/>
  </protectedRanges>
  <conditionalFormatting sqref="E3 I1:I2">
    <cfRule type="cellIs" dxfId="701" priority="10" operator="equal">
      <formula>#N/A</formula>
    </cfRule>
  </conditionalFormatting>
  <conditionalFormatting sqref="H1">
    <cfRule type="cellIs" dxfId="700" priority="9" operator="equal">
      <formula>#N/A</formula>
    </cfRule>
  </conditionalFormatting>
  <conditionalFormatting sqref="E1">
    <cfRule type="cellIs" dxfId="699" priority="8" operator="equal">
      <formula>#N/A</formula>
    </cfRule>
  </conditionalFormatting>
  <conditionalFormatting sqref="I1">
    <cfRule type="containsText" dxfId="698" priority="6" operator="containsText" text="All Data Import Successfully">
      <formula>NOT(ISERROR(SEARCH("All Data Import Successfully",I1)))</formula>
    </cfRule>
    <cfRule type="containsText" dxfId="697" priority="7" operator="containsText" text="Difference Entry">
      <formula>NOT(ISERROR(SEARCH("Difference Entry",I1)))</formula>
    </cfRule>
  </conditionalFormatting>
  <conditionalFormatting sqref="DG2">
    <cfRule type="cellIs" dxfId="696" priority="5" operator="equal">
      <formula>#N/A</formula>
    </cfRule>
  </conditionalFormatting>
  <conditionalFormatting sqref="DH2:DI2">
    <cfRule type="cellIs" dxfId="695" priority="4" operator="equal">
      <formula>#N/A</formula>
    </cfRule>
  </conditionalFormatting>
  <conditionalFormatting sqref="E2:G2">
    <cfRule type="cellIs" dxfId="694" priority="3" operator="equal">
      <formula>#N/A</formula>
    </cfRule>
  </conditionalFormatting>
  <conditionalFormatting sqref="H2">
    <cfRule type="cellIs" dxfId="693" priority="2" operator="equal">
      <formula>#N/A</formula>
    </cfRule>
  </conditionalFormatting>
  <conditionalFormatting sqref="I2">
    <cfRule type="cellIs" dxfId="69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1" sqref="C2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170</v>
      </c>
      <c r="V1" s="92" t="s">
        <v>170</v>
      </c>
      <c r="W1" s="92" t="s">
        <v>202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 t="s">
        <v>416</v>
      </c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46</v>
      </c>
      <c r="B4" s="104" t="s">
        <v>17</v>
      </c>
      <c r="C4" s="104" t="s">
        <v>18</v>
      </c>
      <c r="D4" s="104" t="s">
        <v>19</v>
      </c>
      <c r="E4" s="104" t="s">
        <v>47</v>
      </c>
      <c r="F4" s="104" t="s">
        <v>48</v>
      </c>
      <c r="G4" s="104" t="s">
        <v>49</v>
      </c>
      <c r="H4" s="104" t="s">
        <v>50</v>
      </c>
      <c r="I4" s="104" t="s">
        <v>31</v>
      </c>
      <c r="J4" s="53"/>
      <c r="DA4" s="38" t="str">
        <f>+DA3</f>
        <v>IDBI Bank A/c.</v>
      </c>
    </row>
  </sheetData>
  <sheetProtection algorithmName="SHA-512" hashValue="5u7Ty7uUSYSIL81m+cVCHlIhuD/D9T/k6btJCcLyo3JLcMfW5oJak+TCnxfY9TS0IynQTffYDce5qGFBiOCQxw==" saltValue="MjphVRnHiGQI3nkzV2Uz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92" priority="18" operator="equal">
      <formula>#N/A</formula>
    </cfRule>
  </conditionalFormatting>
  <conditionalFormatting sqref="DG2">
    <cfRule type="cellIs" dxfId="291" priority="13" operator="equal">
      <formula>#N/A</formula>
    </cfRule>
  </conditionalFormatting>
  <conditionalFormatting sqref="DH2:DI2">
    <cfRule type="cellIs" dxfId="290" priority="12" operator="equal">
      <formula>#N/A</formula>
    </cfRule>
  </conditionalFormatting>
  <conditionalFormatting sqref="I1:I2">
    <cfRule type="cellIs" dxfId="289" priority="8" operator="equal">
      <formula>#N/A</formula>
    </cfRule>
  </conditionalFormatting>
  <conditionalFormatting sqref="H1">
    <cfRule type="cellIs" dxfId="288" priority="7" operator="equal">
      <formula>#N/A</formula>
    </cfRule>
  </conditionalFormatting>
  <conditionalFormatting sqref="E1">
    <cfRule type="cellIs" dxfId="287" priority="6" operator="equal">
      <formula>#N/A</formula>
    </cfRule>
  </conditionalFormatting>
  <conditionalFormatting sqref="I1">
    <cfRule type="containsText" dxfId="286" priority="4" operator="containsText" text="All Data Import Successfully">
      <formula>NOT(ISERROR(SEARCH("All Data Import Successfully",I1)))</formula>
    </cfRule>
    <cfRule type="containsText" dxfId="285" priority="5" operator="containsText" text="Difference Entry">
      <formula>NOT(ISERROR(SEARCH("Difference Entry",I1)))</formula>
    </cfRule>
  </conditionalFormatting>
  <conditionalFormatting sqref="E2:G2">
    <cfRule type="cellIs" dxfId="284" priority="3" operator="equal">
      <formula>#N/A</formula>
    </cfRule>
  </conditionalFormatting>
  <conditionalFormatting sqref="H2">
    <cfRule type="cellIs" dxfId="283" priority="2" operator="equal">
      <formula>#N/A</formula>
    </cfRule>
  </conditionalFormatting>
  <conditionalFormatting sqref="I2">
    <cfRule type="cellIs" dxfId="28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201</v>
      </c>
      <c r="T1" s="92">
        <v>9</v>
      </c>
      <c r="U1" s="92" t="s">
        <v>233</v>
      </c>
      <c r="V1" s="92" t="s">
        <v>233</v>
      </c>
      <c r="W1" s="92" t="s">
        <v>234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IDBI Bank A/c.</v>
      </c>
      <c r="DB3" s="140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1" t="e">
        <f>+CONCATENATE(TEXT(DB3,"D"),"",TEXT(DB3,"MM"),"","/",SUBSTITUTE(DF3,",",""),"/",DK3)</f>
        <v>#VALUE!</v>
      </c>
      <c r="DD3" s="50" t="e">
        <f>IF(TRIM(J3)="Cr.",VALUE("0"),VALUE(SUBSTITUTE((TRIM(L3)),",","")))</f>
        <v>#VALUE!</v>
      </c>
      <c r="DE3" s="50" t="e">
        <f>IF(TRIM(J3)="Dr.",VALUE("0"),VALUE(SUBSTITUTE((TRIM(L3)),",","")))</f>
        <v>#VALUE!</v>
      </c>
      <c r="DF3" s="50" t="str">
        <f>IF(TRIM(M3)="","",VALUE(SUBSTITUTE((TRIM(M3)),",","")))</f>
        <v/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 t="e">
        <f>+DB3</f>
        <v>#VALUE!</v>
      </c>
      <c r="DI3" s="143" t="e">
        <f>+IF(DE3=0,"Suspance Payment","Suspance Receipt")</f>
        <v>#VALUE!</v>
      </c>
      <c r="DJ3" s="155" t="str">
        <f>+TRIM(F3)</f>
        <v/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224</v>
      </c>
      <c r="B4" s="104" t="s">
        <v>225</v>
      </c>
      <c r="C4" s="104"/>
      <c r="D4" s="104" t="s">
        <v>226</v>
      </c>
      <c r="E4" s="104"/>
      <c r="F4" s="104" t="s">
        <v>227</v>
      </c>
      <c r="G4" s="104"/>
      <c r="H4" s="104"/>
      <c r="I4" s="104" t="s">
        <v>228</v>
      </c>
      <c r="J4" s="154" t="s">
        <v>229</v>
      </c>
      <c r="K4" s="101" t="s">
        <v>230</v>
      </c>
      <c r="L4" s="101" t="s">
        <v>231</v>
      </c>
      <c r="M4" s="102" t="s">
        <v>232</v>
      </c>
      <c r="N4" s="137"/>
      <c r="DA4" s="38" t="str">
        <f>+DA3</f>
        <v>IDBI Bank A/c.</v>
      </c>
    </row>
  </sheetData>
  <sheetProtection algorithmName="SHA-512" hashValue="Mg2L05rgrKA50I1N3cVEap+wh2j23dFtuC2dZfwRyMPZDaQr2rN2tB0ucVfKKShNEkctzm4x/dkcYnYzUyO9eg==" saltValue="a+vAeNzskCUWvTQAg9ZG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606" priority="11" operator="equal">
      <formula>#N/A</formula>
    </cfRule>
  </conditionalFormatting>
  <conditionalFormatting sqref="DG2">
    <cfRule type="cellIs" dxfId="605" priority="10" operator="equal">
      <formula>#N/A</formula>
    </cfRule>
  </conditionalFormatting>
  <conditionalFormatting sqref="DH2:DI2">
    <cfRule type="cellIs" dxfId="604" priority="9" operator="equal">
      <formula>#N/A</formula>
    </cfRule>
  </conditionalFormatting>
  <conditionalFormatting sqref="I1:I2">
    <cfRule type="cellIs" dxfId="603" priority="8" operator="equal">
      <formula>#N/A</formula>
    </cfRule>
  </conditionalFormatting>
  <conditionalFormatting sqref="H1">
    <cfRule type="cellIs" dxfId="602" priority="7" operator="equal">
      <formula>#N/A</formula>
    </cfRule>
  </conditionalFormatting>
  <conditionalFormatting sqref="E1">
    <cfRule type="cellIs" dxfId="601" priority="6" operator="equal">
      <formula>#N/A</formula>
    </cfRule>
  </conditionalFormatting>
  <conditionalFormatting sqref="I1">
    <cfRule type="containsText" dxfId="600" priority="4" operator="containsText" text="All Data Import Successfully">
      <formula>NOT(ISERROR(SEARCH("All Data Import Successfully",I1)))</formula>
    </cfRule>
    <cfRule type="containsText" dxfId="599" priority="5" operator="containsText" text="Difference Entry">
      <formula>NOT(ISERROR(SEARCH("Difference Entry",I1)))</formula>
    </cfRule>
  </conditionalFormatting>
  <conditionalFormatting sqref="E2:G2">
    <cfRule type="cellIs" dxfId="598" priority="3" operator="equal">
      <formula>#N/A</formula>
    </cfRule>
  </conditionalFormatting>
  <conditionalFormatting sqref="H2">
    <cfRule type="cellIs" dxfId="597" priority="2" operator="equal">
      <formula>#N/A</formula>
    </cfRule>
  </conditionalFormatting>
  <conditionalFormatting sqref="I2">
    <cfRule type="cellIs" dxfId="59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B15" sqref="B1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62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IF(I3="","",VALUE(SUBSTITUTE((TRIM(I3)),",","")))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3" t="s">
        <v>264</v>
      </c>
      <c r="B4" s="183" t="s">
        <v>265</v>
      </c>
      <c r="C4" s="183" t="s">
        <v>266</v>
      </c>
      <c r="D4" s="348" t="s">
        <v>267</v>
      </c>
      <c r="E4" s="349"/>
      <c r="F4" s="184" t="s">
        <v>268</v>
      </c>
      <c r="G4" s="184" t="s">
        <v>269</v>
      </c>
      <c r="H4" s="185" t="s">
        <v>270</v>
      </c>
      <c r="I4" s="185" t="s">
        <v>271</v>
      </c>
      <c r="DA4" s="38" t="str">
        <f>+DA3</f>
        <v>IDBI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595" priority="11" operator="equal">
      <formula>#N/A</formula>
    </cfRule>
  </conditionalFormatting>
  <conditionalFormatting sqref="DG2">
    <cfRule type="cellIs" dxfId="594" priority="10" operator="equal">
      <formula>#N/A</formula>
    </cfRule>
  </conditionalFormatting>
  <conditionalFormatting sqref="DH2:DI2">
    <cfRule type="cellIs" dxfId="593" priority="9" operator="equal">
      <formula>#N/A</formula>
    </cfRule>
  </conditionalFormatting>
  <conditionalFormatting sqref="I1:I2">
    <cfRule type="cellIs" dxfId="592" priority="8" operator="equal">
      <formula>#N/A</formula>
    </cfRule>
  </conditionalFormatting>
  <conditionalFormatting sqref="H1">
    <cfRule type="cellIs" dxfId="591" priority="7" operator="equal">
      <formula>#N/A</formula>
    </cfRule>
  </conditionalFormatting>
  <conditionalFormatting sqref="E1">
    <cfRule type="cellIs" dxfId="590" priority="6" operator="equal">
      <formula>#N/A</formula>
    </cfRule>
  </conditionalFormatting>
  <conditionalFormatting sqref="I1">
    <cfRule type="containsText" dxfId="589" priority="4" operator="containsText" text="All Data Import Successfully">
      <formula>NOT(ISERROR(SEARCH("All Data Import Successfully",I1)))</formula>
    </cfRule>
    <cfRule type="containsText" dxfId="588" priority="5" operator="containsText" text="Difference Entry">
      <formula>NOT(ISERROR(SEARCH("Difference Entry",I1)))</formula>
    </cfRule>
  </conditionalFormatting>
  <conditionalFormatting sqref="E2:G2">
    <cfRule type="cellIs" dxfId="587" priority="3" operator="equal">
      <formula>#N/A</formula>
    </cfRule>
  </conditionalFormatting>
  <conditionalFormatting sqref="H2">
    <cfRule type="cellIs" dxfId="586" priority="2" operator="equal">
      <formula>#N/A</formula>
    </cfRule>
  </conditionalFormatting>
  <conditionalFormatting sqref="I2">
    <cfRule type="cellIs" dxfId="58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 t="s">
        <v>205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4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asuvEcjgw7NIx5dS5AeRTekjKx3bX5XJAEgjbKNoP4zhm54V7k0CdNlDT5E06Ejimerd1YZP6FwVBeMZeVvgBg==" saltValue="Fk2sYdEO8FUtMdgsyO3Le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60" priority="18" operator="equal">
      <formula>#N/A</formula>
    </cfRule>
  </conditionalFormatting>
  <conditionalFormatting sqref="DG2">
    <cfRule type="cellIs" dxfId="259" priority="13" operator="equal">
      <formula>#N/A</formula>
    </cfRule>
  </conditionalFormatting>
  <conditionalFormatting sqref="DH2:DI2">
    <cfRule type="cellIs" dxfId="258" priority="12" operator="equal">
      <formula>#N/A</formula>
    </cfRule>
  </conditionalFormatting>
  <conditionalFormatting sqref="I1:I2">
    <cfRule type="cellIs" dxfId="257" priority="8" operator="equal">
      <formula>#N/A</formula>
    </cfRule>
  </conditionalFormatting>
  <conditionalFormatting sqref="H1">
    <cfRule type="cellIs" dxfId="256" priority="7" operator="equal">
      <formula>#N/A</formula>
    </cfRule>
  </conditionalFormatting>
  <conditionalFormatting sqref="E1">
    <cfRule type="cellIs" dxfId="255" priority="6" operator="equal">
      <formula>#N/A</formula>
    </cfRule>
  </conditionalFormatting>
  <conditionalFormatting sqref="I1">
    <cfRule type="containsText" dxfId="254" priority="4" operator="containsText" text="All Data Import Successfully">
      <formula>NOT(ISERROR(SEARCH("All Data Import Successfully",I1)))</formula>
    </cfRule>
    <cfRule type="containsText" dxfId="253" priority="5" operator="containsText" text="Difference Entry">
      <formula>NOT(ISERROR(SEARCH("Difference Entry",I1)))</formula>
    </cfRule>
  </conditionalFormatting>
  <conditionalFormatting sqref="E2:G2">
    <cfRule type="cellIs" dxfId="252" priority="3" operator="equal">
      <formula>#N/A</formula>
    </cfRule>
  </conditionalFormatting>
  <conditionalFormatting sqref="H2">
    <cfRule type="cellIs" dxfId="251" priority="2" operator="equal">
      <formula>#N/A</formula>
    </cfRule>
  </conditionalFormatting>
  <conditionalFormatting sqref="I2">
    <cfRule type="cellIs" dxfId="2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4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S0BkroxmXk40a7ZlIY+Oqb2i9JYq8mDiBKLWmmesKBIf8rs0Sj8OSymUZaos8BYEi1HE5efatfT1+IxZQS6kPw==" saltValue="FrlQ7Z6FYyhogj3CNHe/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584" priority="11" operator="equal">
      <formula>#N/A</formula>
    </cfRule>
  </conditionalFormatting>
  <conditionalFormatting sqref="DG2">
    <cfRule type="cellIs" dxfId="583" priority="10" operator="equal">
      <formula>#N/A</formula>
    </cfRule>
  </conditionalFormatting>
  <conditionalFormatting sqref="DH2:DI2">
    <cfRule type="cellIs" dxfId="582" priority="9" operator="equal">
      <formula>#N/A</formula>
    </cfRule>
  </conditionalFormatting>
  <conditionalFormatting sqref="I1:I2">
    <cfRule type="cellIs" dxfId="581" priority="8" operator="equal">
      <formula>#N/A</formula>
    </cfRule>
  </conditionalFormatting>
  <conditionalFormatting sqref="H1">
    <cfRule type="cellIs" dxfId="580" priority="7" operator="equal">
      <formula>#N/A</formula>
    </cfRule>
  </conditionalFormatting>
  <conditionalFormatting sqref="E1">
    <cfRule type="cellIs" dxfId="579" priority="6" operator="equal">
      <formula>#N/A</formula>
    </cfRule>
  </conditionalFormatting>
  <conditionalFormatting sqref="I1">
    <cfRule type="containsText" dxfId="578" priority="4" operator="containsText" text="All Data Import Successfully">
      <formula>NOT(ISERROR(SEARCH("All Data Import Successfully",I1)))</formula>
    </cfRule>
    <cfRule type="containsText" dxfId="577" priority="5" operator="containsText" text="Difference Entry">
      <formula>NOT(ISERROR(SEARCH("Difference Entry",I1)))</formula>
    </cfRule>
  </conditionalFormatting>
  <conditionalFormatting sqref="E2:G2">
    <cfRule type="cellIs" dxfId="576" priority="3" operator="equal">
      <formula>#N/A</formula>
    </cfRule>
  </conditionalFormatting>
  <conditionalFormatting sqref="H2">
    <cfRule type="cellIs" dxfId="575" priority="2" operator="equal">
      <formula>#N/A</formula>
    </cfRule>
  </conditionalFormatting>
  <conditionalFormatting sqref="I2">
    <cfRule type="cellIs" dxfId="5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186</v>
      </c>
      <c r="T1" s="92">
        <v>8</v>
      </c>
      <c r="U1" s="92" t="s">
        <v>172</v>
      </c>
      <c r="V1" s="92" t="s">
        <v>173</v>
      </c>
      <c r="W1" s="92" t="s">
        <v>168</v>
      </c>
      <c r="X1" s="99" t="s">
        <v>6</v>
      </c>
      <c r="Y1" s="99">
        <v>1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187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6" t="s">
        <v>18</v>
      </c>
      <c r="B4" s="106" t="s">
        <v>72</v>
      </c>
      <c r="C4" s="106" t="s">
        <v>73</v>
      </c>
      <c r="D4" s="106" t="s">
        <v>19</v>
      </c>
      <c r="E4" s="106" t="s">
        <v>74</v>
      </c>
      <c r="F4" s="106" t="s">
        <v>75</v>
      </c>
      <c r="G4" s="106" t="s">
        <v>76</v>
      </c>
      <c r="H4" s="106" t="s">
        <v>11</v>
      </c>
      <c r="DA4" s="38" t="str">
        <f>+DA3</f>
        <v>Indian Bank</v>
      </c>
    </row>
  </sheetData>
  <sheetProtection algorithmName="SHA-512" hashValue="oErib5izS6bFeIqsE6nFBhYokiX74sl42P0d6bn0DzFuyadUhyn/j1xgszXDLmldT9sceQcZbtdN67C5B+bg0g==" saltValue="XVabJfpVxmLoIQs3o9FC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71" priority="18" operator="equal">
      <formula>#N/A</formula>
    </cfRule>
  </conditionalFormatting>
  <conditionalFormatting sqref="DG2">
    <cfRule type="cellIs" dxfId="270" priority="13" operator="equal">
      <formula>#N/A</formula>
    </cfRule>
  </conditionalFormatting>
  <conditionalFormatting sqref="DH2:DI2">
    <cfRule type="cellIs" dxfId="269" priority="12" operator="equal">
      <formula>#N/A</formula>
    </cfRule>
  </conditionalFormatting>
  <conditionalFormatting sqref="I1:I2">
    <cfRule type="cellIs" dxfId="268" priority="8" operator="equal">
      <formula>#N/A</formula>
    </cfRule>
  </conditionalFormatting>
  <conditionalFormatting sqref="H1">
    <cfRule type="cellIs" dxfId="267" priority="7" operator="equal">
      <formula>#N/A</formula>
    </cfRule>
  </conditionalFormatting>
  <conditionalFormatting sqref="E1">
    <cfRule type="cellIs" dxfId="266" priority="6" operator="equal">
      <formula>#N/A</formula>
    </cfRule>
  </conditionalFormatting>
  <conditionalFormatting sqref="I1">
    <cfRule type="containsText" dxfId="265" priority="4" operator="containsText" text="All Data Import Successfully">
      <formula>NOT(ISERROR(SEARCH("All Data Import Successfully",I1)))</formula>
    </cfRule>
    <cfRule type="containsText" dxfId="264" priority="5" operator="containsText" text="Difference Entry">
      <formula>NOT(ISERROR(SEARCH("Difference Entry",I1)))</formula>
    </cfRule>
  </conditionalFormatting>
  <conditionalFormatting sqref="E2:G2">
    <cfRule type="cellIs" dxfId="263" priority="3" operator="equal">
      <formula>#N/A</formula>
    </cfRule>
  </conditionalFormatting>
  <conditionalFormatting sqref="H2">
    <cfRule type="cellIs" dxfId="262" priority="2" operator="equal">
      <formula>#N/A</formula>
    </cfRule>
  </conditionalFormatting>
  <conditionalFormatting sqref="I2">
    <cfRule type="cellIs" dxfId="26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/LEsNG1mQcxjtzFe8700xcyeuPzZUQm6ZSEZ4A5wbIy9ccqVQ4V2uBtZNsK3XZ1NI0At5k/3X4Cn0AWIepZDiA==" saltValue="gbTHe3OTnLaX0QUNMkCI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302" priority="10" operator="equal">
      <formula>#N/A</formula>
    </cfRule>
  </conditionalFormatting>
  <conditionalFormatting sqref="H1">
    <cfRule type="cellIs" dxfId="301" priority="9" operator="equal">
      <formula>#N/A</formula>
    </cfRule>
  </conditionalFormatting>
  <conditionalFormatting sqref="E1">
    <cfRule type="cellIs" dxfId="300" priority="8" operator="equal">
      <formula>#N/A</formula>
    </cfRule>
  </conditionalFormatting>
  <conditionalFormatting sqref="I1">
    <cfRule type="containsText" dxfId="299" priority="6" operator="containsText" text="All Data Import Successfully">
      <formula>NOT(ISERROR(SEARCH("All Data Import Successfully",I1)))</formula>
    </cfRule>
    <cfRule type="containsText" dxfId="298" priority="7" operator="containsText" text="Difference Entry">
      <formula>NOT(ISERROR(SEARCH("Difference Entry",I1)))</formula>
    </cfRule>
  </conditionalFormatting>
  <conditionalFormatting sqref="DG2">
    <cfRule type="cellIs" dxfId="297" priority="5" operator="equal">
      <formula>#N/A</formula>
    </cfRule>
  </conditionalFormatting>
  <conditionalFormatting sqref="DH2:DI2">
    <cfRule type="cellIs" dxfId="296" priority="4" operator="equal">
      <formula>#N/A</formula>
    </cfRule>
  </conditionalFormatting>
  <conditionalFormatting sqref="E2:G2">
    <cfRule type="cellIs" dxfId="295" priority="3" operator="equal">
      <formula>#N/A</formula>
    </cfRule>
  </conditionalFormatting>
  <conditionalFormatting sqref="H2">
    <cfRule type="cellIs" dxfId="294" priority="2" operator="equal">
      <formula>#N/A</formula>
    </cfRule>
  </conditionalFormatting>
  <conditionalFormatting sqref="I2">
    <cfRule type="cellIs" dxfId="29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3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93</v>
      </c>
      <c r="B3" s="56"/>
      <c r="C3" s="55"/>
      <c r="D3" s="55"/>
      <c r="E3" s="57"/>
      <c r="F3" s="55"/>
      <c r="G3" s="21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>Indusind Bank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>
        <f>IF(TRIM(D3)="",VALUE("0"),VALUE(SUBSTITUTE((TRIM(D3)),"-","")))</f>
        <v>0</v>
      </c>
      <c r="DE3" s="131">
        <f>IF(E3="",VALUE("0"),VALUE(SUBSTITUTE((E3),"-","")))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147</v>
      </c>
      <c r="C4" s="158" t="s">
        <v>34</v>
      </c>
      <c r="D4" s="158" t="s">
        <v>235</v>
      </c>
      <c r="E4" s="159" t="s">
        <v>155</v>
      </c>
      <c r="F4" s="159" t="s">
        <v>11</v>
      </c>
      <c r="DA4" s="38" t="str">
        <f>+DA3</f>
        <v>Indusind Bank</v>
      </c>
    </row>
    <row r="5" spans="1:130">
      <c r="A5" s="174"/>
      <c r="B5" s="174"/>
      <c r="C5" s="174"/>
      <c r="D5" s="174"/>
      <c r="E5" s="174"/>
    </row>
  </sheetData>
  <sheetProtection algorithmName="SHA-512" hashValue="RIUYhj8pD0MS2uTbTTLxVfbbYonMSv49bfQ6HgQgFI69JkyOreOFhQt8iQ4eroEBQyfD1V/oOCKQ9p4QJqnqjQ==" saltValue="urJjFwEOMfD+345ePSIXO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62" priority="26" operator="equal">
      <formula>#N/A</formula>
    </cfRule>
  </conditionalFormatting>
  <conditionalFormatting sqref="DG2">
    <cfRule type="cellIs" dxfId="561" priority="21" operator="equal">
      <formula>#N/A</formula>
    </cfRule>
  </conditionalFormatting>
  <conditionalFormatting sqref="DH2:DI2">
    <cfRule type="cellIs" dxfId="560" priority="20" operator="equal">
      <formula>#N/A</formula>
    </cfRule>
  </conditionalFormatting>
  <conditionalFormatting sqref="I1:I2">
    <cfRule type="cellIs" dxfId="559" priority="8" operator="equal">
      <formula>#N/A</formula>
    </cfRule>
  </conditionalFormatting>
  <conditionalFormatting sqref="H1">
    <cfRule type="cellIs" dxfId="558" priority="7" operator="equal">
      <formula>#N/A</formula>
    </cfRule>
  </conditionalFormatting>
  <conditionalFormatting sqref="E1">
    <cfRule type="cellIs" dxfId="557" priority="6" operator="equal">
      <formula>#N/A</formula>
    </cfRule>
  </conditionalFormatting>
  <conditionalFormatting sqref="I1">
    <cfRule type="containsText" dxfId="556" priority="4" operator="containsText" text="All Data Import Successfully">
      <formula>NOT(ISERROR(SEARCH("All Data Import Successfully",I1)))</formula>
    </cfRule>
    <cfRule type="containsText" dxfId="555" priority="5" operator="containsText" text="Difference Entry">
      <formula>NOT(ISERROR(SEARCH("Difference Entry",I1)))</formula>
    </cfRule>
  </conditionalFormatting>
  <conditionalFormatting sqref="E2:G2">
    <cfRule type="cellIs" dxfId="554" priority="3" operator="equal">
      <formula>#N/A</formula>
    </cfRule>
  </conditionalFormatting>
  <conditionalFormatting sqref="H2">
    <cfRule type="cellIs" dxfId="553" priority="2" operator="equal">
      <formula>#N/A</formula>
    </cfRule>
  </conditionalFormatting>
  <conditionalFormatting sqref="I2">
    <cfRule type="cellIs" dxfId="55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182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249</v>
      </c>
      <c r="B4" s="101" t="s">
        <v>250</v>
      </c>
      <c r="C4" s="101" t="s">
        <v>251</v>
      </c>
      <c r="D4" s="101" t="s">
        <v>252</v>
      </c>
      <c r="E4" s="101" t="s">
        <v>253</v>
      </c>
      <c r="F4" s="101" t="s">
        <v>254</v>
      </c>
      <c r="G4" s="102" t="s">
        <v>240</v>
      </c>
      <c r="DA4" s="38" t="str">
        <f>+DA3</f>
        <v>HDFC Bank A/c.</v>
      </c>
    </row>
  </sheetData>
  <sheetProtection algorithmName="SHA-512" hashValue="OUc5pkubXS+BVKMUuw9nyUXrFUti0oLEsAlYANj+RN5s9cm0Ry+QLk0ZWTSk0jHIpXYgwK2ZuHaAVQqKjljbdw==" saltValue="SmlSz5scRDpJDbGvzcCxk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51" priority="11" operator="equal">
      <formula>#N/A</formula>
    </cfRule>
  </conditionalFormatting>
  <conditionalFormatting sqref="DG2">
    <cfRule type="cellIs" dxfId="550" priority="10" operator="equal">
      <formula>#N/A</formula>
    </cfRule>
  </conditionalFormatting>
  <conditionalFormatting sqref="DH2:DI2">
    <cfRule type="cellIs" dxfId="549" priority="9" operator="equal">
      <formula>#N/A</formula>
    </cfRule>
  </conditionalFormatting>
  <conditionalFormatting sqref="I1:I2">
    <cfRule type="cellIs" dxfId="548" priority="8" operator="equal">
      <formula>#N/A</formula>
    </cfRule>
  </conditionalFormatting>
  <conditionalFormatting sqref="H1">
    <cfRule type="cellIs" dxfId="547" priority="7" operator="equal">
      <formula>#N/A</formula>
    </cfRule>
  </conditionalFormatting>
  <conditionalFormatting sqref="E1">
    <cfRule type="cellIs" dxfId="546" priority="6" operator="equal">
      <formula>#N/A</formula>
    </cfRule>
  </conditionalFormatting>
  <conditionalFormatting sqref="I1">
    <cfRule type="containsText" dxfId="545" priority="4" operator="containsText" text="All Data Import Successfully">
      <formula>NOT(ISERROR(SEARCH("All Data Import Successfully",I1)))</formula>
    </cfRule>
    <cfRule type="containsText" dxfId="544" priority="5" operator="containsText" text="Difference Entry">
      <formula>NOT(ISERROR(SEARCH("Difference Entry",I1)))</formula>
    </cfRule>
  </conditionalFormatting>
  <conditionalFormatting sqref="E2:G2">
    <cfRule type="cellIs" dxfId="543" priority="3" operator="equal">
      <formula>#N/A</formula>
    </cfRule>
  </conditionalFormatting>
  <conditionalFormatting sqref="H2">
    <cfRule type="cellIs" dxfId="542" priority="2" operator="equal">
      <formula>#N/A</formula>
    </cfRule>
  </conditionalFormatting>
  <conditionalFormatting sqref="I2">
    <cfRule type="cellIs" dxfId="54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Kotak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IF(RIGHT(D3,4)="(Cr)",VALUE("0"),VALUE(SUBSTITUTE(SUBSTITUTE((D3),",",""),"(Dr)","")))</f>
        <v>#VALUE!</v>
      </c>
      <c r="DE3" s="131" t="e">
        <f>IF(RIGHT(D3,4)="(Dr)",VALUE("0"),VALUE(SUBSTITUTE(SUBSTITUTE((D3),",",""),"(Cr)","")))</f>
        <v>#VALUE!</v>
      </c>
      <c r="DF3" s="130" t="e">
        <f>+IF(RIGHT(E3,4)="(Dr)",VALUE(SUBSTITUTE(SUBSTITUTE(SUBSTITUTE((E3),",",""),"(Cr)",""),"(Dr)",""))*-1,VALUE(SUBSTITUTE(SUBSTITUTE(SUBSTITUTE((E3),",",""),"(Cr)",""),"(Dr)","")))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+DB3</f>
        <v>#VALUE!</v>
      </c>
      <c r="DI3" s="168" t="e">
        <f>+IF(DE3=0,"Suspance Payment","Suspance Receipt")</f>
        <v>#VALUE!</v>
      </c>
      <c r="DJ3" s="169" t="str">
        <f>+TRIM(B3)</f>
        <v/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0" t="s">
        <v>236</v>
      </c>
      <c r="B4" s="161" t="s">
        <v>237</v>
      </c>
      <c r="C4" s="162" t="s">
        <v>238</v>
      </c>
      <c r="D4" s="162" t="s">
        <v>239</v>
      </c>
      <c r="E4" s="163" t="s">
        <v>240</v>
      </c>
      <c r="DA4" s="38" t="str">
        <f>+DA3</f>
        <v>Kotak Bank A/c.</v>
      </c>
    </row>
    <row r="21" ht="15" customHeight="1"/>
  </sheetData>
  <sheetProtection algorithmName="SHA-512" hashValue="Mv+yfltPH/ngjOX7sbblDo2eSfJQzAcIZUAsEQcYoLaZKvbR+y2HnEk3FZy2MyKvTG1kzbZ8ipoklaIaM2LomA==" saltValue="hmiY7w4oNKHkd0/TU/l39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95" priority="11" operator="equal">
      <formula>#N/A</formula>
    </cfRule>
  </conditionalFormatting>
  <conditionalFormatting sqref="DG2">
    <cfRule type="cellIs" dxfId="494" priority="10" operator="equal">
      <formula>#N/A</formula>
    </cfRule>
  </conditionalFormatting>
  <conditionalFormatting sqref="DH2:DI2">
    <cfRule type="cellIs" dxfId="493" priority="9" operator="equal">
      <formula>#N/A</formula>
    </cfRule>
  </conditionalFormatting>
  <conditionalFormatting sqref="I1:I2">
    <cfRule type="cellIs" dxfId="492" priority="8" operator="equal">
      <formula>#N/A</formula>
    </cfRule>
  </conditionalFormatting>
  <conditionalFormatting sqref="H1">
    <cfRule type="cellIs" dxfId="491" priority="7" operator="equal">
      <formula>#N/A</formula>
    </cfRule>
  </conditionalFormatting>
  <conditionalFormatting sqref="E1">
    <cfRule type="cellIs" dxfId="490" priority="6" operator="equal">
      <formula>#N/A</formula>
    </cfRule>
  </conditionalFormatting>
  <conditionalFormatting sqref="I1">
    <cfRule type="containsText" dxfId="489" priority="4" operator="containsText" text="All Data Import Successfully">
      <formula>NOT(ISERROR(SEARCH("All Data Import Successfully",I1)))</formula>
    </cfRule>
    <cfRule type="containsText" dxfId="488" priority="5" operator="containsText" text="Difference Entry">
      <formula>NOT(ISERROR(SEARCH("Difference Entry",I1)))</formula>
    </cfRule>
  </conditionalFormatting>
  <conditionalFormatting sqref="E2:G2">
    <cfRule type="cellIs" dxfId="487" priority="3" operator="equal">
      <formula>#N/A</formula>
    </cfRule>
  </conditionalFormatting>
  <conditionalFormatting sqref="H2">
    <cfRule type="cellIs" dxfId="486" priority="2" operator="equal">
      <formula>#N/A</formula>
    </cfRule>
  </conditionalFormatting>
  <conditionalFormatting sqref="I2">
    <cfRule type="cellIs" dxfId="48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78</v>
      </c>
      <c r="B4" s="101" t="s">
        <v>32</v>
      </c>
      <c r="C4" s="101" t="s">
        <v>19</v>
      </c>
      <c r="D4" s="101" t="s">
        <v>79</v>
      </c>
      <c r="E4" s="101" t="s">
        <v>80</v>
      </c>
      <c r="F4" s="101" t="s">
        <v>81</v>
      </c>
      <c r="G4" s="101" t="s">
        <v>11</v>
      </c>
      <c r="H4" s="102" t="s">
        <v>81</v>
      </c>
      <c r="DA4" s="38" t="str">
        <f>+DA3</f>
        <v>Kotak Bank A/c.</v>
      </c>
    </row>
  </sheetData>
  <sheetProtection algorithmName="SHA-512" hashValue="WL8geRap2aTPHAvzLNwPJWUiSWblVhYo8dURG7iwLHjdH5TY/Lo2zCKUEWwdrGiAu4rcX6gkUidM2e0buzzItw==" saltValue="662uAA+ZzaUurFYTzUdfK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68" priority="18" operator="equal">
      <formula>#N/A</formula>
    </cfRule>
  </conditionalFormatting>
  <conditionalFormatting sqref="DG2">
    <cfRule type="cellIs" dxfId="367" priority="13" operator="equal">
      <formula>#N/A</formula>
    </cfRule>
  </conditionalFormatting>
  <conditionalFormatting sqref="DH2:DI2">
    <cfRule type="cellIs" dxfId="366" priority="12" operator="equal">
      <formula>#N/A</formula>
    </cfRule>
  </conditionalFormatting>
  <conditionalFormatting sqref="I1:I2">
    <cfRule type="cellIs" dxfId="365" priority="8" operator="equal">
      <formula>#N/A</formula>
    </cfRule>
  </conditionalFormatting>
  <conditionalFormatting sqref="H1">
    <cfRule type="cellIs" dxfId="364" priority="7" operator="equal">
      <formula>#N/A</formula>
    </cfRule>
  </conditionalFormatting>
  <conditionalFormatting sqref="E1">
    <cfRule type="cellIs" dxfId="363" priority="6" operator="equal">
      <formula>#N/A</formula>
    </cfRule>
  </conditionalFormatting>
  <conditionalFormatting sqref="I1">
    <cfRule type="containsText" dxfId="362" priority="4" operator="containsText" text="All Data Import Successfully">
      <formula>NOT(ISERROR(SEARCH("All Data Import Successfully",I1)))</formula>
    </cfRule>
    <cfRule type="containsText" dxfId="361" priority="5" operator="containsText" text="Difference Entry">
      <formula>NOT(ISERROR(SEARCH("Difference Entry",I1)))</formula>
    </cfRule>
  </conditionalFormatting>
  <conditionalFormatting sqref="E2:G2">
    <cfRule type="cellIs" dxfId="360" priority="3" operator="equal">
      <formula>#N/A</formula>
    </cfRule>
  </conditionalFormatting>
  <conditionalFormatting sqref="H2">
    <cfRule type="cellIs" dxfId="359" priority="2" operator="equal">
      <formula>#N/A</formula>
    </cfRule>
  </conditionalFormatting>
  <conditionalFormatting sqref="I2">
    <cfRule type="cellIs" dxfId="35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9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65</v>
      </c>
      <c r="B3" s="56"/>
      <c r="C3" s="55"/>
      <c r="D3" s="55" t="s">
        <v>214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2"/>
      <c r="DM3" s="31"/>
      <c r="DN3" s="53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1" t="s">
        <v>78</v>
      </c>
      <c r="B4" s="51" t="s">
        <v>25</v>
      </c>
      <c r="C4" s="51" t="s">
        <v>18</v>
      </c>
      <c r="D4" s="51" t="s">
        <v>19</v>
      </c>
      <c r="E4" s="51" t="s">
        <v>122</v>
      </c>
      <c r="F4" s="51" t="s">
        <v>100</v>
      </c>
      <c r="G4" s="51" t="s">
        <v>22</v>
      </c>
      <c r="H4" s="51" t="s">
        <v>11</v>
      </c>
      <c r="I4" s="51" t="s">
        <v>81</v>
      </c>
      <c r="DA4" s="38" t="str">
        <f>+DA3</f>
        <v>Kotak Bank A/c.</v>
      </c>
      <c r="DL4" s="52">
        <f>+DD4+DE4</f>
        <v>0</v>
      </c>
    </row>
  </sheetData>
  <sheetProtection algorithmName="SHA-512" hashValue="n9zu693q+4aPqjQaSkbxrSn7EuA8+nKINHQ9Iac4Z9J0eAmhtgmYcCI7KXWoMGrSD+hYnyoGvMSi5T85al154g==" saltValue="JRoT3dU536hGZhTb+FdE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357" priority="22" operator="equal">
      <formula>#N/A</formula>
    </cfRule>
  </conditionalFormatting>
  <conditionalFormatting sqref="DH2:DI2">
    <cfRule type="cellIs" dxfId="356" priority="21" operator="equal">
      <formula>#N/A</formula>
    </cfRule>
  </conditionalFormatting>
  <conditionalFormatting sqref="E3">
    <cfRule type="cellIs" dxfId="355" priority="17" operator="equal">
      <formula>#N/A</formula>
    </cfRule>
  </conditionalFormatting>
  <conditionalFormatting sqref="I1:I2">
    <cfRule type="cellIs" dxfId="354" priority="8" operator="equal">
      <formula>#N/A</formula>
    </cfRule>
  </conditionalFormatting>
  <conditionalFormatting sqref="H1">
    <cfRule type="cellIs" dxfId="353" priority="7" operator="equal">
      <formula>#N/A</formula>
    </cfRule>
  </conditionalFormatting>
  <conditionalFormatting sqref="E1">
    <cfRule type="cellIs" dxfId="352" priority="6" operator="equal">
      <formula>#N/A</formula>
    </cfRule>
  </conditionalFormatting>
  <conditionalFormatting sqref="I1">
    <cfRule type="containsText" dxfId="351" priority="4" operator="containsText" text="All Data Import Successfully">
      <formula>NOT(ISERROR(SEARCH("All Data Import Successfully",I1)))</formula>
    </cfRule>
    <cfRule type="containsText" dxfId="350" priority="5" operator="containsText" text="Difference Entry">
      <formula>NOT(ISERROR(SEARCH("Difference Entry",I1)))</formula>
    </cfRule>
  </conditionalFormatting>
  <conditionalFormatting sqref="E2:G2">
    <cfRule type="cellIs" dxfId="349" priority="3" operator="equal">
      <formula>#N/A</formula>
    </cfRule>
  </conditionalFormatting>
  <conditionalFormatting sqref="H2">
    <cfRule type="cellIs" dxfId="348" priority="2" operator="equal">
      <formula>#N/A</formula>
    </cfRule>
  </conditionalFormatting>
  <conditionalFormatting sqref="I2">
    <cfRule type="cellIs" dxfId="3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9" t="s">
        <v>299</v>
      </c>
      <c r="B4" s="200" t="s">
        <v>293</v>
      </c>
      <c r="C4" s="350" t="s">
        <v>294</v>
      </c>
      <c r="D4" s="350"/>
      <c r="E4" s="351" t="s">
        <v>295</v>
      </c>
      <c r="F4" s="351"/>
      <c r="G4" s="201" t="s">
        <v>296</v>
      </c>
      <c r="H4" s="202" t="s">
        <v>297</v>
      </c>
      <c r="I4" s="203" t="s">
        <v>298</v>
      </c>
      <c r="DA4" s="38" t="str">
        <f>+DA3</f>
        <v>Kotak Bank A/c.</v>
      </c>
    </row>
  </sheetData>
  <sheetProtection algorithmName="SHA-512" hashValue="52afHsWse/jQhmsc2Q4+QeMITHqimdHJ3KfdoDRqksNzpJW4+zA6XUmWmuGN5E/9E8QGgozIxG3kWZtp8a8tbA==" saltValue="mfT9DECphOwzjCj+qawI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484" priority="11" operator="equal">
      <formula>#N/A</formula>
    </cfRule>
  </conditionalFormatting>
  <conditionalFormatting sqref="DG2">
    <cfRule type="cellIs" dxfId="483" priority="10" operator="equal">
      <formula>#N/A</formula>
    </cfRule>
  </conditionalFormatting>
  <conditionalFormatting sqref="DH2:DI2">
    <cfRule type="cellIs" dxfId="482" priority="9" operator="equal">
      <formula>#N/A</formula>
    </cfRule>
  </conditionalFormatting>
  <conditionalFormatting sqref="I1:I2">
    <cfRule type="cellIs" dxfId="481" priority="8" operator="equal">
      <formula>#N/A</formula>
    </cfRule>
  </conditionalFormatting>
  <conditionalFormatting sqref="H1">
    <cfRule type="cellIs" dxfId="480" priority="7" operator="equal">
      <formula>#N/A</formula>
    </cfRule>
  </conditionalFormatting>
  <conditionalFormatting sqref="E1">
    <cfRule type="cellIs" dxfId="479" priority="6" operator="equal">
      <formula>#N/A</formula>
    </cfRule>
  </conditionalFormatting>
  <conditionalFormatting sqref="I1">
    <cfRule type="containsText" dxfId="478" priority="4" operator="containsText" text="All Data Import Successfully">
      <formula>NOT(ISERROR(SEARCH("All Data Import Successfully",I1)))</formula>
    </cfRule>
    <cfRule type="containsText" dxfId="477" priority="5" operator="containsText" text="Difference Entry">
      <formula>NOT(ISERROR(SEARCH("Difference Entry",I1)))</formula>
    </cfRule>
  </conditionalFormatting>
  <conditionalFormatting sqref="E2:G2">
    <cfRule type="cellIs" dxfId="476" priority="3" operator="equal">
      <formula>#N/A</formula>
    </cfRule>
  </conditionalFormatting>
  <conditionalFormatting sqref="H2">
    <cfRule type="cellIs" dxfId="475" priority="2" operator="equal">
      <formula>#N/A</formula>
    </cfRule>
  </conditionalFormatting>
  <conditionalFormatting sqref="I2">
    <cfRule type="cellIs" dxfId="4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184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6" t="s">
        <v>32</v>
      </c>
      <c r="B4" s="217"/>
      <c r="C4" s="217" t="s">
        <v>320</v>
      </c>
      <c r="D4" s="217" t="s">
        <v>321</v>
      </c>
      <c r="E4" s="217"/>
      <c r="F4" s="217" t="s">
        <v>322</v>
      </c>
      <c r="G4" s="217" t="s">
        <v>323</v>
      </c>
      <c r="H4" s="218" t="s">
        <v>248</v>
      </c>
      <c r="DA4" s="38" t="str">
        <f>+DA3</f>
        <v>Kotak Bank A/c.</v>
      </c>
    </row>
  </sheetData>
  <sheetProtection algorithmName="SHA-512" hashValue="YgO7CammNfloY0aR8/cjhPyN/Au/Le6GSYh69MPN5tdTVPQdcYBovtER/YIDgDVciTK+QNe6mhFJVpkQFGc5UA==" saltValue="5J2j3cDBnmiH1Ovtwo27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473" priority="11" operator="equal">
      <formula>#N/A</formula>
    </cfRule>
  </conditionalFormatting>
  <conditionalFormatting sqref="DG2">
    <cfRule type="cellIs" dxfId="472" priority="10" operator="equal">
      <formula>#N/A</formula>
    </cfRule>
  </conditionalFormatting>
  <conditionalFormatting sqref="DH2:DI2">
    <cfRule type="cellIs" dxfId="471" priority="9" operator="equal">
      <formula>#N/A</formula>
    </cfRule>
  </conditionalFormatting>
  <conditionalFormatting sqref="I1:I2">
    <cfRule type="cellIs" dxfId="470" priority="8" operator="equal">
      <formula>#N/A</formula>
    </cfRule>
  </conditionalFormatting>
  <conditionalFormatting sqref="H1">
    <cfRule type="cellIs" dxfId="469" priority="7" operator="equal">
      <formula>#N/A</formula>
    </cfRule>
  </conditionalFormatting>
  <conditionalFormatting sqref="E1">
    <cfRule type="cellIs" dxfId="468" priority="6" operator="equal">
      <formula>#N/A</formula>
    </cfRule>
  </conditionalFormatting>
  <conditionalFormatting sqref="I1">
    <cfRule type="containsText" dxfId="467" priority="4" operator="containsText" text="All Data Import Successfully">
      <formula>NOT(ISERROR(SEARCH("All Data Import Successfully",I1)))</formula>
    </cfRule>
    <cfRule type="containsText" dxfId="466" priority="5" operator="containsText" text="Difference Entry">
      <formula>NOT(ISERROR(SEARCH("Difference Entry",I1)))</formula>
    </cfRule>
  </conditionalFormatting>
  <conditionalFormatting sqref="E2:G2">
    <cfRule type="cellIs" dxfId="465" priority="3" operator="equal">
      <formula>#N/A</formula>
    </cfRule>
  </conditionalFormatting>
  <conditionalFormatting sqref="H2">
    <cfRule type="cellIs" dxfId="464" priority="2" operator="equal">
      <formula>#N/A</formula>
    </cfRule>
  </conditionalFormatting>
  <conditionalFormatting sqref="I2">
    <cfRule type="cellIs" dxfId="46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31F2-12A6-4BDD-B168-D827684381BA}">
  <sheetPr codeName="Sheet63">
    <tabColor theme="8" tint="0.79998168889431442"/>
  </sheetPr>
  <dimension ref="A1:DZ4"/>
  <sheetViews>
    <sheetView workbookViewId="0">
      <selection activeCell="D17" sqref="D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439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New India Co-Op. Bank Ltd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IF(H3="","",VALUE(SUBSTITUTE(SUBSTITUTE((H3),",",""),"Cr.","")))</f>
        <v/>
      </c>
      <c r="DG3" s="302" t="s">
        <v>6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3" t="s">
        <v>440</v>
      </c>
      <c r="B4" s="303" t="s">
        <v>18</v>
      </c>
      <c r="C4" s="303" t="s">
        <v>441</v>
      </c>
      <c r="D4" s="304" t="s">
        <v>442</v>
      </c>
      <c r="E4" s="304"/>
      <c r="F4" s="303" t="s">
        <v>100</v>
      </c>
      <c r="G4" s="303" t="s">
        <v>22</v>
      </c>
      <c r="H4" s="303" t="s">
        <v>11</v>
      </c>
      <c r="DA4" s="38" t="str">
        <f>+DA3</f>
        <v>New India Co-Op. Bank Ltd</v>
      </c>
    </row>
  </sheetData>
  <sheetProtection algorithmName="SHA-512" hashValue="svN3Jwd9yH8lNcpH2Gz/jrWiRW8HragHwL3SpzlgkwZ+W1nI74f4apxGF8lg3I1WIC3akIqUdYi5IU05PpRFtg==" saltValue="Fyr7rbHfkqdaY7LXGbjBF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51" priority="11" operator="equal">
      <formula>#N/A</formula>
    </cfRule>
  </conditionalFormatting>
  <conditionalFormatting sqref="DG2">
    <cfRule type="cellIs" dxfId="450" priority="10" operator="equal">
      <formula>#N/A</formula>
    </cfRule>
  </conditionalFormatting>
  <conditionalFormatting sqref="DH2:DI2">
    <cfRule type="cellIs" dxfId="449" priority="9" operator="equal">
      <formula>#N/A</formula>
    </cfRule>
  </conditionalFormatting>
  <conditionalFormatting sqref="I1:I2">
    <cfRule type="cellIs" dxfId="448" priority="8" operator="equal">
      <formula>#N/A</formula>
    </cfRule>
  </conditionalFormatting>
  <conditionalFormatting sqref="H1">
    <cfRule type="cellIs" dxfId="447" priority="7" operator="equal">
      <formula>#N/A</formula>
    </cfRule>
  </conditionalFormatting>
  <conditionalFormatting sqref="E1">
    <cfRule type="cellIs" dxfId="446" priority="6" operator="equal">
      <formula>#N/A</formula>
    </cfRule>
  </conditionalFormatting>
  <conditionalFormatting sqref="I1">
    <cfRule type="containsText" dxfId="445" priority="4" operator="containsText" text="All Data Import Successfully">
      <formula>NOT(ISERROR(SEARCH("All Data Import Successfully",I1)))</formula>
    </cfRule>
    <cfRule type="containsText" dxfId="444" priority="5" operator="containsText" text="Difference Entry">
      <formula>NOT(ISERROR(SEARCH("Difference Entry",I1)))</formula>
    </cfRule>
  </conditionalFormatting>
  <conditionalFormatting sqref="E2:G2">
    <cfRule type="cellIs" dxfId="443" priority="3" operator="equal">
      <formula>#N/A</formula>
    </cfRule>
  </conditionalFormatting>
  <conditionalFormatting sqref="H2">
    <cfRule type="cellIs" dxfId="442" priority="2" operator="equal">
      <formula>#N/A</formula>
    </cfRule>
  </conditionalFormatting>
  <conditionalFormatting sqref="I2">
    <cfRule type="cellIs" dxfId="44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>
      <selection activeCell="D38" sqref="D38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183</v>
      </c>
      <c r="T1" s="92">
        <v>6</v>
      </c>
      <c r="U1" s="92" t="s">
        <v>184</v>
      </c>
      <c r="V1" s="92" t="s">
        <v>184</v>
      </c>
      <c r="W1" s="92" t="s">
        <v>181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127</v>
      </c>
      <c r="B3" s="56"/>
      <c r="C3" s="55"/>
      <c r="D3" s="55" t="s">
        <v>185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124</v>
      </c>
      <c r="C4" s="104" t="s">
        <v>80</v>
      </c>
      <c r="D4" s="104" t="s">
        <v>95</v>
      </c>
      <c r="E4" s="104" t="s">
        <v>11</v>
      </c>
      <c r="F4" s="105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ZuTdsQ1MpNc6mm5jLe4iLvncwVA6jDNBZ/ZSQ28Sdj4eM2rE9L0IR/1WtIeEh0UOilripu1rvt+31GCff2URIw==" saltValue="qpU/v9DVSvxdNJ2I2VJeJ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64" priority="18" operator="equal">
      <formula>#N/A</formula>
    </cfRule>
  </conditionalFormatting>
  <conditionalFormatting sqref="DG2">
    <cfRule type="cellIs" dxfId="163" priority="13" operator="equal">
      <formula>#N/A</formula>
    </cfRule>
  </conditionalFormatting>
  <conditionalFormatting sqref="DH2:DI2">
    <cfRule type="cellIs" dxfId="162" priority="12" operator="equal">
      <formula>#N/A</formula>
    </cfRule>
  </conditionalFormatting>
  <conditionalFormatting sqref="I1:I2">
    <cfRule type="cellIs" dxfId="161" priority="8" operator="equal">
      <formula>#N/A</formula>
    </cfRule>
  </conditionalFormatting>
  <conditionalFormatting sqref="H1">
    <cfRule type="cellIs" dxfId="160" priority="7" operator="equal">
      <formula>#N/A</formula>
    </cfRule>
  </conditionalFormatting>
  <conditionalFormatting sqref="E1">
    <cfRule type="cellIs" dxfId="159" priority="6" operator="equal">
      <formula>#N/A</formula>
    </cfRule>
  </conditionalFormatting>
  <conditionalFormatting sqref="I1">
    <cfRule type="containsText" dxfId="158" priority="4" operator="containsText" text="All Data Import Successfully">
      <formula>NOT(ISERROR(SEARCH("All Data Import Successfully",I1)))</formula>
    </cfRule>
    <cfRule type="containsText" dxfId="157" priority="5" operator="containsText" text="Difference Entry">
      <formula>NOT(ISERROR(SEARCH("Difference Entry",I1)))</formula>
    </cfRule>
  </conditionalFormatting>
  <conditionalFormatting sqref="E2:G2">
    <cfRule type="cellIs" dxfId="156" priority="3" operator="equal">
      <formula>#N/A</formula>
    </cfRule>
  </conditionalFormatting>
  <conditionalFormatting sqref="H2">
    <cfRule type="cellIs" dxfId="155" priority="2" operator="equal">
      <formula>#N/A</formula>
    </cfRule>
  </conditionalFormatting>
  <conditionalFormatting sqref="I2">
    <cfRule type="cellIs" dxfId="15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workbookViewId="0">
      <selection activeCell="E8" sqref="E8"/>
    </sheetView>
  </sheetViews>
  <sheetFormatPr defaultRowHeight="15"/>
  <cols>
    <col min="1" max="1" width="25.7109375" style="236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2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126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4" t="s">
        <v>127</v>
      </c>
      <c r="B3" s="56"/>
      <c r="C3" s="55"/>
      <c r="D3" s="55"/>
      <c r="E3" s="204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1" t="str">
        <f>+$A$3</f>
        <v>PNB A/c.</v>
      </c>
      <c r="DB3" s="222">
        <f>VALUE(C3)</f>
        <v>0</v>
      </c>
      <c r="DC3" s="223" t="e">
        <f>+CONCATENATE(TEXT(DB3,"D"),"",TEXT(DB3,"MM"),"","/",SUBSTITUTE(DF3,",",""),"/",DK3)</f>
        <v>#VALUE!</v>
      </c>
      <c r="DD3" s="224">
        <f>IF(I3="",VALUE("0"),VALUE(SUBSTITUTE((I3),",","")))</f>
        <v>0</v>
      </c>
      <c r="DE3" s="224">
        <f>IF(J3="",VALUE("0"),VALUE(SUBSTITUTE((J3),",","")))</f>
        <v>0</v>
      </c>
      <c r="DF3" s="224" t="e">
        <f>+VALUE(SUBSTITUTE(SUBSTITUTE(SUBSTITUTE((M3),",",""),"Cr.",""),"Dr.",""))</f>
        <v>#VALUE!</v>
      </c>
      <c r="DG3" s="225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6">
        <f>+DB3</f>
        <v>0</v>
      </c>
      <c r="DI3" s="226" t="str">
        <f>+IF(DE3=0,"Suspance Payment","Suspance Receipt")</f>
        <v>Suspance Payment</v>
      </c>
      <c r="DJ3" s="227">
        <f>+E3</f>
        <v>0</v>
      </c>
      <c r="DK3" s="228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5" t="s">
        <v>328</v>
      </c>
      <c r="B4" s="229"/>
      <c r="C4" s="229" t="s">
        <v>17</v>
      </c>
      <c r="D4" s="229"/>
      <c r="E4" s="230" t="s">
        <v>19</v>
      </c>
      <c r="F4" s="229"/>
      <c r="G4" s="229" t="s">
        <v>191</v>
      </c>
      <c r="H4" s="229" t="s">
        <v>74</v>
      </c>
      <c r="I4" s="229" t="s">
        <v>329</v>
      </c>
      <c r="J4" s="229" t="s">
        <v>330</v>
      </c>
      <c r="K4" s="229"/>
      <c r="L4" s="229"/>
      <c r="M4" s="229" t="s">
        <v>11</v>
      </c>
      <c r="N4" s="229"/>
      <c r="O4" s="229"/>
      <c r="P4" s="231" t="s">
        <v>331</v>
      </c>
      <c r="Q4" s="5"/>
      <c r="DA4" s="38" t="str">
        <f>+DA3</f>
        <v>PNB A/c.</v>
      </c>
    </row>
  </sheetData>
  <sheetProtection algorithmName="SHA-512" hashValue="cTOmp/kDSYWUWJ1l3sEnAI7U1JSlyotD5Xkvafjx8fqmF5+HTOmdDEEma68aRj4ZmSoeNXfnbfrzuU80MI6xKQ==" saltValue="9YtDbPS/od8FJZnnV/6k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153" priority="11" operator="equal">
      <formula>#N/A</formula>
    </cfRule>
  </conditionalFormatting>
  <conditionalFormatting sqref="DG2">
    <cfRule type="cellIs" dxfId="152" priority="10" operator="equal">
      <formula>#N/A</formula>
    </cfRule>
  </conditionalFormatting>
  <conditionalFormatting sqref="DH2:DI2">
    <cfRule type="cellIs" dxfId="151" priority="9" operator="equal">
      <formula>#N/A</formula>
    </cfRule>
  </conditionalFormatting>
  <conditionalFormatting sqref="I1:I2">
    <cfRule type="cellIs" dxfId="150" priority="8" operator="equal">
      <formula>#N/A</formula>
    </cfRule>
  </conditionalFormatting>
  <conditionalFormatting sqref="H1">
    <cfRule type="cellIs" dxfId="149" priority="7" operator="equal">
      <formula>#N/A</formula>
    </cfRule>
  </conditionalFormatting>
  <conditionalFormatting sqref="E1">
    <cfRule type="cellIs" dxfId="148" priority="6" operator="equal">
      <formula>#N/A</formula>
    </cfRule>
  </conditionalFormatting>
  <conditionalFormatting sqref="I1">
    <cfRule type="containsText" dxfId="147" priority="4" operator="containsText" text="All Data Import Successfully">
      <formula>NOT(ISERROR(SEARCH("All Data Import Successfully",I1)))</formula>
    </cfRule>
    <cfRule type="containsText" dxfId="146" priority="5" operator="containsText" text="Difference Entry">
      <formula>NOT(ISERROR(SEARCH("Difference Entry",I1)))</formula>
    </cfRule>
  </conditionalFormatting>
  <conditionalFormatting sqref="E2:G2">
    <cfRule type="cellIs" dxfId="145" priority="3" operator="equal">
      <formula>#N/A</formula>
    </cfRule>
  </conditionalFormatting>
  <conditionalFormatting sqref="H2">
    <cfRule type="cellIs" dxfId="144" priority="2" operator="equal">
      <formula>#N/A</formula>
    </cfRule>
  </conditionalFormatting>
  <conditionalFormatting sqref="I2">
    <cfRule type="cellIs" dxfId="1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172</v>
      </c>
      <c r="V1" s="92" t="s">
        <v>173</v>
      </c>
      <c r="W1" s="92" t="s">
        <v>168</v>
      </c>
      <c r="X1" s="99" t="s">
        <v>6</v>
      </c>
      <c r="Y1" s="99" t="s">
        <v>6</v>
      </c>
      <c r="Z1" s="92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199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 t="s">
        <v>210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98" t="s">
        <v>32</v>
      </c>
      <c r="B4" s="98" t="s">
        <v>18</v>
      </c>
      <c r="C4" s="98" t="s">
        <v>33</v>
      </c>
      <c r="D4" s="98" t="s">
        <v>99</v>
      </c>
      <c r="E4" s="98" t="s">
        <v>100</v>
      </c>
      <c r="F4" s="98" t="s">
        <v>22</v>
      </c>
      <c r="G4" s="98" t="s">
        <v>101</v>
      </c>
      <c r="DA4" s="38" t="str">
        <f>+DA3</f>
        <v>Prime Co-op. Bank A/c.</v>
      </c>
    </row>
  </sheetData>
  <sheetProtection algorithmName="SHA-512" hashValue="Syq8G6gr8J5b6GvQlPLe7zwdMCzt8pCGgCCz8Xs+pYditVoNQ9f+0tl8DbufLs1Y1nNDIB7cr/FtYHQTBksZQw==" saltValue="c6nABV/7PsiOZRjTarPA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0" priority="22" operator="equal">
      <formula>#N/A</formula>
    </cfRule>
  </conditionalFormatting>
  <conditionalFormatting sqref="DG2">
    <cfRule type="cellIs" dxfId="79" priority="17" operator="equal">
      <formula>#N/A</formula>
    </cfRule>
  </conditionalFormatting>
  <conditionalFormatting sqref="DH2:DI2">
    <cfRule type="cellIs" dxfId="78" priority="16" operator="equal">
      <formula>#N/A</formula>
    </cfRule>
  </conditionalFormatting>
  <conditionalFormatting sqref="I1">
    <cfRule type="cellIs" dxfId="77" priority="12" operator="equal">
      <formula>#N/A</formula>
    </cfRule>
  </conditionalFormatting>
  <conditionalFormatting sqref="H1">
    <cfRule type="cellIs" dxfId="76" priority="11" operator="equal">
      <formula>#N/A</formula>
    </cfRule>
  </conditionalFormatting>
  <conditionalFormatting sqref="E1">
    <cfRule type="cellIs" dxfId="75" priority="10" operator="equal">
      <formula>#N/A</formula>
    </cfRule>
  </conditionalFormatting>
  <conditionalFormatting sqref="I1">
    <cfRule type="containsText" dxfId="74" priority="8" operator="containsText" text="All Data Import Successfully">
      <formula>NOT(ISERROR(SEARCH("All Data Import Successfully",I1)))</formula>
    </cfRule>
    <cfRule type="containsText" dxfId="73" priority="9" operator="containsText" text="Difference Entry">
      <formula>NOT(ISERROR(SEARCH("Difference Entry",I1)))</formula>
    </cfRule>
  </conditionalFormatting>
  <conditionalFormatting sqref="I2">
    <cfRule type="cellIs" dxfId="72" priority="4" operator="equal">
      <formula>#N/A</formula>
    </cfRule>
  </conditionalFormatting>
  <conditionalFormatting sqref="E2:G2">
    <cfRule type="cellIs" dxfId="71" priority="3" operator="equal">
      <formula>#N/A</formula>
    </cfRule>
  </conditionalFormatting>
  <conditionalFormatting sqref="H2">
    <cfRule type="cellIs" dxfId="70" priority="2" operator="equal">
      <formula>#N/A</formula>
    </cfRule>
  </conditionalFormatting>
  <conditionalFormatting sqref="I2">
    <cfRule type="cellIs" dxfId="6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206</v>
      </c>
      <c r="T1" s="92">
        <v>8</v>
      </c>
      <c r="U1" s="92" t="s">
        <v>173</v>
      </c>
      <c r="V1" s="92" t="s">
        <v>173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116</v>
      </c>
      <c r="B3" s="56"/>
      <c r="C3" s="55"/>
      <c r="D3" s="55" t="s">
        <v>207</v>
      </c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0" t="s">
        <v>25</v>
      </c>
      <c r="B4" s="352" t="s">
        <v>117</v>
      </c>
      <c r="C4" s="352"/>
      <c r="D4" s="121" t="s">
        <v>118</v>
      </c>
      <c r="E4" s="121" t="s">
        <v>18</v>
      </c>
      <c r="F4" s="122" t="s">
        <v>119</v>
      </c>
      <c r="G4" s="122" t="s">
        <v>120</v>
      </c>
      <c r="H4" s="123" t="s">
        <v>121</v>
      </c>
      <c r="DA4" s="38" t="str">
        <f>+DA3</f>
        <v>RBL Bank A/c.</v>
      </c>
    </row>
  </sheetData>
  <sheetProtection algorithmName="SHA-512" hashValue="MZN/De/uOvYC9Zw/csLhpSnivVugSxHcTLbnaIqElevZuMZ080qn8LpIUg1BJUGez9aj0bau0rM3f+Ze34PdNA==" saltValue="pG4gUFWcFFh0+liN2F5x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249" priority="18" operator="equal">
      <formula>#N/A</formula>
    </cfRule>
  </conditionalFormatting>
  <conditionalFormatting sqref="DG2">
    <cfRule type="cellIs" dxfId="248" priority="13" operator="equal">
      <formula>#N/A</formula>
    </cfRule>
  </conditionalFormatting>
  <conditionalFormatting sqref="DH2:DI2">
    <cfRule type="cellIs" dxfId="247" priority="12" operator="equal">
      <formula>#N/A</formula>
    </cfRule>
  </conditionalFormatting>
  <conditionalFormatting sqref="I1:I2">
    <cfRule type="cellIs" dxfId="246" priority="8" operator="equal">
      <formula>#N/A</formula>
    </cfRule>
  </conditionalFormatting>
  <conditionalFormatting sqref="H1">
    <cfRule type="cellIs" dxfId="245" priority="7" operator="equal">
      <formula>#N/A</formula>
    </cfRule>
  </conditionalFormatting>
  <conditionalFormatting sqref="E1">
    <cfRule type="cellIs" dxfId="244" priority="6" operator="equal">
      <formula>#N/A</formula>
    </cfRule>
  </conditionalFormatting>
  <conditionalFormatting sqref="I1">
    <cfRule type="containsText" dxfId="243" priority="4" operator="containsText" text="All Data Import Successfully">
      <formula>NOT(ISERROR(SEARCH("All Data Import Successfully",I1)))</formula>
    </cfRule>
    <cfRule type="containsText" dxfId="242" priority="5" operator="containsText" text="Difference Entry">
      <formula>NOT(ISERROR(SEARCH("Difference Entry",I1)))</formula>
    </cfRule>
  </conditionalFormatting>
  <conditionalFormatting sqref="E2:G2">
    <cfRule type="cellIs" dxfId="241" priority="3" operator="equal">
      <formula>#N/A</formula>
    </cfRule>
  </conditionalFormatting>
  <conditionalFormatting sqref="H2">
    <cfRule type="cellIs" dxfId="240" priority="2" operator="equal">
      <formula>#N/A</formula>
    </cfRule>
  </conditionalFormatting>
  <conditionalFormatting sqref="I2">
    <cfRule type="cellIs" dxfId="2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Z4OxOetQHYxkRkprA/+npXSH9gFGyJkSwKQ+qvqmGe4v1CoRCgRQP99QTwECEMD9fEd0VUQ4L6C2VPvck5GWMA==" saltValue="COb0fxlmJ7p7A4b0+h0vl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42" priority="10" operator="equal">
      <formula>#N/A</formula>
    </cfRule>
  </conditionalFormatting>
  <conditionalFormatting sqref="H1">
    <cfRule type="cellIs" dxfId="141" priority="9" operator="equal">
      <formula>#N/A</formula>
    </cfRule>
  </conditionalFormatting>
  <conditionalFormatting sqref="E1">
    <cfRule type="cellIs" dxfId="140" priority="8" operator="equal">
      <formula>#N/A</formula>
    </cfRule>
  </conditionalFormatting>
  <conditionalFormatting sqref="I1">
    <cfRule type="containsText" dxfId="139" priority="6" operator="containsText" text="All Data Import Successfully">
      <formula>NOT(ISERROR(SEARCH("All Data Import Successfully",I1)))</formula>
    </cfRule>
    <cfRule type="containsText" dxfId="138" priority="7" operator="containsText" text="Difference Entry">
      <formula>NOT(ISERROR(SEARCH("Difference Entry",I1)))</formula>
    </cfRule>
  </conditionalFormatting>
  <conditionalFormatting sqref="DG2">
    <cfRule type="cellIs" dxfId="137" priority="5" operator="equal">
      <formula>#N/A</formula>
    </cfRule>
  </conditionalFormatting>
  <conditionalFormatting sqref="DH2:DI2">
    <cfRule type="cellIs" dxfId="136" priority="4" operator="equal">
      <formula>#N/A</formula>
    </cfRule>
  </conditionalFormatting>
  <conditionalFormatting sqref="E2:G2">
    <cfRule type="cellIs" dxfId="135" priority="3" operator="equal">
      <formula>#N/A</formula>
    </cfRule>
  </conditionalFormatting>
  <conditionalFormatting sqref="H2">
    <cfRule type="cellIs" dxfId="134" priority="2" operator="equal">
      <formula>#N/A</formula>
    </cfRule>
  </conditionalFormatting>
  <conditionalFormatting sqref="I2">
    <cfRule type="cellIs" dxfId="13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/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215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1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0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2" t="s">
        <v>32</v>
      </c>
      <c r="B4" s="133"/>
      <c r="C4" s="133"/>
      <c r="D4" s="133"/>
      <c r="E4" s="133" t="s">
        <v>124</v>
      </c>
      <c r="F4" s="133"/>
      <c r="G4" s="133"/>
      <c r="H4" s="133"/>
      <c r="I4" s="133"/>
      <c r="J4" s="133" t="s">
        <v>80</v>
      </c>
      <c r="K4" s="133"/>
      <c r="L4" s="133"/>
      <c r="M4" s="133"/>
      <c r="N4" s="133"/>
      <c r="O4" s="134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5" t="e">
        <f>IF(G4="CR",VALUE("0"),VALUE(SUBSTITUTE((F4),",","")))</f>
        <v>#VALUE!</v>
      </c>
      <c r="DE4" s="135" t="e">
        <f>IF(G4="DR",VALUE("0"),VALUE(SUBSTITUTE((F4),",","")))</f>
        <v>#VALUE!</v>
      </c>
      <c r="DF4" s="135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6" t="e">
        <f>+VALUE(A4)</f>
        <v>#VALUE!</v>
      </c>
      <c r="DI4" s="66" t="e">
        <f>+IF(DE4=0,"Suspance Payment","Suspance Receipt")</f>
        <v>#VALUE!</v>
      </c>
      <c r="DJ4" s="25">
        <f>+C4</f>
        <v>0</v>
      </c>
      <c r="DK4" s="136">
        <f>+DK3+1</f>
        <v>2</v>
      </c>
    </row>
  </sheetData>
  <sheetProtection algorithmName="SHA-512" hashValue="Fy6xeeE3Il/R0nzrIyVzryb+8ikVoX/pwlstkas45npFxHRmBzcVbhjrIxSlb39a+Rt11lxcGckAvHyUcDwjPg==" saltValue="0OtEjokXcyExgSE0dYky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57" priority="11" operator="equal">
      <formula>#N/A</formula>
    </cfRule>
  </conditionalFormatting>
  <conditionalFormatting sqref="DG2">
    <cfRule type="cellIs" dxfId="56" priority="10" operator="equal">
      <formula>#N/A</formula>
    </cfRule>
  </conditionalFormatting>
  <conditionalFormatting sqref="DH2:DI2">
    <cfRule type="cellIs" dxfId="55" priority="9" operator="equal">
      <formula>#N/A</formula>
    </cfRule>
  </conditionalFormatting>
  <conditionalFormatting sqref="I1:I2">
    <cfRule type="cellIs" dxfId="54" priority="8" operator="equal">
      <formula>#N/A</formula>
    </cfRule>
  </conditionalFormatting>
  <conditionalFormatting sqref="H1">
    <cfRule type="cellIs" dxfId="53" priority="7" operator="equal">
      <formula>#N/A</formula>
    </cfRule>
  </conditionalFormatting>
  <conditionalFormatting sqref="E1">
    <cfRule type="cellIs" dxfId="52" priority="6" operator="equal">
      <formula>#N/A</formula>
    </cfRule>
  </conditionalFormatting>
  <conditionalFormatting sqref="I1">
    <cfRule type="containsText" dxfId="51" priority="4" operator="containsText" text="All Data Import Successfully">
      <formula>NOT(ISERROR(SEARCH("All Data Import Successfully",I1)))</formula>
    </cfRule>
    <cfRule type="containsText" dxfId="50" priority="5" operator="containsText" text="Difference Entry">
      <formula>NOT(ISERROR(SEARCH("Difference Entry",I1)))</formula>
    </cfRule>
  </conditionalFormatting>
  <conditionalFormatting sqref="E2:G2">
    <cfRule type="cellIs" dxfId="49" priority="3" operator="equal">
      <formula>#N/A</formula>
    </cfRule>
  </conditionalFormatting>
  <conditionalFormatting sqref="H2">
    <cfRule type="cellIs" dxfId="48" priority="2" operator="equal">
      <formula>#N/A</formula>
    </cfRule>
  </conditionalFormatting>
  <conditionalFormatting sqref="I2">
    <cfRule type="cellIs" dxfId="4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63</v>
      </c>
      <c r="B3" s="56"/>
      <c r="C3" s="55"/>
      <c r="D3" s="55" t="s">
        <v>335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SBI Bank A/c.</v>
      </c>
    </row>
  </sheetData>
  <sheetProtection algorithmName="SHA-512" hashValue="GUKy9Hj26KZ62+7Bp2PdqyF6mJrLiuF7CHe+OEzuSRmDxvEuxUrbtgiw2H/noDp/fMdHW72z3P2aGF+4doM/CA==" saltValue="GJhAmfdcjTx9ksXN0NIY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27" priority="18" operator="equal">
      <formula>#N/A</formula>
    </cfRule>
  </conditionalFormatting>
  <conditionalFormatting sqref="DG2">
    <cfRule type="cellIs" dxfId="226" priority="13" operator="equal">
      <formula>#N/A</formula>
    </cfRule>
  </conditionalFormatting>
  <conditionalFormatting sqref="DH2:DI2">
    <cfRule type="cellIs" dxfId="225" priority="12" operator="equal">
      <formula>#N/A</formula>
    </cfRule>
  </conditionalFormatting>
  <conditionalFormatting sqref="I1:I2">
    <cfRule type="cellIs" dxfId="224" priority="8" operator="equal">
      <formula>#N/A</formula>
    </cfRule>
  </conditionalFormatting>
  <conditionalFormatting sqref="H1">
    <cfRule type="cellIs" dxfId="223" priority="7" operator="equal">
      <formula>#N/A</formula>
    </cfRule>
  </conditionalFormatting>
  <conditionalFormatting sqref="E1">
    <cfRule type="cellIs" dxfId="222" priority="6" operator="equal">
      <formula>#N/A</formula>
    </cfRule>
  </conditionalFormatting>
  <conditionalFormatting sqref="I1">
    <cfRule type="containsText" dxfId="221" priority="4" operator="containsText" text="All Data Import Successfully">
      <formula>NOT(ISERROR(SEARCH("All Data Import Successfully",I1)))</formula>
    </cfRule>
    <cfRule type="containsText" dxfId="220" priority="5" operator="containsText" text="Difference Entry">
      <formula>NOT(ISERROR(SEARCH("Difference Entry",I1)))</formula>
    </cfRule>
  </conditionalFormatting>
  <conditionalFormatting sqref="E2:G2">
    <cfRule type="cellIs" dxfId="219" priority="3" operator="equal">
      <formula>#N/A</formula>
    </cfRule>
  </conditionalFormatting>
  <conditionalFormatting sqref="H2">
    <cfRule type="cellIs" dxfId="218" priority="2" operator="equal">
      <formula>#N/A</formula>
    </cfRule>
  </conditionalFormatting>
  <conditionalFormatting sqref="I2">
    <cfRule type="cellIs" dxfId="21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63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SBI Bank A/c.</v>
      </c>
      <c r="DB3" s="165" t="e">
        <f>IF(ISBLANK(H3),TEXT(DATE(RIGHT(A3,4), MONTH(DATEVALUE(MID(A3,4,3) &amp; " 1")), LEFT(A3,2)), "dd/MM/yyyy"),VALUE(A3))</f>
        <v>#VALUE!</v>
      </c>
      <c r="DC3" s="166" t="e">
        <f>+CONCATENATE(TEXT(DB3,"D"),"",TEXT(DB3,"MM"),"","/",SUBSTITUTE(DF3,",",""),"/",DK3)</f>
        <v>#VALUE!</v>
      </c>
      <c r="DD3" s="131">
        <f>IF(ISBLANK(H3),IF(E3="",VALUE("0"),VALUE(SUBSTITUTE((TRIM(E3)),",",""))),IF(F3="",VALUE("0"),VALUE(SUBSTITUTE((TRIM(F3)),",",""))))</f>
        <v>0</v>
      </c>
      <c r="DE3" s="131">
        <f>IF(ISBLANK(H3),IF(F3="",VALUE("0"),VALUE(SUBSTITUTE((TRIM(F3)),",",""))),IF(G3="",VALUE("0"),VALUE(SUBSTITUTE((TRIM(G3)),",",""))))</f>
        <v>0</v>
      </c>
      <c r="DF3" s="131">
        <f>IF(ISBLANK(H3),IF(G3="",VALUE("0"),VALUE(SUBSTITUTE((TRIM(G3)),",",""))),IF(H3="",VALUE("0"),VALUE(SUBSTITUTE((TRIM(H3)),",",""))))</f>
        <v>0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IF(ISBLANK(H3),TEXT(DATE(RIGHT(A3,4), MONTH(DATEVALUE(MID(A3,4,3) &amp; " 1")), LEFT(A3,2)), "dd/MM/yyyy"),VALUE(A3))</f>
        <v>#VALUE!</v>
      </c>
      <c r="DI3" s="168" t="str">
        <f>+IF(DE3=0,"Suspance Payment","Suspance Receipt")</f>
        <v>Suspance Payment</v>
      </c>
      <c r="DJ3" s="173" t="str">
        <f>+CONCATENATE(C3," ", D3)</f>
        <v xml:space="preserve"> 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1" t="s">
        <v>241</v>
      </c>
      <c r="B4" s="172" t="s">
        <v>242</v>
      </c>
      <c r="C4" s="171" t="s">
        <v>243</v>
      </c>
      <c r="D4" s="171" t="s">
        <v>244</v>
      </c>
      <c r="E4" s="171" t="s">
        <v>245</v>
      </c>
      <c r="F4" s="172" t="s">
        <v>246</v>
      </c>
      <c r="G4" s="172" t="s">
        <v>247</v>
      </c>
      <c r="H4" s="172" t="s">
        <v>248</v>
      </c>
      <c r="DA4" s="38" t="str">
        <f>+DA3</f>
        <v>SBI Bank A/c.</v>
      </c>
    </row>
  </sheetData>
  <sheetProtection algorithmName="SHA-512" hashValue="6ZEe45jgbAb+TAbOXHGYs5jm3Eu4mRpuSMpGrQr4RYO/wNTlZBw1mJcErGjbGB0/Dwy6XxPDW6NPxfIQq8N86g==" saltValue="WBx2hmS2WiifTjrhV8rL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528" priority="11" operator="equal">
      <formula>#N/A</formula>
    </cfRule>
  </conditionalFormatting>
  <conditionalFormatting sqref="DG2">
    <cfRule type="cellIs" dxfId="527" priority="10" operator="equal">
      <formula>#N/A</formula>
    </cfRule>
  </conditionalFormatting>
  <conditionalFormatting sqref="DH2:DI2">
    <cfRule type="cellIs" dxfId="526" priority="9" operator="equal">
      <formula>#N/A</formula>
    </cfRule>
  </conditionalFormatting>
  <conditionalFormatting sqref="I1:I2">
    <cfRule type="cellIs" dxfId="525" priority="8" operator="equal">
      <formula>#N/A</formula>
    </cfRule>
  </conditionalFormatting>
  <conditionalFormatting sqref="H1">
    <cfRule type="cellIs" dxfId="524" priority="7" operator="equal">
      <formula>#N/A</formula>
    </cfRule>
  </conditionalFormatting>
  <conditionalFormatting sqref="E1">
    <cfRule type="cellIs" dxfId="523" priority="6" operator="equal">
      <formula>#N/A</formula>
    </cfRule>
  </conditionalFormatting>
  <conditionalFormatting sqref="I1">
    <cfRule type="containsText" dxfId="522" priority="4" operator="containsText" text="All Data Import Successfully">
      <formula>NOT(ISERROR(SEARCH("All Data Import Successfully",I1)))</formula>
    </cfRule>
    <cfRule type="containsText" dxfId="521" priority="5" operator="containsText" text="Difference Entry">
      <formula>NOT(ISERROR(SEARCH("Difference Entry",I1)))</formula>
    </cfRule>
  </conditionalFormatting>
  <conditionalFormatting sqref="E2:G2">
    <cfRule type="cellIs" dxfId="520" priority="3" operator="equal">
      <formula>#N/A</formula>
    </cfRule>
  </conditionalFormatting>
  <conditionalFormatting sqref="H2">
    <cfRule type="cellIs" dxfId="519" priority="2" operator="equal">
      <formula>#N/A</formula>
    </cfRule>
  </conditionalFormatting>
  <conditionalFormatting sqref="I2">
    <cfRule type="cellIs" dxfId="51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C5C-CAA9-474D-B4AB-F571C4D11743}">
  <sheetPr codeName="Sheet64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Sutex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1084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Sutex Co-op. Bank A/c.</v>
      </c>
      <c r="DB3" s="24" t="str">
        <f>SUBSTITUTE(B3,"'","")</f>
        <v/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302" t="s">
        <v>6</v>
      </c>
      <c r="DH3" s="28" t="str">
        <f>SUBSTITUTE(B3,"'","")</f>
        <v/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7" t="s">
        <v>128</v>
      </c>
      <c r="B4" s="307" t="s">
        <v>129</v>
      </c>
      <c r="C4" s="307" t="s">
        <v>130</v>
      </c>
      <c r="D4" s="307"/>
      <c r="E4" s="307" t="s">
        <v>131</v>
      </c>
      <c r="F4" s="307" t="s">
        <v>132</v>
      </c>
      <c r="G4" s="308" t="s">
        <v>133</v>
      </c>
      <c r="H4" s="308" t="s">
        <v>134</v>
      </c>
      <c r="DA4" s="38" t="str">
        <f>+DA3</f>
        <v>The Sutex Co-op. Bank A/c.</v>
      </c>
    </row>
  </sheetData>
  <sheetProtection algorithmName="SHA-512" hashValue="Xs/LuLA0N7bVfM1oadK+2Ca8xYxHciE/ctfefGI3CUSCrd9yZjTP9rLzQcfk7p56BAZ6WvkoA76TLphd0dhCsQ==" saltValue="amUOJlbjRunP8CYkvRqtl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419" priority="10" operator="equal">
      <formula>#N/A</formula>
    </cfRule>
  </conditionalFormatting>
  <conditionalFormatting sqref="H1">
    <cfRule type="cellIs" dxfId="418" priority="9" operator="equal">
      <formula>#N/A</formula>
    </cfRule>
  </conditionalFormatting>
  <conditionalFormatting sqref="E1">
    <cfRule type="cellIs" dxfId="417" priority="8" operator="equal">
      <formula>#N/A</formula>
    </cfRule>
  </conditionalFormatting>
  <conditionalFormatting sqref="I1">
    <cfRule type="containsText" dxfId="416" priority="6" operator="containsText" text="All Data Import Successfully">
      <formula>NOT(ISERROR(SEARCH("All Data Import Successfully",I1)))</formula>
    </cfRule>
    <cfRule type="containsText" dxfId="415" priority="7" operator="containsText" text="Difference Entry">
      <formula>NOT(ISERROR(SEARCH("Difference Entry",I1)))</formula>
    </cfRule>
  </conditionalFormatting>
  <conditionalFormatting sqref="DG2">
    <cfRule type="cellIs" dxfId="414" priority="5" operator="equal">
      <formula>#N/A</formula>
    </cfRule>
  </conditionalFormatting>
  <conditionalFormatting sqref="DH2:DI2">
    <cfRule type="cellIs" dxfId="413" priority="4" operator="equal">
      <formula>#N/A</formula>
    </cfRule>
  </conditionalFormatting>
  <conditionalFormatting sqref="E2:G2">
    <cfRule type="cellIs" dxfId="412" priority="3" operator="equal">
      <formula>#N/A</formula>
    </cfRule>
  </conditionalFormatting>
  <conditionalFormatting sqref="H2">
    <cfRule type="cellIs" dxfId="411" priority="2" operator="equal">
      <formula>#N/A</formula>
    </cfRule>
  </conditionalFormatting>
  <conditionalFormatting sqref="I2">
    <cfRule type="cellIs" dxfId="4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0" t="s">
        <v>128</v>
      </c>
      <c r="B4" s="61" t="s">
        <v>129</v>
      </c>
      <c r="C4" s="61"/>
      <c r="D4" s="61"/>
      <c r="E4" s="61" t="s">
        <v>130</v>
      </c>
      <c r="F4" s="61" t="s">
        <v>131</v>
      </c>
      <c r="G4" s="61" t="s">
        <v>132</v>
      </c>
      <c r="H4" s="61"/>
      <c r="I4" s="61" t="s">
        <v>133</v>
      </c>
      <c r="J4" s="62" t="s">
        <v>134</v>
      </c>
      <c r="DA4" s="38" t="str">
        <f>+DA3</f>
        <v>THE SURAT DISTRICT CO-OP. BANK LTD.</v>
      </c>
    </row>
  </sheetData>
  <sheetProtection algorithmName="SHA-512" hashValue="61up7MyeJXIAVMZv/xx0WpkMgjOjTsaJtRr5dw7oLfbmPA/HmQyIgKhdfqSfJSxRrfZnEXbS3msK1spGUWe0kQ==" saltValue="C0L0uhme3gxTQTZPOArW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00" priority="10" operator="equal">
      <formula>#N/A</formula>
    </cfRule>
  </conditionalFormatting>
  <conditionalFormatting sqref="H1">
    <cfRule type="cellIs" dxfId="99" priority="9" operator="equal">
      <formula>#N/A</formula>
    </cfRule>
  </conditionalFormatting>
  <conditionalFormatting sqref="E1">
    <cfRule type="cellIs" dxfId="98" priority="8" operator="equal">
      <formula>#N/A</formula>
    </cfRule>
  </conditionalFormatting>
  <conditionalFormatting sqref="I1">
    <cfRule type="containsText" dxfId="97" priority="6" operator="containsText" text="All Data Import Successfully">
      <formula>NOT(ISERROR(SEARCH("All Data Import Successfully",I1)))</formula>
    </cfRule>
    <cfRule type="containsText" dxfId="96" priority="7" operator="containsText" text="Difference Entry">
      <formula>NOT(ISERROR(SEARCH("Difference Entry",I1)))</formula>
    </cfRule>
  </conditionalFormatting>
  <conditionalFormatting sqref="DG2">
    <cfRule type="cellIs" dxfId="95" priority="5" operator="equal">
      <formula>#N/A</formula>
    </cfRule>
  </conditionalFormatting>
  <conditionalFormatting sqref="DH2:DI2">
    <cfRule type="cellIs" dxfId="94" priority="4" operator="equal">
      <formula>#N/A</formula>
    </cfRule>
  </conditionalFormatting>
  <conditionalFormatting sqref="E2:G2">
    <cfRule type="cellIs" dxfId="93" priority="3" operator="equal">
      <formula>#N/A</formula>
    </cfRule>
  </conditionalFormatting>
  <conditionalFormatting sqref="H2">
    <cfRule type="cellIs" dxfId="92" priority="2" operator="equal">
      <formula>#N/A</formula>
    </cfRule>
  </conditionalFormatting>
  <conditionalFormatting sqref="I2">
    <cfRule type="cellIs" dxfId="9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135</v>
      </c>
      <c r="B3" s="56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5" t="s">
        <v>412</v>
      </c>
      <c r="B4" s="255" t="s">
        <v>242</v>
      </c>
      <c r="C4" s="256" t="s">
        <v>320</v>
      </c>
      <c r="D4" s="257"/>
      <c r="E4" s="256" t="s">
        <v>413</v>
      </c>
      <c r="F4" s="257"/>
      <c r="G4" s="255" t="s">
        <v>246</v>
      </c>
      <c r="H4" s="255" t="s">
        <v>247</v>
      </c>
      <c r="I4" s="256" t="s">
        <v>248</v>
      </c>
      <c r="DA4" s="38" t="str">
        <f>+DA3</f>
        <v>Bank Name</v>
      </c>
    </row>
  </sheetData>
  <sheetProtection algorithmName="SHA-512" hashValue="KtJanygbu4Rgipj9rmmu+eVKf+cuJidV6h46YoUnKxKkEzx6byH2K3ACH3xkoeTu7xwYvb6rzGIAwwu4DhLUPQ==" saltValue="fTFWWbK0WmUzWMLkjkR5Y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409" priority="10" operator="equal">
      <formula>#N/A</formula>
    </cfRule>
  </conditionalFormatting>
  <conditionalFormatting sqref="H1">
    <cfRule type="cellIs" dxfId="408" priority="9" operator="equal">
      <formula>#N/A</formula>
    </cfRule>
  </conditionalFormatting>
  <conditionalFormatting sqref="E1">
    <cfRule type="cellIs" dxfId="407" priority="8" operator="equal">
      <formula>#N/A</formula>
    </cfRule>
  </conditionalFormatting>
  <conditionalFormatting sqref="I1">
    <cfRule type="containsText" dxfId="406" priority="6" operator="containsText" text="All Data Import Successfully">
      <formula>NOT(ISERROR(SEARCH("All Data Import Successfully",I1)))</formula>
    </cfRule>
    <cfRule type="containsText" dxfId="405" priority="7" operator="containsText" text="Difference Entry">
      <formula>NOT(ISERROR(SEARCH("Difference Entry",I1)))</formula>
    </cfRule>
  </conditionalFormatting>
  <conditionalFormatting sqref="DG2">
    <cfRule type="cellIs" dxfId="404" priority="5" operator="equal">
      <formula>#N/A</formula>
    </cfRule>
  </conditionalFormatting>
  <conditionalFormatting sqref="DH2:DI2">
    <cfRule type="cellIs" dxfId="403" priority="4" operator="equal">
      <formula>#N/A</formula>
    </cfRule>
  </conditionalFormatting>
  <conditionalFormatting sqref="E2:G2">
    <cfRule type="cellIs" dxfId="402" priority="3" operator="equal">
      <formula>#N/A</formula>
    </cfRule>
  </conditionalFormatting>
  <conditionalFormatting sqref="H2">
    <cfRule type="cellIs" dxfId="401" priority="2" operator="equal">
      <formula>#N/A</formula>
    </cfRule>
  </conditionalFormatting>
  <conditionalFormatting sqref="I2">
    <cfRule type="cellIs" dxfId="40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419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>
        <v>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418</v>
      </c>
      <c r="B3" s="56"/>
      <c r="C3" s="55"/>
      <c r="D3" s="55" t="s">
        <v>421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3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South Indian Bank</v>
      </c>
    </row>
  </sheetData>
  <sheetProtection algorithmName="SHA-512" hashValue="jis/D4+usM0IhAmLF3nQ7kGunD8ATkjGr5BKAbcPxJweFxA2JRgbpY+aI+JxYke/s6vfhn4j+De3GTgNqtjTIQ==" saltValue="LqBc2gDGp5JQKn3/VYZAA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35" priority="11" operator="equal">
      <formula>#N/A</formula>
    </cfRule>
  </conditionalFormatting>
  <conditionalFormatting sqref="DG2">
    <cfRule type="cellIs" dxfId="34" priority="10" operator="equal">
      <formula>#N/A</formula>
    </cfRule>
  </conditionalFormatting>
  <conditionalFormatting sqref="DH2:DI2">
    <cfRule type="cellIs" dxfId="33" priority="9" operator="equal">
      <formula>#N/A</formula>
    </cfRule>
  </conditionalFormatting>
  <conditionalFormatting sqref="I1:I2">
    <cfRule type="cellIs" dxfId="32" priority="8" operator="equal">
      <formula>#N/A</formula>
    </cfRule>
  </conditionalFormatting>
  <conditionalFormatting sqref="H1">
    <cfRule type="cellIs" dxfId="31" priority="7" operator="equal">
      <formula>#N/A</formula>
    </cfRule>
  </conditionalFormatting>
  <conditionalFormatting sqref="E1">
    <cfRule type="cellIs" dxfId="30" priority="6" operator="equal">
      <formula>#N/A</formula>
    </cfRule>
  </conditionalFormatting>
  <conditionalFormatting sqref="I1">
    <cfRule type="containsText" dxfId="29" priority="4" operator="containsText" text="All Data Import Successfully">
      <formula>NOT(ISERROR(SEARCH("All Data Import Successfully",I1)))</formula>
    </cfRule>
    <cfRule type="containsText" dxfId="28" priority="5" operator="containsText" text="Difference Entry">
      <formula>NOT(ISERROR(SEARCH("Difference Entry",I1)))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6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150</v>
      </c>
      <c r="B3" s="56"/>
      <c r="C3" s="55"/>
      <c r="D3" s="55" t="s">
        <v>195</v>
      </c>
      <c r="E3" s="57"/>
      <c r="F3" s="55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4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Surat National Co-op. Bank Ltd.</v>
      </c>
    </row>
  </sheetData>
  <sheetProtection algorithmName="SHA-512" hashValue="d+I97S2Dfj3DVbmbTeG2PF9JH/HmNsIqdre7LchRym4Vfoykpo8qhVugSwKW0rZ+k8yxQ/jxFbN07TB7zvZubQ==" saltValue="il2zHGgfvPpC63PNHZl0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11" priority="18" operator="equal">
      <formula>#N/A</formula>
    </cfRule>
  </conditionalFormatting>
  <conditionalFormatting sqref="DG2">
    <cfRule type="cellIs" dxfId="110" priority="13" operator="equal">
      <formula>#N/A</formula>
    </cfRule>
  </conditionalFormatting>
  <conditionalFormatting sqref="DH2:DI2">
    <cfRule type="cellIs" dxfId="109" priority="12" operator="equal">
      <formula>#N/A</formula>
    </cfRule>
  </conditionalFormatting>
  <conditionalFormatting sqref="I1:I2">
    <cfRule type="cellIs" dxfId="108" priority="8" operator="equal">
      <formula>#N/A</formula>
    </cfRule>
  </conditionalFormatting>
  <conditionalFormatting sqref="H1">
    <cfRule type="cellIs" dxfId="107" priority="7" operator="equal">
      <formula>#N/A</formula>
    </cfRule>
  </conditionalFormatting>
  <conditionalFormatting sqref="E1">
    <cfRule type="cellIs" dxfId="106" priority="6" operator="equal">
      <formula>#N/A</formula>
    </cfRule>
  </conditionalFormatting>
  <conditionalFormatting sqref="I1">
    <cfRule type="containsText" dxfId="105" priority="4" operator="containsText" text="All Data Import Successfully">
      <formula>NOT(ISERROR(SEARCH("All Data Import Successfully",I1)))</formula>
    </cfRule>
    <cfRule type="containsText" dxfId="104" priority="5" operator="containsText" text="Difference Entry">
      <formula>NOT(ISERROR(SEARCH("Difference Entry",I1)))</formula>
    </cfRule>
  </conditionalFormatting>
  <conditionalFormatting sqref="E2:G2">
    <cfRule type="cellIs" dxfId="103" priority="3" operator="equal">
      <formula>#N/A</formula>
    </cfRule>
  </conditionalFormatting>
  <conditionalFormatting sqref="H2">
    <cfRule type="cellIs" dxfId="102" priority="2" operator="equal">
      <formula>#N/A</formula>
    </cfRule>
  </conditionalFormatting>
  <conditionalFormatting sqref="I2">
    <cfRule type="cellIs" dxfId="10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196</v>
      </c>
      <c r="T1" s="92">
        <v>6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149</v>
      </c>
      <c r="B3" s="18"/>
      <c r="C3" s="17"/>
      <c r="D3" s="17" t="s">
        <v>198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7" t="s">
        <v>32</v>
      </c>
      <c r="B4" s="67" t="s">
        <v>147</v>
      </c>
      <c r="C4" s="67" t="s">
        <v>148</v>
      </c>
      <c r="D4" s="67" t="s">
        <v>68</v>
      </c>
      <c r="E4" s="67" t="s">
        <v>69</v>
      </c>
      <c r="F4" s="67" t="s">
        <v>11</v>
      </c>
      <c r="DA4" s="38" t="str">
        <f>+DA3</f>
        <v xml:space="preserve">UCO Bank </v>
      </c>
    </row>
  </sheetData>
  <sheetProtection algorithmName="SHA-512" hashValue="M+TDq3+VqR1c5kPtKOlCtrvdsLWGnxs32vElzrbGZ3N5kTnGfoeQype18CKGM/8xsdGXk+7rTWUinXYTBSq62g==" saltValue="AUWRBeAPotKOYBKsok70p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05" priority="18" operator="equal">
      <formula>#N/A</formula>
    </cfRule>
  </conditionalFormatting>
  <conditionalFormatting sqref="DG2">
    <cfRule type="cellIs" dxfId="204" priority="13" operator="equal">
      <formula>#N/A</formula>
    </cfRule>
  </conditionalFormatting>
  <conditionalFormatting sqref="DH2:DI2">
    <cfRule type="cellIs" dxfId="203" priority="12" operator="equal">
      <formula>#N/A</formula>
    </cfRule>
  </conditionalFormatting>
  <conditionalFormatting sqref="I1:I2">
    <cfRule type="cellIs" dxfId="202" priority="8" operator="equal">
      <formula>#N/A</formula>
    </cfRule>
  </conditionalFormatting>
  <conditionalFormatting sqref="H1">
    <cfRule type="cellIs" dxfId="201" priority="7" operator="equal">
      <formula>#N/A</formula>
    </cfRule>
  </conditionalFormatting>
  <conditionalFormatting sqref="E1">
    <cfRule type="cellIs" dxfId="200" priority="6" operator="equal">
      <formula>#N/A</formula>
    </cfRule>
  </conditionalFormatting>
  <conditionalFormatting sqref="I1">
    <cfRule type="containsText" dxfId="199" priority="4" operator="containsText" text="All Data Import Successfully">
      <formula>NOT(ISERROR(SEARCH("All Data Import Successfully",I1)))</formula>
    </cfRule>
    <cfRule type="containsText" dxfId="198" priority="5" operator="containsText" text="Difference Entry">
      <formula>NOT(ISERROR(SEARCH("Difference Entry",I1)))</formula>
    </cfRule>
  </conditionalFormatting>
  <conditionalFormatting sqref="E2:G2">
    <cfRule type="cellIs" dxfId="197" priority="3" operator="equal">
      <formula>#N/A</formula>
    </cfRule>
  </conditionalFormatting>
  <conditionalFormatting sqref="H2">
    <cfRule type="cellIs" dxfId="196" priority="2" operator="equal">
      <formula>#N/A</formula>
    </cfRule>
  </conditionalFormatting>
  <conditionalFormatting sqref="I2">
    <cfRule type="cellIs" dxfId="19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288</v>
      </c>
      <c r="T1" s="92">
        <v>10</v>
      </c>
      <c r="U1" s="92" t="s">
        <v>168</v>
      </c>
      <c r="V1" s="92" t="s">
        <v>169</v>
      </c>
      <c r="W1" s="92" t="s">
        <v>170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289</v>
      </c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97" t="s">
        <v>32</v>
      </c>
      <c r="B4" s="197" t="s">
        <v>290</v>
      </c>
      <c r="C4" s="353" t="s">
        <v>125</v>
      </c>
      <c r="D4" s="354"/>
      <c r="E4" s="197" t="s">
        <v>291</v>
      </c>
      <c r="F4" s="197" t="s">
        <v>292</v>
      </c>
      <c r="G4" s="197" t="s">
        <v>68</v>
      </c>
      <c r="H4" s="197" t="s">
        <v>69</v>
      </c>
      <c r="I4" s="198" t="s">
        <v>11</v>
      </c>
      <c r="DA4" s="38" t="str">
        <f>+DA3</f>
        <v>Union Bank of India A/c.</v>
      </c>
    </row>
  </sheetData>
  <sheetProtection algorithmName="SHA-512" hashValue="QpbY84JzXjytVPqxavfyXwD331nYNuAzx2qmdOjD3ynQ47goqTc/fgRJ1gSFFl/23bjS911TzlBw6f11QuN1/Q==" saltValue="DRuDAhn2mVtKuxANCbUAh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238" priority="11" operator="equal">
      <formula>#N/A</formula>
    </cfRule>
  </conditionalFormatting>
  <conditionalFormatting sqref="DH2:DI2">
    <cfRule type="cellIs" dxfId="237" priority="10" operator="equal">
      <formula>#N/A</formula>
    </cfRule>
  </conditionalFormatting>
  <conditionalFormatting sqref="I1:I2">
    <cfRule type="cellIs" dxfId="236" priority="9" operator="equal">
      <formula>#N/A</formula>
    </cfRule>
  </conditionalFormatting>
  <conditionalFormatting sqref="H1">
    <cfRule type="cellIs" dxfId="235" priority="8" operator="equal">
      <formula>#N/A</formula>
    </cfRule>
  </conditionalFormatting>
  <conditionalFormatting sqref="E1">
    <cfRule type="cellIs" dxfId="234" priority="7" operator="equal">
      <formula>#N/A</formula>
    </cfRule>
  </conditionalFormatting>
  <conditionalFormatting sqref="I1">
    <cfRule type="containsText" dxfId="233" priority="5" operator="containsText" text="All Data Import Successfully">
      <formula>NOT(ISERROR(SEARCH("All Data Import Successfully",I1)))</formula>
    </cfRule>
    <cfRule type="containsText" dxfId="232" priority="6" operator="containsText" text="Difference Entry">
      <formula>NOT(ISERROR(SEARCH("Difference Entry",I1)))</formula>
    </cfRule>
  </conditionalFormatting>
  <conditionalFormatting sqref="E2:G2">
    <cfRule type="cellIs" dxfId="231" priority="4" operator="equal">
      <formula>#N/A</formula>
    </cfRule>
  </conditionalFormatting>
  <conditionalFormatting sqref="H2">
    <cfRule type="cellIs" dxfId="230" priority="3" operator="equal">
      <formula>#N/A</formula>
    </cfRule>
  </conditionalFormatting>
  <conditionalFormatting sqref="I2">
    <cfRule type="cellIs" dxfId="229" priority="2" operator="equal">
      <formula>0</formula>
    </cfRule>
  </conditionalFormatting>
  <conditionalFormatting sqref="E3">
    <cfRule type="cellIs" dxfId="228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2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188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197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189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142</v>
      </c>
      <c r="B3" s="190"/>
      <c r="C3" s="55"/>
      <c r="D3" s="55"/>
      <c r="E3" s="57"/>
      <c r="F3" s="55"/>
      <c r="G3" s="58"/>
      <c r="H3" s="59"/>
      <c r="I3" s="55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e">
        <f>IF(L3="","",VALUE(SUBSTITUTE(SUBSTITUTE((L3),",",""),"Cr","")))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6" t="s">
        <v>272</v>
      </c>
      <c r="B4" s="191" t="s">
        <v>273</v>
      </c>
      <c r="C4" s="187"/>
      <c r="D4" s="187" t="s">
        <v>274</v>
      </c>
      <c r="E4" s="187"/>
      <c r="F4" s="187" t="s">
        <v>275</v>
      </c>
      <c r="G4" s="187"/>
      <c r="H4" s="187" t="s">
        <v>276</v>
      </c>
      <c r="I4" s="187"/>
      <c r="J4" s="187" t="s">
        <v>277</v>
      </c>
      <c r="K4" s="187"/>
      <c r="L4" s="186" t="s">
        <v>278</v>
      </c>
      <c r="DA4" s="38" t="str">
        <f>+DA3</f>
        <v>Union Bank of India A/c.</v>
      </c>
    </row>
  </sheetData>
  <sheetProtection algorithmName="SHA-512" hashValue="XkzK0uU1xhrOKGCOyD9BVLap4+is0ja8MCJD9BGhN10OpDTzN2cOOXzBfPc8+/hYzePQm/K0DZqzt4cmr6ircw==" saltValue="NiV0nLkSAbLqFmVidms4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17" priority="18" operator="equal">
      <formula>#N/A</formula>
    </cfRule>
  </conditionalFormatting>
  <conditionalFormatting sqref="DG2">
    <cfRule type="cellIs" dxfId="516" priority="13" operator="equal">
      <formula>#N/A</formula>
    </cfRule>
  </conditionalFormatting>
  <conditionalFormatting sqref="DH2:DI2">
    <cfRule type="cellIs" dxfId="515" priority="12" operator="equal">
      <formula>#N/A</formula>
    </cfRule>
  </conditionalFormatting>
  <conditionalFormatting sqref="I1:I2">
    <cfRule type="cellIs" dxfId="514" priority="8" operator="equal">
      <formula>#N/A</formula>
    </cfRule>
  </conditionalFormatting>
  <conditionalFormatting sqref="H1">
    <cfRule type="cellIs" dxfId="513" priority="7" operator="equal">
      <formula>#N/A</formula>
    </cfRule>
  </conditionalFormatting>
  <conditionalFormatting sqref="E1">
    <cfRule type="cellIs" dxfId="512" priority="6" operator="equal">
      <formula>#N/A</formula>
    </cfRule>
  </conditionalFormatting>
  <conditionalFormatting sqref="I1">
    <cfRule type="containsText" dxfId="511" priority="4" operator="containsText" text="All Data Import Successfully">
      <formula>NOT(ISERROR(SEARCH("All Data Import Successfully",I1)))</formula>
    </cfRule>
    <cfRule type="containsText" dxfId="510" priority="5" operator="containsText" text="Difference Entry">
      <formula>NOT(ISERROR(SEARCH("Difference Entry",I1)))</formula>
    </cfRule>
  </conditionalFormatting>
  <conditionalFormatting sqref="E2:G2">
    <cfRule type="cellIs" dxfId="509" priority="3" operator="equal">
      <formula>#N/A</formula>
    </cfRule>
  </conditionalFormatting>
  <conditionalFormatting sqref="H2">
    <cfRule type="cellIs" dxfId="508" priority="2" operator="equal">
      <formula>#N/A</formula>
    </cfRule>
  </conditionalFormatting>
  <conditionalFormatting sqref="I2">
    <cfRule type="cellIs" dxfId="50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193</v>
      </c>
      <c r="T1" s="92">
        <v>8</v>
      </c>
      <c r="U1" s="92" t="s">
        <v>181</v>
      </c>
      <c r="V1" s="92" t="s">
        <v>181</v>
      </c>
      <c r="W1" s="92" t="s">
        <v>173</v>
      </c>
      <c r="X1" s="99" t="s">
        <v>6</v>
      </c>
      <c r="Y1" s="99" t="s">
        <v>6</v>
      </c>
      <c r="Z1" s="92">
        <v>0</v>
      </c>
      <c r="AA1" s="92" t="s">
        <v>256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280</v>
      </c>
      <c r="B3" s="56"/>
      <c r="C3" s="55"/>
      <c r="D3" s="55"/>
      <c r="E3" s="57"/>
      <c r="F3" s="55"/>
      <c r="G3" s="58"/>
      <c r="H3" s="59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 xml:space="preserve">Union Bank </v>
      </c>
      <c r="DB3" s="165">
        <f>VALUE(B3)</f>
        <v>0</v>
      </c>
      <c r="DC3" s="166" t="e">
        <f>+CONCATENATE(TEXT(DB3,"D"),"",TEXT(DB3,"MM"),"","/",SUBSTITUTE(DF3,",",""),"/",DK3)</f>
        <v>#VALUE!</v>
      </c>
      <c r="DD3" s="131" t="e">
        <f>IF(RIGHT(E3,4)="(Cr)",VALUE("0"),VALUE(SUBSTITUTE(SUBSTITUTE((TRIM(E3)),",",""),"(Dr)","")))</f>
        <v>#VALUE!</v>
      </c>
      <c r="DE3" s="131" t="e">
        <f>IF(RIGHT(E3,4)="(Dr)",VALUE("0"),VALUE(SUBSTITUTE(SUBSTITUTE((E3),",",""),"(Cr)","")))</f>
        <v>#VALUE!</v>
      </c>
      <c r="DF3" s="130" t="e">
        <f>+IF(RIGHT(F3,4)="(Dr)",VALUE(SUBSTITUTE(SUBSTITUTE(SUBSTITUTE((F3),",",""),"(Cr)",""),"(Dr)",""))*-1,VALUE(SUBSTITUTE(SUBSTITUTE(SUBSTITUTE((F3),",",""),"(Cr)",""),"(Dr)","")))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+D3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3" t="s">
        <v>279</v>
      </c>
      <c r="B4" s="193" t="s">
        <v>236</v>
      </c>
      <c r="C4" s="161" t="s">
        <v>238</v>
      </c>
      <c r="D4" s="161" t="s">
        <v>237</v>
      </c>
      <c r="E4" s="161" t="s">
        <v>239</v>
      </c>
      <c r="F4" s="194" t="s">
        <v>240</v>
      </c>
      <c r="DA4" s="38" t="str">
        <f>+DA3</f>
        <v xml:space="preserve">Union Bank </v>
      </c>
    </row>
    <row r="22" ht="15" customHeight="1"/>
  </sheetData>
  <sheetProtection algorithmName="SHA-512" hashValue="JJL9wIsaV6wXOw/6pPkHRG3rvgY9nPLaJEXFGOFmoPfJpbFqbeRsOnzP/s79f1mhumct9bm2NEepRV3P0/EZrQ==" saltValue="nULcX+H7JTKXsnJBolid5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06" priority="11" operator="equal">
      <formula>#N/A</formula>
    </cfRule>
  </conditionalFormatting>
  <conditionalFormatting sqref="DG2">
    <cfRule type="cellIs" dxfId="505" priority="10" operator="equal">
      <formula>#N/A</formula>
    </cfRule>
  </conditionalFormatting>
  <conditionalFormatting sqref="DH2:DI2">
    <cfRule type="cellIs" dxfId="504" priority="9" operator="equal">
      <formula>#N/A</formula>
    </cfRule>
  </conditionalFormatting>
  <conditionalFormatting sqref="I1:I2">
    <cfRule type="cellIs" dxfId="503" priority="8" operator="equal">
      <formula>#N/A</formula>
    </cfRule>
  </conditionalFormatting>
  <conditionalFormatting sqref="H1">
    <cfRule type="cellIs" dxfId="502" priority="7" operator="equal">
      <formula>#N/A</formula>
    </cfRule>
  </conditionalFormatting>
  <conditionalFormatting sqref="E1">
    <cfRule type="cellIs" dxfId="501" priority="6" operator="equal">
      <formula>#N/A</formula>
    </cfRule>
  </conditionalFormatting>
  <conditionalFormatting sqref="I1">
    <cfRule type="containsText" dxfId="500" priority="4" operator="containsText" text="All Data Import Successfully">
      <formula>NOT(ISERROR(SEARCH("All Data Import Successfully",I1)))</formula>
    </cfRule>
    <cfRule type="containsText" dxfId="499" priority="5" operator="containsText" text="Difference Entry">
      <formula>NOT(ISERROR(SEARCH("Difference Entry",I1)))</formula>
    </cfRule>
  </conditionalFormatting>
  <conditionalFormatting sqref="E2:G2">
    <cfRule type="cellIs" dxfId="498" priority="3" operator="equal">
      <formula>#N/A</formula>
    </cfRule>
  </conditionalFormatting>
  <conditionalFormatting sqref="H2">
    <cfRule type="cellIs" dxfId="497" priority="2" operator="equal">
      <formula>#N/A</formula>
    </cfRule>
  </conditionalFormatting>
  <conditionalFormatting sqref="I2">
    <cfRule type="cellIs" dxfId="49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49" t="s">
        <v>32</v>
      </c>
      <c r="B4" s="49" t="s">
        <v>33</v>
      </c>
      <c r="C4" s="49" t="s">
        <v>99</v>
      </c>
      <c r="D4" s="49" t="s">
        <v>100</v>
      </c>
      <c r="E4" s="49" t="s">
        <v>22</v>
      </c>
      <c r="F4" s="49" t="s">
        <v>101</v>
      </c>
      <c r="DA4" s="38" t="str">
        <f>+DA3</f>
        <v>The Varachha Co-op. Bank A/c.</v>
      </c>
    </row>
  </sheetData>
  <sheetProtection algorithmName="SHA-512" hashValue="w9kmCGReYpSBhnjGpfx3gEyeIU5h3Uo2k0rMuC3z3DMqpb9HtUkF6oJx1ZympOXHHjAC3GRtWjSI0gb9lfNKMg==" saltValue="yi9XJ/tlqH+1oblZRFtMs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21" priority="10" operator="equal">
      <formula>#N/A</formula>
    </cfRule>
  </conditionalFormatting>
  <conditionalFormatting sqref="H1">
    <cfRule type="cellIs" dxfId="120" priority="9" operator="equal">
      <formula>#N/A</formula>
    </cfRule>
  </conditionalFormatting>
  <conditionalFormatting sqref="E1">
    <cfRule type="cellIs" dxfId="119" priority="8" operator="equal">
      <formula>#N/A</formula>
    </cfRule>
  </conditionalFormatting>
  <conditionalFormatting sqref="I1">
    <cfRule type="containsText" dxfId="118" priority="6" operator="containsText" text="All Data Import Successfully">
      <formula>NOT(ISERROR(SEARCH("All Data Import Successfully",I1)))</formula>
    </cfRule>
    <cfRule type="containsText" dxfId="117" priority="7" operator="containsText" text="Difference Entry">
      <formula>NOT(ISERROR(SEARCH("Difference Entry",I1)))</formula>
    </cfRule>
  </conditionalFormatting>
  <conditionalFormatting sqref="DG2">
    <cfRule type="cellIs" dxfId="116" priority="5" operator="equal">
      <formula>#N/A</formula>
    </cfRule>
  </conditionalFormatting>
  <conditionalFormatting sqref="DH2:DI2">
    <cfRule type="cellIs" dxfId="115" priority="4" operator="equal">
      <formula>#N/A</formula>
    </cfRule>
  </conditionalFormatting>
  <conditionalFormatting sqref="E2:G2">
    <cfRule type="cellIs" dxfId="114" priority="3" operator="equal">
      <formula>#N/A</formula>
    </cfRule>
  </conditionalFormatting>
  <conditionalFormatting sqref="H2">
    <cfRule type="cellIs" dxfId="113" priority="2" operator="equal">
      <formula>#N/A</formula>
    </cfRule>
  </conditionalFormatting>
  <conditionalFormatting sqref="I2">
    <cfRule type="cellIs" dxfId="112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213</v>
      </c>
      <c r="T1" s="92">
        <v>7</v>
      </c>
      <c r="U1" s="92" t="s">
        <v>197</v>
      </c>
      <c r="V1" s="92" t="s">
        <v>181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287</v>
      </c>
      <c r="B3" s="56"/>
      <c r="C3" s="55"/>
      <c r="D3" s="55"/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5" t="s">
        <v>281</v>
      </c>
      <c r="B4" s="196" t="s">
        <v>282</v>
      </c>
      <c r="C4" s="196" t="s">
        <v>283</v>
      </c>
      <c r="D4" s="196" t="s">
        <v>284</v>
      </c>
      <c r="E4" s="196" t="s">
        <v>285</v>
      </c>
      <c r="F4" s="196" t="s">
        <v>286</v>
      </c>
      <c r="DA4" s="38" t="str">
        <f>+DA3</f>
        <v xml:space="preserve">The Varachha Co.Op. Bank </v>
      </c>
    </row>
  </sheetData>
  <sheetProtection algorithmName="SHA-512" hashValue="jhz6SQM4ow4Yz911JeCUIvYW5hFPyyCYhuNKfbJ10m5q190yOCD6ez9qqQEInj0Ws28/kRtBJNqm0AkQK3FCwA==" saltValue="kNoZiIJvm5wlwEUVNu+X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440" priority="11" operator="equal">
      <formula>#N/A</formula>
    </cfRule>
  </conditionalFormatting>
  <conditionalFormatting sqref="DG2">
    <cfRule type="cellIs" dxfId="439" priority="10" operator="equal">
      <formula>#N/A</formula>
    </cfRule>
  </conditionalFormatting>
  <conditionalFormatting sqref="DH2:DI2">
    <cfRule type="cellIs" dxfId="438" priority="9" operator="equal">
      <formula>#N/A</formula>
    </cfRule>
  </conditionalFormatting>
  <conditionalFormatting sqref="I1:I2">
    <cfRule type="cellIs" dxfId="437" priority="8" operator="equal">
      <formula>#N/A</formula>
    </cfRule>
  </conditionalFormatting>
  <conditionalFormatting sqref="H1">
    <cfRule type="cellIs" dxfId="436" priority="7" operator="equal">
      <formula>#N/A</formula>
    </cfRule>
  </conditionalFormatting>
  <conditionalFormatting sqref="E1">
    <cfRule type="cellIs" dxfId="435" priority="6" operator="equal">
      <formula>#N/A</formula>
    </cfRule>
  </conditionalFormatting>
  <conditionalFormatting sqref="I1">
    <cfRule type="containsText" dxfId="434" priority="4" operator="containsText" text="All Data Import Successfully">
      <formula>NOT(ISERROR(SEARCH("All Data Import Successfully",I1)))</formula>
    </cfRule>
    <cfRule type="containsText" dxfId="433" priority="5" operator="containsText" text="Difference Entry">
      <formula>NOT(ISERROR(SEARCH("Difference Entry",I1)))</formula>
    </cfRule>
  </conditionalFormatting>
  <conditionalFormatting sqref="E2:G2">
    <cfRule type="cellIs" dxfId="432" priority="3" operator="equal">
      <formula>#N/A</formula>
    </cfRule>
  </conditionalFormatting>
  <conditionalFormatting sqref="H2">
    <cfRule type="cellIs" dxfId="431" priority="2" operator="equal">
      <formula>#N/A</formula>
    </cfRule>
  </conditionalFormatting>
  <conditionalFormatting sqref="I2">
    <cfRule type="cellIs" dxfId="43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topLeftCell="A16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203</v>
      </c>
      <c r="T1" s="92">
        <v>7</v>
      </c>
      <c r="U1" s="92" t="s">
        <v>181</v>
      </c>
      <c r="V1" s="92" t="s">
        <v>172</v>
      </c>
      <c r="W1" s="92" t="s">
        <v>173</v>
      </c>
      <c r="X1" s="99" t="s">
        <v>6</v>
      </c>
      <c r="Y1" s="99">
        <v>17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171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71</v>
      </c>
      <c r="B3" s="56"/>
      <c r="C3" s="55"/>
      <c r="D3" s="55" t="s">
        <v>204</v>
      </c>
      <c r="E3" s="57"/>
      <c r="F3" s="55"/>
      <c r="G3" s="58"/>
      <c r="H3" s="21"/>
      <c r="I3" s="17"/>
      <c r="L3" s="6" t="s">
        <v>434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17" t="s">
        <v>25</v>
      </c>
      <c r="B4" s="118" t="s">
        <v>18</v>
      </c>
      <c r="C4" s="118" t="s">
        <v>67</v>
      </c>
      <c r="D4" s="118" t="s">
        <v>19</v>
      </c>
      <c r="E4" s="118" t="s">
        <v>68</v>
      </c>
      <c r="F4" s="118" t="s">
        <v>69</v>
      </c>
      <c r="G4" s="119" t="s">
        <v>70</v>
      </c>
      <c r="DA4" s="38" t="str">
        <f>+DA3</f>
        <v xml:space="preserve">Yesh Bank </v>
      </c>
    </row>
  </sheetData>
  <sheetProtection algorithmName="SHA-512" hashValue="zV1GYBdFTOqD+vmPVpLE42QH4GhIrxhhLiasDrQqauM1rzGw4gg3a1EWJyc7yoMnS1QiV4w8+tzDlWjZlcNr2w==" saltValue="eke1A5fxjX7bs4CHNK8s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13" priority="18" operator="equal">
      <formula>#N/A</formula>
    </cfRule>
  </conditionalFormatting>
  <conditionalFormatting sqref="DG2">
    <cfRule type="cellIs" dxfId="312" priority="13" operator="equal">
      <formula>#N/A</formula>
    </cfRule>
  </conditionalFormatting>
  <conditionalFormatting sqref="DH2:DI2">
    <cfRule type="cellIs" dxfId="311" priority="12" operator="equal">
      <formula>#N/A</formula>
    </cfRule>
  </conditionalFormatting>
  <conditionalFormatting sqref="I1:I2">
    <cfRule type="cellIs" dxfId="310" priority="8" operator="equal">
      <formula>#N/A</formula>
    </cfRule>
  </conditionalFormatting>
  <conditionalFormatting sqref="H1">
    <cfRule type="cellIs" dxfId="309" priority="7" operator="equal">
      <formula>#N/A</formula>
    </cfRule>
  </conditionalFormatting>
  <conditionalFormatting sqref="E1">
    <cfRule type="cellIs" dxfId="308" priority="6" operator="equal">
      <formula>#N/A</formula>
    </cfRule>
  </conditionalFormatting>
  <conditionalFormatting sqref="I1">
    <cfRule type="containsText" dxfId="307" priority="4" operator="containsText" text="All Data Import Successfully">
      <formula>NOT(ISERROR(SEARCH("All Data Import Successfully",I1)))</formula>
    </cfRule>
    <cfRule type="containsText" dxfId="306" priority="5" operator="containsText" text="Difference Entry">
      <formula>NOT(ISERROR(SEARCH("Difference Entry",I1)))</formula>
    </cfRule>
  </conditionalFormatting>
  <conditionalFormatting sqref="E2:G2">
    <cfRule type="cellIs" dxfId="305" priority="3" operator="equal">
      <formula>#N/A</formula>
    </cfRule>
  </conditionalFormatting>
  <conditionalFormatting sqref="H2">
    <cfRule type="cellIs" dxfId="304" priority="2" operator="equal">
      <formula>#N/A</formula>
    </cfRule>
  </conditionalFormatting>
  <conditionalFormatting sqref="I2">
    <cfRule type="cellIs" dxfId="30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77"/>
  <sheetViews>
    <sheetView tabSelected="1" topLeftCell="A7" workbookViewId="0">
      <selection activeCell="I21" sqref="I21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27" bestFit="1" customWidth="1"/>
    <col min="10" max="10" width="9.140625" style="127"/>
    <col min="11" max="11" width="19.85546875" style="296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358" t="s">
        <v>411</v>
      </c>
      <c r="O1" s="359"/>
    </row>
    <row r="2" spans="1:135">
      <c r="M2" s="175"/>
      <c r="N2" s="243"/>
      <c r="O2" s="244"/>
      <c r="BA2" t="s">
        <v>174</v>
      </c>
    </row>
    <row r="3" spans="1:135" ht="15.75" thickBot="1">
      <c r="L3" t="s">
        <v>434</v>
      </c>
      <c r="N3" s="243"/>
      <c r="O3" s="244"/>
      <c r="BA3" t="s">
        <v>175</v>
      </c>
    </row>
    <row r="4" spans="1:135">
      <c r="E4" s="249"/>
      <c r="F4" s="250"/>
      <c r="G4" s="251"/>
      <c r="N4" s="243"/>
      <c r="O4" s="245"/>
      <c r="BA4" t="s">
        <v>176</v>
      </c>
    </row>
    <row r="5" spans="1:135">
      <c r="A5" s="6"/>
      <c r="B5" s="6"/>
      <c r="C5" s="6"/>
      <c r="D5" s="6"/>
      <c r="E5" s="252"/>
      <c r="F5" s="253"/>
      <c r="G5" s="254"/>
      <c r="H5" s="6"/>
      <c r="I5" s="5"/>
      <c r="J5" s="5"/>
      <c r="K5" s="8"/>
      <c r="L5" s="6"/>
      <c r="M5" s="6"/>
      <c r="N5" s="243"/>
      <c r="O5" s="244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177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2"/>
      <c r="F6" s="253"/>
      <c r="G6" s="254"/>
      <c r="H6" s="6"/>
      <c r="I6" s="5"/>
      <c r="J6" s="5"/>
      <c r="K6" s="8"/>
      <c r="L6" s="6"/>
      <c r="M6" s="6"/>
      <c r="N6" s="246" t="s">
        <v>399</v>
      </c>
      <c r="O6" s="247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2"/>
      <c r="F7" s="253"/>
      <c r="G7" s="254"/>
      <c r="H7" s="6"/>
      <c r="I7" s="5"/>
      <c r="J7" s="5"/>
      <c r="K7" s="8"/>
      <c r="L7" s="6" t="s">
        <v>397</v>
      </c>
      <c r="M7" s="6" t="b">
        <v>1</v>
      </c>
      <c r="N7" s="246" t="s">
        <v>400</v>
      </c>
      <c r="O7" s="247" t="s">
        <v>409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2"/>
      <c r="F8" s="253"/>
      <c r="G8" s="254"/>
      <c r="H8" s="6"/>
      <c r="I8" s="5"/>
      <c r="J8" s="5"/>
      <c r="K8" s="8"/>
      <c r="L8" s="6" t="s">
        <v>398</v>
      </c>
      <c r="M8" s="6" t="b">
        <v>1</v>
      </c>
      <c r="N8" s="246" t="s">
        <v>401</v>
      </c>
      <c r="O8" s="247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2"/>
      <c r="F9" s="253"/>
      <c r="G9" s="254"/>
      <c r="H9" s="6"/>
      <c r="I9" s="5"/>
      <c r="J9" s="5"/>
      <c r="K9" s="8"/>
      <c r="L9" s="6" t="s">
        <v>393</v>
      </c>
      <c r="M9" s="6" t="b">
        <v>0</v>
      </c>
      <c r="N9" s="246" t="s">
        <v>402</v>
      </c>
      <c r="O9" s="248" t="s">
        <v>1081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2"/>
      <c r="F10" s="253"/>
      <c r="G10" s="254"/>
      <c r="H10" s="6"/>
      <c r="I10" s="5"/>
      <c r="J10" s="5"/>
      <c r="K10" s="8"/>
      <c r="L10" s="6" t="s">
        <v>355</v>
      </c>
      <c r="M10" s="6" t="b">
        <v>0</v>
      </c>
      <c r="N10" s="246" t="s">
        <v>403</v>
      </c>
      <c r="O10" s="247" t="s">
        <v>1082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2"/>
      <c r="F11" s="253"/>
      <c r="G11" s="254"/>
      <c r="H11" s="6"/>
      <c r="I11" s="5"/>
      <c r="J11" s="5"/>
      <c r="K11" s="8"/>
      <c r="L11" s="6" t="s">
        <v>1102</v>
      </c>
      <c r="M11" s="6" t="b">
        <v>1</v>
      </c>
      <c r="N11" s="246" t="s">
        <v>404</v>
      </c>
      <c r="O11" s="248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2"/>
      <c r="F12" s="253"/>
      <c r="G12" s="254"/>
      <c r="H12" s="6"/>
      <c r="I12" s="5"/>
      <c r="J12" s="5"/>
      <c r="K12" s="8"/>
      <c r="L12" s="6" t="s">
        <v>371</v>
      </c>
      <c r="M12" s="6" t="b">
        <v>0</v>
      </c>
      <c r="N12" s="246" t="s">
        <v>405</v>
      </c>
      <c r="O12" s="248">
        <v>45809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2"/>
      <c r="F13" s="253"/>
      <c r="G13" s="254"/>
      <c r="H13" s="6"/>
      <c r="I13" s="5"/>
      <c r="J13" s="5"/>
      <c r="K13" s="8"/>
      <c r="L13" s="6" t="s">
        <v>348</v>
      </c>
      <c r="M13" s="6" t="b">
        <v>0</v>
      </c>
      <c r="N13" s="246" t="s">
        <v>407</v>
      </c>
      <c r="O13" s="248" t="s">
        <v>410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2"/>
      <c r="F14" s="253"/>
      <c r="G14" s="254"/>
      <c r="H14" s="6"/>
      <c r="I14" s="5"/>
      <c r="J14" s="5"/>
      <c r="K14" s="8"/>
      <c r="L14" s="6" t="s">
        <v>369</v>
      </c>
      <c r="M14" s="6" t="b">
        <v>1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2"/>
      <c r="F15" s="253"/>
      <c r="G15" s="254"/>
      <c r="H15" s="6"/>
      <c r="I15" s="5"/>
      <c r="J15" s="5"/>
      <c r="K15" s="8"/>
      <c r="L15" s="6" t="s">
        <v>370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2"/>
      <c r="F16" s="253"/>
      <c r="G16" s="254"/>
      <c r="H16" s="6"/>
      <c r="I16" s="5"/>
      <c r="J16" s="5"/>
      <c r="K16" s="8"/>
      <c r="L16" s="6" t="s">
        <v>347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2"/>
      <c r="F17" s="253"/>
      <c r="G17" s="254"/>
      <c r="H17" s="6"/>
      <c r="I17" s="5"/>
      <c r="J17" s="5"/>
      <c r="K17" s="8"/>
      <c r="L17" s="6" t="s">
        <v>375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2"/>
      <c r="F18" s="253"/>
      <c r="G18" s="254"/>
      <c r="H18" s="6"/>
      <c r="I18" s="5"/>
      <c r="J18" s="5"/>
      <c r="K18" s="8"/>
      <c r="L18" s="6" t="s">
        <v>384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2"/>
      <c r="F19" s="253"/>
      <c r="G19" s="254"/>
      <c r="H19" s="6"/>
      <c r="I19" s="5"/>
      <c r="J19" s="5"/>
      <c r="K19" s="8"/>
      <c r="L19" s="6" t="s">
        <v>443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2"/>
      <c r="F20" s="253"/>
      <c r="G20" s="254"/>
      <c r="H20" s="6"/>
      <c r="I20" s="5"/>
      <c r="J20" s="5"/>
      <c r="K20" s="8"/>
      <c r="L20" s="6" t="s">
        <v>1221</v>
      </c>
      <c r="M20" s="6" t="b">
        <v>1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2"/>
      <c r="F21" s="253"/>
      <c r="G21" s="254"/>
      <c r="H21" s="6"/>
      <c r="I21" s="5"/>
      <c r="J21" s="5"/>
      <c r="K21" s="8"/>
      <c r="L21" s="6" t="s">
        <v>385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2"/>
      <c r="F22" s="253"/>
      <c r="G22" s="254"/>
      <c r="H22" s="6"/>
      <c r="I22" s="5"/>
      <c r="J22" s="5"/>
      <c r="K22" s="8"/>
      <c r="L22" s="6" t="s">
        <v>381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2"/>
      <c r="F23" s="253"/>
      <c r="G23" s="254"/>
      <c r="H23" s="6"/>
      <c r="I23" s="5"/>
      <c r="J23" s="5"/>
      <c r="K23" s="8"/>
      <c r="L23" s="6" t="s">
        <v>1086</v>
      </c>
      <c r="M23" s="6" t="b">
        <v>1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2"/>
      <c r="F24" s="253"/>
      <c r="G24" s="254"/>
      <c r="H24" s="6"/>
      <c r="I24" s="5"/>
      <c r="J24" s="5"/>
      <c r="K24" s="8"/>
      <c r="L24" s="6" t="s">
        <v>432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2"/>
      <c r="F25" s="253"/>
      <c r="G25" s="254"/>
      <c r="H25" s="6"/>
      <c r="I25" s="5"/>
      <c r="J25" s="5"/>
      <c r="K25" s="8"/>
      <c r="L25" s="6" t="s">
        <v>383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2"/>
      <c r="F26" s="253"/>
      <c r="G26" s="254"/>
      <c r="H26" s="6"/>
      <c r="I26" s="5"/>
      <c r="J26" s="5"/>
      <c r="K26" s="8"/>
      <c r="L26" s="6" t="s">
        <v>363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2"/>
      <c r="F27" s="253"/>
      <c r="G27" s="254"/>
      <c r="H27" s="6"/>
      <c r="I27" s="5"/>
      <c r="J27" s="5"/>
      <c r="K27" s="8"/>
      <c r="L27" s="6" t="s">
        <v>352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2"/>
      <c r="F28" s="253"/>
      <c r="G28" s="254"/>
      <c r="H28" s="6"/>
      <c r="I28" s="5"/>
      <c r="J28" s="5"/>
      <c r="K28" s="8"/>
      <c r="L28" s="6" t="s">
        <v>395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2"/>
      <c r="F29" s="253"/>
      <c r="G29" s="254"/>
      <c r="H29" s="6"/>
      <c r="I29" s="5"/>
      <c r="J29" s="5"/>
      <c r="K29" s="8"/>
      <c r="L29" s="6" t="s">
        <v>408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2"/>
      <c r="F30" s="253"/>
      <c r="G30" s="254"/>
      <c r="H30" s="6"/>
      <c r="I30" s="5"/>
      <c r="J30" s="5"/>
      <c r="K30" s="8"/>
      <c r="L30" s="6" t="s">
        <v>389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2"/>
      <c r="F31" s="253"/>
      <c r="G31" s="254"/>
      <c r="H31" s="6"/>
      <c r="I31" s="5"/>
      <c r="J31" s="5"/>
      <c r="K31" s="8"/>
      <c r="L31" s="6" t="s">
        <v>1310</v>
      </c>
      <c r="M31" s="6" t="b">
        <v>1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2"/>
      <c r="F32" s="253"/>
      <c r="G32" s="254"/>
      <c r="H32" s="6"/>
      <c r="I32" s="5"/>
      <c r="J32" s="5"/>
      <c r="K32" s="8"/>
      <c r="L32" s="6" t="s">
        <v>366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2"/>
      <c r="F33" s="253"/>
      <c r="G33" s="254"/>
      <c r="H33" s="6"/>
      <c r="I33" s="5"/>
      <c r="J33" s="5"/>
      <c r="K33" s="8"/>
      <c r="L33" s="6" t="s">
        <v>346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2"/>
      <c r="F34" s="253"/>
      <c r="G34" s="254"/>
      <c r="H34" s="6"/>
      <c r="I34" s="5"/>
      <c r="J34" s="5"/>
      <c r="K34" s="8"/>
      <c r="L34" s="6" t="s">
        <v>1226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2"/>
      <c r="F35" s="253"/>
      <c r="G35" s="254"/>
      <c r="H35" s="6"/>
      <c r="I35" s="5"/>
      <c r="J35" s="5"/>
      <c r="K35" s="8"/>
      <c r="L35" s="6" t="s">
        <v>364</v>
      </c>
      <c r="M35" s="6" t="b">
        <v>0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2"/>
      <c r="F36" s="253"/>
      <c r="G36" s="254"/>
      <c r="H36" s="6"/>
      <c r="I36" s="5"/>
      <c r="J36" s="5"/>
      <c r="K36" s="8"/>
      <c r="L36" s="6" t="s">
        <v>343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2"/>
      <c r="F37" s="253"/>
      <c r="G37" s="254"/>
      <c r="H37" s="6"/>
      <c r="I37" s="5"/>
      <c r="J37" s="5"/>
      <c r="K37" s="8"/>
      <c r="L37" s="6" t="s">
        <v>345</v>
      </c>
      <c r="M37" s="6" t="b">
        <v>1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2"/>
      <c r="F38" s="253"/>
      <c r="G38" s="254"/>
      <c r="H38" s="6"/>
      <c r="I38" s="5"/>
      <c r="J38" s="5"/>
      <c r="K38" s="8"/>
      <c r="L38" s="6" t="s">
        <v>365</v>
      </c>
      <c r="M38" s="6" t="b">
        <v>0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2"/>
      <c r="F39" s="253"/>
      <c r="G39" s="254"/>
      <c r="H39" s="6"/>
      <c r="I39" s="5"/>
      <c r="J39" s="5"/>
      <c r="K39" s="8"/>
      <c r="L39" s="6" t="s">
        <v>344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2"/>
      <c r="F40" s="253"/>
      <c r="G40" s="254"/>
      <c r="H40" s="6"/>
      <c r="I40" s="5"/>
      <c r="J40" s="5"/>
      <c r="K40" s="8"/>
      <c r="L40" s="6" t="s">
        <v>374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2"/>
      <c r="F41" s="253"/>
      <c r="G41" s="254"/>
      <c r="H41" s="6"/>
      <c r="I41" s="5"/>
      <c r="J41" s="5"/>
      <c r="K41" s="8"/>
      <c r="L41" s="6" t="s">
        <v>349</v>
      </c>
      <c r="M41" s="6" t="b">
        <v>0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2"/>
      <c r="F42" s="253"/>
      <c r="G42" s="254"/>
      <c r="H42" s="6"/>
      <c r="I42" s="5"/>
      <c r="J42" s="5"/>
      <c r="K42" s="8"/>
      <c r="L42" s="6" t="s">
        <v>350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2"/>
      <c r="F43" s="253"/>
      <c r="G43" s="254"/>
      <c r="H43" s="6"/>
      <c r="I43" s="5"/>
      <c r="J43" s="5"/>
      <c r="K43" s="8"/>
      <c r="L43" s="6" t="s">
        <v>377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2"/>
      <c r="F44" s="253"/>
      <c r="G44" s="254"/>
      <c r="H44" s="6"/>
      <c r="I44" s="5"/>
      <c r="J44" s="5"/>
      <c r="K44" s="8"/>
      <c r="L44" s="6" t="s">
        <v>351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2"/>
      <c r="F45" s="253"/>
      <c r="G45" s="254"/>
      <c r="H45" s="6"/>
      <c r="I45" s="5"/>
      <c r="J45" s="5"/>
      <c r="K45" s="8"/>
      <c r="L45" s="6" t="s">
        <v>376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2"/>
      <c r="F46" s="253"/>
      <c r="G46" s="254"/>
      <c r="H46" s="6"/>
      <c r="I46" s="5"/>
      <c r="J46" s="5"/>
      <c r="K46" s="8"/>
      <c r="L46" s="6" t="s">
        <v>373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2"/>
      <c r="F47" s="253"/>
      <c r="G47" s="254"/>
      <c r="H47" s="6"/>
      <c r="I47" s="5"/>
      <c r="J47" s="5"/>
      <c r="K47" s="8"/>
      <c r="L47" s="6" t="s">
        <v>353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2"/>
      <c r="F48" s="253"/>
      <c r="G48" s="254"/>
      <c r="H48" s="6"/>
      <c r="I48" s="5"/>
      <c r="J48" s="5"/>
      <c r="K48" s="8"/>
      <c r="L48" s="6" t="s">
        <v>354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2"/>
      <c r="F49" s="253"/>
      <c r="G49" s="254"/>
      <c r="H49" s="6"/>
      <c r="I49" s="5"/>
      <c r="J49" s="5"/>
      <c r="K49" s="8"/>
      <c r="L49" s="6" t="s">
        <v>360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2"/>
      <c r="F50" s="253"/>
      <c r="G50" s="254"/>
      <c r="H50" s="6"/>
      <c r="I50" s="5"/>
      <c r="J50" s="5"/>
      <c r="K50" s="8"/>
      <c r="L50" s="6" t="s">
        <v>367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2"/>
      <c r="F51" s="253"/>
      <c r="G51" s="254"/>
      <c r="H51" s="6"/>
      <c r="I51" s="5"/>
      <c r="J51" s="5"/>
      <c r="K51" s="8"/>
      <c r="L51" s="6" t="s">
        <v>368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2"/>
      <c r="F52" s="253"/>
      <c r="G52" s="254"/>
      <c r="H52" s="6"/>
      <c r="I52" s="5"/>
      <c r="J52" s="5"/>
      <c r="K52" s="8"/>
      <c r="L52" s="6" t="s">
        <v>361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2"/>
      <c r="F53" s="253"/>
      <c r="G53" s="254"/>
      <c r="H53" s="6"/>
      <c r="I53" s="5"/>
      <c r="J53" s="5"/>
      <c r="K53" s="8"/>
      <c r="L53" s="6" t="s">
        <v>362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2"/>
      <c r="F54" s="253"/>
      <c r="G54" s="254"/>
      <c r="H54" s="6"/>
      <c r="I54" s="5"/>
      <c r="J54" s="5"/>
      <c r="K54" s="8"/>
      <c r="L54" s="6" t="s">
        <v>444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2"/>
      <c r="F55" s="253"/>
      <c r="G55" s="254"/>
      <c r="H55" s="6"/>
      <c r="I55" s="5"/>
      <c r="J55" s="5"/>
      <c r="K55" s="8"/>
      <c r="L55" s="6" t="s">
        <v>386</v>
      </c>
      <c r="M55" s="6" t="b">
        <v>0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2"/>
      <c r="F56" s="253"/>
      <c r="G56" s="254"/>
      <c r="H56" s="6"/>
      <c r="I56" s="5"/>
      <c r="J56" s="5"/>
      <c r="K56" s="8"/>
      <c r="L56" s="6" t="s">
        <v>387</v>
      </c>
      <c r="M56" s="6" t="b">
        <v>0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2"/>
      <c r="F57" s="253"/>
      <c r="G57" s="254"/>
      <c r="H57" s="6"/>
      <c r="I57" s="5"/>
      <c r="J57" s="5"/>
      <c r="K57" s="8"/>
      <c r="L57" s="6" t="s">
        <v>394</v>
      </c>
      <c r="M57" s="6" t="b">
        <v>0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2"/>
      <c r="F58" s="253"/>
      <c r="G58" s="254"/>
      <c r="H58" s="6"/>
      <c r="I58" s="5"/>
      <c r="J58" s="5"/>
      <c r="K58" s="8"/>
      <c r="L58" s="6" t="s">
        <v>378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2"/>
      <c r="F59" s="253"/>
      <c r="G59" s="254"/>
      <c r="H59" s="6"/>
      <c r="I59" s="5"/>
      <c r="J59" s="5"/>
      <c r="K59" s="8"/>
      <c r="L59" s="6" t="s">
        <v>388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2"/>
      <c r="F60" s="253"/>
      <c r="G60" s="254"/>
      <c r="H60" s="6"/>
      <c r="I60" s="5"/>
      <c r="J60" s="5"/>
      <c r="K60" s="8"/>
      <c r="L60" s="6" t="s">
        <v>396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2"/>
      <c r="F61" s="253"/>
      <c r="G61" s="254"/>
      <c r="H61" s="6"/>
      <c r="I61" s="5"/>
      <c r="J61" s="5"/>
      <c r="K61" s="8"/>
      <c r="L61" s="6" t="s">
        <v>380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2"/>
      <c r="F62" s="253"/>
      <c r="G62" s="254"/>
      <c r="H62" s="6"/>
      <c r="I62" s="5"/>
      <c r="J62" s="5"/>
      <c r="K62" s="8"/>
      <c r="L62" s="6" t="s">
        <v>356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2"/>
      <c r="F63" s="253"/>
      <c r="G63" s="254"/>
      <c r="H63" s="6"/>
      <c r="I63" s="5"/>
      <c r="J63" s="5"/>
      <c r="K63" s="8"/>
      <c r="L63" s="6" t="s">
        <v>1087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2"/>
      <c r="F64" s="253"/>
      <c r="G64" s="254"/>
      <c r="H64" s="6"/>
      <c r="I64" s="5"/>
      <c r="J64" s="5"/>
      <c r="K64" s="8"/>
      <c r="L64" s="6" t="s">
        <v>392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2"/>
      <c r="F65" s="253"/>
      <c r="G65" s="254"/>
      <c r="H65" s="6"/>
      <c r="I65" s="5"/>
      <c r="J65" s="5"/>
      <c r="L65" s="6" t="s">
        <v>414</v>
      </c>
      <c r="M65" s="6" t="b">
        <v>0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2"/>
      <c r="F66" s="253"/>
      <c r="G66" s="254"/>
      <c r="H66" s="6"/>
      <c r="I66" s="5"/>
      <c r="J66" s="5"/>
      <c r="L66" s="6" t="s">
        <v>420</v>
      </c>
      <c r="M66" s="6" t="b">
        <v>0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>
      <c r="A67" s="6"/>
      <c r="B67" s="6"/>
      <c r="C67" s="6"/>
      <c r="D67" s="6"/>
      <c r="E67" s="252"/>
      <c r="F67" s="253"/>
      <c r="G67" s="254"/>
      <c r="H67" s="6"/>
      <c r="I67" s="5"/>
      <c r="J67" s="5"/>
      <c r="K67" s="8" t="s">
        <v>418</v>
      </c>
      <c r="L67" s="6" t="s">
        <v>391</v>
      </c>
      <c r="M67" s="6" t="b">
        <v>0</v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  <row r="68" spans="1:135">
      <c r="E68" s="252"/>
      <c r="F68" s="253"/>
      <c r="G68" s="254"/>
      <c r="K68" s="8" t="s">
        <v>430</v>
      </c>
      <c r="L68" t="s">
        <v>382</v>
      </c>
      <c r="M68" t="b">
        <v>0</v>
      </c>
    </row>
    <row r="69" spans="1:135">
      <c r="E69" s="252"/>
      <c r="F69" s="253"/>
      <c r="G69" s="254"/>
      <c r="L69" t="s">
        <v>379</v>
      </c>
      <c r="M69" t="b">
        <v>0</v>
      </c>
    </row>
    <row r="70" spans="1:135">
      <c r="E70" s="252"/>
      <c r="F70" s="253"/>
      <c r="G70" s="254"/>
      <c r="L70" t="s">
        <v>357</v>
      </c>
      <c r="M70" t="b">
        <v>0</v>
      </c>
    </row>
    <row r="71" spans="1:135">
      <c r="E71" s="252"/>
      <c r="F71" s="253"/>
      <c r="G71" s="254"/>
      <c r="L71" t="s">
        <v>358</v>
      </c>
      <c r="M71" t="b">
        <v>0</v>
      </c>
    </row>
    <row r="72" spans="1:135">
      <c r="E72" s="252"/>
      <c r="F72" s="253"/>
      <c r="G72" s="254"/>
      <c r="L72" t="s">
        <v>390</v>
      </c>
      <c r="M72" t="b">
        <v>0</v>
      </c>
    </row>
    <row r="73" spans="1:135">
      <c r="E73" s="252"/>
      <c r="F73" s="253"/>
      <c r="G73" s="254"/>
      <c r="L73" t="s">
        <v>359</v>
      </c>
      <c r="M73" t="b">
        <v>0</v>
      </c>
    </row>
    <row r="74" spans="1:135">
      <c r="E74" s="252"/>
      <c r="F74" s="253"/>
      <c r="G74" s="254"/>
      <c r="L74" t="s">
        <v>372</v>
      </c>
      <c r="M74" t="b">
        <v>0</v>
      </c>
    </row>
    <row r="75" spans="1:135">
      <c r="E75" s="252"/>
      <c r="F75" s="253"/>
      <c r="G75" s="254"/>
    </row>
    <row r="76" spans="1:135">
      <c r="E76" s="252"/>
      <c r="F76" s="253"/>
      <c r="G76" s="254"/>
    </row>
    <row r="77" spans="1:135" ht="15.75" thickBot="1">
      <c r="E77" s="263"/>
      <c r="F77" s="264"/>
      <c r="G77" s="265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494" r:id="rId4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5" r:id="rId5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6" r:id="rId6" name="Axis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7" r:id="rId7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8" r:id="rId8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499" r:id="rId9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0" r:id="rId10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1" r:id="rId11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2" r:id="rId12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3" r:id="rId13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4" r:id="rId14" name="BOB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5" r:id="rId15" name="BOB(P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6" r:id="rId16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7" r:id="rId17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8" r:id="rId18" name="BO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09" r:id="rId19" name="Canar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0" r:id="rId20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1" r:id="rId21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2" r:id="rId22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3" r:id="rId23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4" r:id="rId24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5" r:id="rId25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6" r:id="rId26" name="Federal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7" r:id="rId27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8" r:id="rId28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19" r:id="rId29" name="ICICI 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0" r:id="rId30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1" r:id="rId31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2" r:id="rId32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3" r:id="rId33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4" r:id="rId34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5" r:id="rId35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6" r:id="rId36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7" r:id="rId37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8" r:id="rId38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29" r:id="rId39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0" r:id="rId40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1" r:id="rId41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2" r:id="rId42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3" r:id="rId43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4" r:id="rId44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5" r:id="rId45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6" r:id="rId46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7" r:id="rId47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8" r:id="rId48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39" r:id="rId49" name="NEWINDIA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0" r:id="rId50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1" r:id="rId51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2" r:id="rId52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3" r:id="rId53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4" r:id="rId54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5" r:id="rId55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6" r:id="rId56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7" r:id="rId57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8" r:id="rId58" name="SCOP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49" r:id="rId59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0" r:id="rId60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1" r:id="rId61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2" r:id="rId62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3" r:id="rId63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4" r:id="rId64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68</xdr:row>
                    <xdr:rowOff>0</xdr:rowOff>
                  </from>
                  <to>
                    <xdr:col>6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5" r:id="rId65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6" r:id="rId66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7" r:id="rId67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71</xdr:row>
                    <xdr:rowOff>0</xdr:rowOff>
                  </from>
                  <to>
                    <xdr:col>6</xdr:col>
                    <xdr:colOff>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8" r:id="rId68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72</xdr:row>
                    <xdr:rowOff>0</xdr:rowOff>
                  </from>
                  <to>
                    <xdr:col>6</xdr:col>
                    <xdr:colOff>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559" r:id="rId69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73</xdr:row>
                    <xdr:rowOff>0</xdr:rowOff>
                  </from>
                  <to>
                    <xdr:col>6</xdr:col>
                    <xdr:colOff>0</xdr:colOff>
                    <xdr:row>74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showRuler="0" zoomScale="93" zoomScaleNormal="93" workbookViewId="0">
      <selection activeCell="G21" sqref="G21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1"/>
      <c r="B1" s="72"/>
      <c r="C1" s="72"/>
      <c r="D1" s="72"/>
      <c r="E1" s="72"/>
      <c r="F1" s="128" t="s">
        <v>57</v>
      </c>
      <c r="G1" s="73" t="s">
        <v>58</v>
      </c>
      <c r="H1" s="74" t="s">
        <v>59</v>
      </c>
      <c r="I1" s="72"/>
      <c r="J1" s="64" t="s">
        <v>57</v>
      </c>
      <c r="K1" s="75"/>
      <c r="L1" s="1"/>
      <c r="M1" s="2"/>
      <c r="P1" s="6"/>
      <c r="Q1" s="6"/>
      <c r="R1" s="6"/>
    </row>
    <row r="2" spans="1:135" customFormat="1" ht="26.25" customHeight="1">
      <c r="A2" s="76"/>
      <c r="B2" s="77"/>
      <c r="C2" s="78"/>
      <c r="D2" s="78"/>
      <c r="E2" s="78"/>
      <c r="F2" s="129">
        <f>+G2+H2</f>
        <v>0</v>
      </c>
      <c r="G2" s="69">
        <f>+COUNTIF($D:$D,"&gt;"&amp;0)</f>
        <v>0</v>
      </c>
      <c r="H2" s="70">
        <f>+COUNTIF($E:$E,"&gt;"&amp;0)</f>
        <v>0</v>
      </c>
      <c r="I2" s="78"/>
      <c r="J2" s="68"/>
      <c r="K2" s="79"/>
      <c r="P2" s="6"/>
      <c r="Q2" s="6"/>
      <c r="R2" s="6"/>
    </row>
    <row r="3" spans="1:135" customFormat="1" ht="26.25" customHeight="1">
      <c r="A3" s="76"/>
      <c r="B3" s="78"/>
      <c r="C3" s="276" t="s">
        <v>415</v>
      </c>
      <c r="D3" s="274" t="s">
        <v>1085</v>
      </c>
      <c r="E3" s="261"/>
      <c r="F3" s="258"/>
      <c r="G3" s="258"/>
      <c r="H3" s="78"/>
      <c r="I3" s="78"/>
      <c r="J3" s="79"/>
      <c r="K3" s="79"/>
      <c r="P3" s="6"/>
      <c r="Q3" s="6"/>
      <c r="R3" s="6"/>
    </row>
    <row r="4" spans="1:135" customFormat="1" ht="26.25" customHeight="1" thickBot="1">
      <c r="A4" s="80"/>
      <c r="B4" s="81"/>
      <c r="C4" s="277" t="str">
        <f>+IF(ISBLANK(D4),"","GST No. :")</f>
        <v/>
      </c>
      <c r="D4" s="275"/>
      <c r="E4" s="262"/>
      <c r="F4" s="260" t="s">
        <v>1103</v>
      </c>
      <c r="G4" s="259"/>
      <c r="H4" s="81"/>
      <c r="I4" s="81"/>
      <c r="J4" s="79"/>
      <c r="K4" s="79"/>
      <c r="P4" s="6"/>
      <c r="Q4" s="6"/>
      <c r="R4" s="6"/>
    </row>
    <row r="5" spans="1:135" customFormat="1" ht="15.75" thickBot="1">
      <c r="A5" s="266" t="s">
        <v>5</v>
      </c>
      <c r="B5" s="267" t="s">
        <v>7</v>
      </c>
      <c r="C5" s="268" t="s">
        <v>8</v>
      </c>
      <c r="D5" s="269" t="s">
        <v>9</v>
      </c>
      <c r="E5" s="269" t="s">
        <v>10</v>
      </c>
      <c r="F5" s="270" t="s">
        <v>11</v>
      </c>
      <c r="G5" s="267" t="s">
        <v>12</v>
      </c>
      <c r="H5" s="267" t="s">
        <v>13</v>
      </c>
      <c r="I5" s="267" t="s">
        <v>14</v>
      </c>
      <c r="J5" s="267" t="s">
        <v>15</v>
      </c>
      <c r="K5" s="271" t="s">
        <v>417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Dttlkylk8NYS2Ke7wYp+h6VwhkZ7SARi++D5fcIqaPELhClrroXtv2bXVqURIWcpplXhsrWGyimq8R5lSGCdGw==" saltValue="J/HU49HcIi3TE8xkb5HbxQ==" spinCount="100000" sheet="1" objects="1" scenarios="1"/>
  <conditionalFormatting sqref="F1">
    <cfRule type="cellIs" dxfId="13" priority="3" operator="equal">
      <formula>#N/A</formula>
    </cfRule>
  </conditionalFormatting>
  <conditionalFormatting sqref="G5">
    <cfRule type="cellIs" dxfId="12" priority="2" operator="equal">
      <formula>#N/A</formula>
    </cfRule>
  </conditionalFormatting>
  <conditionalFormatting sqref="H5:I5">
    <cfRule type="cellIs" dxfId="11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K15" sqref="K15"/>
    </sheetView>
  </sheetViews>
  <sheetFormatPr defaultRowHeight="15"/>
  <cols>
    <col min="1" max="1" width="23.7109375" customWidth="1"/>
    <col min="2" max="2" width="23.28515625" customWidth="1"/>
  </cols>
  <sheetData>
    <row r="3" spans="1:15">
      <c r="L3" t="s">
        <v>434</v>
      </c>
      <c r="O3" t="s">
        <v>428</v>
      </c>
    </row>
    <row r="4" spans="1:15">
      <c r="O4" t="s">
        <v>429</v>
      </c>
    </row>
    <row r="6" spans="1:15">
      <c r="A6" s="240" t="s">
        <v>399</v>
      </c>
      <c r="B6" s="241">
        <v>29505</v>
      </c>
    </row>
    <row r="7" spans="1:15">
      <c r="A7" s="240" t="s">
        <v>400</v>
      </c>
      <c r="B7" s="241" t="s">
        <v>409</v>
      </c>
    </row>
    <row r="8" spans="1:15">
      <c r="A8" s="240" t="s">
        <v>401</v>
      </c>
      <c r="B8" s="241">
        <v>9173555942</v>
      </c>
    </row>
    <row r="9" spans="1:15">
      <c r="A9" s="240" t="s">
        <v>402</v>
      </c>
      <c r="B9" s="241" t="s">
        <v>1081</v>
      </c>
    </row>
    <row r="10" spans="1:15">
      <c r="A10" s="240" t="s">
        <v>403</v>
      </c>
      <c r="B10" s="241" t="s">
        <v>1082</v>
      </c>
    </row>
    <row r="11" spans="1:15">
      <c r="A11" s="240" t="s">
        <v>404</v>
      </c>
      <c r="B11" s="242">
        <v>45573</v>
      </c>
    </row>
    <row r="12" spans="1:15">
      <c r="A12" s="240" t="s">
        <v>405</v>
      </c>
      <c r="B12" s="242">
        <v>45809</v>
      </c>
    </row>
    <row r="13" spans="1:15">
      <c r="A13" s="240" t="s">
        <v>406</v>
      </c>
      <c r="B13" s="242" t="s">
        <v>410</v>
      </c>
    </row>
  </sheetData>
  <sheetProtection algorithmName="SHA-512" hashValue="SuB65TMUBGcmlfV/kfYGUAMkA6Pag4E5S/7C3cUfAzeiLIrQA8AHrnFrmh/MAt9ZR/1ddYZ2yCl2Y2G1HdzI2A==" saltValue="zaej6whDPR/HhhnetZrSG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69</vt:i4>
      </vt:variant>
    </vt:vector>
  </HeadingPairs>
  <TitlesOfParts>
    <vt:vector size="69" baseType="lpstr">
      <vt:lpstr>AU</vt:lpstr>
      <vt:lpstr>AU (P)</vt:lpstr>
      <vt:lpstr>Axis (P)</vt:lpstr>
      <vt:lpstr>Axis(C)</vt:lpstr>
      <vt:lpstr>Axis(C) (P)</vt:lpstr>
      <vt:lpstr>Axis(S)</vt:lpstr>
      <vt:lpstr>Axis(S) (2)</vt:lpstr>
      <vt:lpstr>Axis(S) (P)</vt:lpstr>
      <vt:lpstr>Bandhan</vt:lpstr>
      <vt:lpstr>BOB(C)</vt:lpstr>
      <vt:lpstr>BOB(P)</vt:lpstr>
      <vt:lpstr>BOB(P) (2)</vt:lpstr>
      <vt:lpstr>BOB(S)</vt:lpstr>
      <vt:lpstr>BOI</vt:lpstr>
      <vt:lpstr>BOI (P)</vt:lpstr>
      <vt:lpstr>Canara</vt:lpstr>
      <vt:lpstr>CBI</vt:lpstr>
      <vt:lpstr>CBI (P)</vt:lpstr>
      <vt:lpstr>CityUni (P)</vt:lpstr>
      <vt:lpstr>DCB</vt:lpstr>
      <vt:lpstr>Equitas</vt:lpstr>
      <vt:lpstr>Federal</vt:lpstr>
      <vt:lpstr>Federal (P)</vt:lpstr>
      <vt:lpstr>HDFC</vt:lpstr>
      <vt:lpstr>HDFC (P)</vt:lpstr>
      <vt:lpstr>ICICI 3 (P)</vt:lpstr>
      <vt:lpstr>ICICI(C)</vt:lpstr>
      <vt:lpstr>ICICI(C) (P)</vt:lpstr>
      <vt:lpstr>ICICI(C)2 (P)</vt:lpstr>
      <vt:lpstr>ICICI(S)</vt:lpstr>
      <vt:lpstr>ICICI(S) (P)</vt:lpstr>
      <vt:lpstr>IDBI</vt:lpstr>
      <vt:lpstr>IDBI (P)</vt:lpstr>
      <vt:lpstr>IDBI(S) (P)</vt:lpstr>
      <vt:lpstr>IDFC</vt:lpstr>
      <vt:lpstr>IDFC (P)</vt:lpstr>
      <vt:lpstr>Indian</vt:lpstr>
      <vt:lpstr>indusind</vt:lpstr>
      <vt:lpstr>indusind (P)</vt:lpstr>
      <vt:lpstr>Kalupur (P)</vt:lpstr>
      <vt:lpstr>Kotak (P)</vt:lpstr>
      <vt:lpstr>Kotak(C)</vt:lpstr>
      <vt:lpstr>Kotak(S)</vt:lpstr>
      <vt:lpstr>Kotak2 (P)</vt:lpstr>
      <vt:lpstr>Kotak3 (P)</vt:lpstr>
      <vt:lpstr>NEWINDIA(P)</vt:lpstr>
      <vt:lpstr>PNB</vt:lpstr>
      <vt:lpstr>PNB (2)</vt:lpstr>
      <vt:lpstr>Prime</vt:lpstr>
      <vt:lpstr>RBL</vt:lpstr>
      <vt:lpstr>RNSBE</vt:lpstr>
      <vt:lpstr>Saraswat</vt:lpstr>
      <vt:lpstr>SBI</vt:lpstr>
      <vt:lpstr>SBI (P)</vt:lpstr>
      <vt:lpstr>SCOPB (P)</vt:lpstr>
      <vt:lpstr>SDCB</vt:lpstr>
      <vt:lpstr>SDCB (P)</vt:lpstr>
      <vt:lpstr>SIB</vt:lpstr>
      <vt:lpstr>SNCB</vt:lpstr>
      <vt:lpstr>UCO</vt:lpstr>
      <vt:lpstr>Union</vt:lpstr>
      <vt:lpstr>Union (P)</vt:lpstr>
      <vt:lpstr>Union2 (P)</vt:lpstr>
      <vt:lpstr>Varachha</vt:lpstr>
      <vt:lpstr>Varachha (P)</vt:lpstr>
      <vt:lpstr>Yes</vt:lpstr>
      <vt:lpstr>Help</vt:lpstr>
      <vt:lpstr>Master</vt:lpstr>
      <vt:lpstr>Registration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AT</cp:lastModifiedBy>
  <dcterms:created xsi:type="dcterms:W3CDTF">2015-06-05T18:17:20Z</dcterms:created>
  <dcterms:modified xsi:type="dcterms:W3CDTF">2025-05-16T12:19:59Z</dcterms:modified>
</cp:coreProperties>
</file>