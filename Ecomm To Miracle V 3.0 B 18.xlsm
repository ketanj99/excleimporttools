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"/>
    </mc:Choice>
  </mc:AlternateContent>
  <xr:revisionPtr revIDLastSave="0" documentId="13_ncr:1_{54644731-61DC-4AB3-978D-D417CEE6E0D6}" xr6:coauthVersionLast="47" xr6:coauthVersionMax="47" xr10:uidLastSave="{00000000-0000-0000-0000-000000000000}"/>
  <bookViews>
    <workbookView xWindow="-28920" yWindow="-120" windowWidth="29040" windowHeight="15840" tabRatio="798" activeTab="20" xr2:uid="{00000000-000D-0000-FFFF-FFFF00000000}"/>
  </bookViews>
  <sheets>
    <sheet name="MSH" sheetId="3" r:id="rId1"/>
    <sheet name="AMZ" sheetId="10" r:id="rId2"/>
    <sheet name="FLC" sheetId="9" r:id="rId3"/>
    <sheet name="FLC (C)" sheetId="22" r:id="rId4"/>
    <sheet name="SND" sheetId="11" r:id="rId5"/>
    <sheet name="JIO" sheetId="17" r:id="rId6"/>
    <sheet name="JIO (2)" sheetId="19" r:id="rId7"/>
    <sheet name="GLR" sheetId="12" r:id="rId8"/>
    <sheet name="MYR" sheetId="20" state="hidden" r:id="rId9"/>
    <sheet name="MYR (2)" sheetId="24" state="hidden" r:id="rId10"/>
    <sheet name="NPTL" sheetId="26" r:id="rId11"/>
    <sheet name="MRW" sheetId="14" state="hidden" r:id="rId12"/>
    <sheet name="S101" sheetId="15" state="hidden" r:id="rId13"/>
    <sheet name="S101 (2)" sheetId="23" state="hidden" r:id="rId14"/>
    <sheet name="S101 (3)" sheetId="32" r:id="rId15"/>
    <sheet name="VMT" sheetId="25" state="hidden" r:id="rId16"/>
    <sheet name="UNI" sheetId="34" r:id="rId17"/>
    <sheet name="AMZ TR" sheetId="33" state="hidden" r:id="rId18"/>
    <sheet name="GSTR2B" sheetId="28" r:id="rId19"/>
    <sheet name="Help" sheetId="1" r:id="rId20"/>
    <sheet name="MasterMonth" sheetId="16" r:id="rId21"/>
    <sheet name="Registration" sheetId="31" state="hidden" r:id="rId22"/>
  </sheets>
  <functionGroups builtInGroupCount="19"/>
  <definedNames>
    <definedName name="_xlnm._FilterDatabase" localSheetId="1" hidden="1">AMZ!$A$4:$DZ$4</definedName>
    <definedName name="_xlnm._FilterDatabase" localSheetId="17" hidden="1">'AMZ TR'!$A$4:$DZ$4</definedName>
    <definedName name="_xlnm._FilterDatabase" localSheetId="2" hidden="1">FLC!#REF!</definedName>
    <definedName name="_xlnm._FilterDatabase" localSheetId="3" hidden="1">'FLC (C)'!#REF!</definedName>
    <definedName name="_xlnm._FilterDatabase" localSheetId="18" hidden="1">GSTR2B!$A$4:$DT$4</definedName>
    <definedName name="_xlnm._FilterDatabase" localSheetId="19" hidden="1">Help!$C$1:$C$7</definedName>
    <definedName name="_xlnm._FilterDatabase" localSheetId="5" hidden="1">JIO!$A$4:$DT$4</definedName>
    <definedName name="_xlnm._FilterDatabase" localSheetId="6" hidden="1">'JIO (2)'!$A$4:$DT$4</definedName>
    <definedName name="_xlnm._FilterDatabase" localSheetId="20" hidden="1">MasterMonth!$A$4:$P$4</definedName>
    <definedName name="_xlnm._FilterDatabase" localSheetId="0" hidden="1">MSH!$A$4:$DQ$4</definedName>
    <definedName name="_xlnm._FilterDatabase" localSheetId="10" hidden="1">NPTL!$A$4:$DZ$4</definedName>
    <definedName name="_xlnm._FilterDatabase" localSheetId="12" hidden="1">'S101'!$A$4:$DZ$4</definedName>
    <definedName name="_xlnm._FilterDatabase" localSheetId="13" hidden="1">'S101 (2)'!$A$4:$DZ$4</definedName>
    <definedName name="_xlnm._FilterDatabase" localSheetId="14" hidden="1">'S101 (3)'!$A$4:$DZ$4</definedName>
    <definedName name="_xlnm._FilterDatabase" localSheetId="4" hidden="1">SND!$DA$4:$DM$4</definedName>
    <definedName name="_xlnm._FilterDatabase" localSheetId="16" hidden="1">UNI!$A$4:$DT$4</definedName>
    <definedName name="_xlnm._FilterDatabase" localSheetId="15" hidden="1">VMT!$A$4:$DZ$4</definedName>
    <definedName name="_xlnm.Extract" localSheetId="20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F3" i="16" s="1"/>
  <c r="AC3" i="16"/>
  <c r="AB3" i="16"/>
  <c r="AA3" i="16"/>
  <c r="Z3" i="16"/>
  <c r="Y3" i="16"/>
  <c r="X3" i="16"/>
  <c r="W3" i="16" s="1"/>
  <c r="AH3" i="16" s="1"/>
  <c r="V3" i="16"/>
  <c r="U3" i="16"/>
  <c r="T3" i="16"/>
  <c r="S3" i="16"/>
  <c r="R3" i="16" s="1"/>
  <c r="N3" i="16"/>
  <c r="DA3" i="17" l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DE3" i="10"/>
  <c r="E2" i="33"/>
  <c r="E2" i="26"/>
  <c r="DA3" i="26"/>
  <c r="DE3" i="26"/>
  <c r="I2" i="33" l="1"/>
  <c r="K2" i="33"/>
  <c r="DH3" i="10"/>
  <c r="DC3" i="10"/>
  <c r="E2" i="14"/>
  <c r="DA3" i="14"/>
  <c r="DA3" i="10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2" i="32"/>
  <c r="DB3" i="32" s="1"/>
  <c r="DB4" i="32" s="1"/>
  <c r="DA2" i="32"/>
  <c r="DA3" i="32" s="1"/>
  <c r="DA4" i="32" s="1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N2" i="34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DO3" i="34" l="1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E2" i="19"/>
  <c r="I2" i="17"/>
  <c r="DB3" i="17"/>
  <c r="DB4" i="17" s="1"/>
  <c r="DA4" i="17"/>
  <c r="O2" i="17"/>
  <c r="E2" i="17"/>
  <c r="DL3" i="11"/>
  <c r="F2" i="11" s="1"/>
  <c r="DJ3" i="11"/>
  <c r="DI3" i="11"/>
  <c r="DH3" i="11"/>
  <c r="DE3" i="11"/>
  <c r="DN3" i="11" s="1"/>
  <c r="DB2" i="11"/>
  <c r="DB3" i="11" s="1"/>
  <c r="DB4" i="11" s="1"/>
  <c r="A3" i="11"/>
  <c r="E2" i="11" s="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K3" i="3"/>
  <c r="DI3" i="3"/>
  <c r="DH3" i="3"/>
  <c r="DE3" i="3"/>
  <c r="DC3" i="3"/>
  <c r="DB2" i="3"/>
  <c r="DI3" i="22"/>
  <c r="DD3" i="9" l="1"/>
  <c r="DO3" i="9" s="1"/>
  <c r="DO3" i="3"/>
  <c r="DD3" i="23"/>
  <c r="F2" i="25"/>
  <c r="G2" i="25"/>
  <c r="Y2" i="16"/>
  <c r="Z2" i="16" s="1"/>
  <c r="I2" i="9"/>
  <c r="I2" i="26"/>
  <c r="DD3" i="10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AH1" i="9" l="1"/>
  <c r="J2" i="16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<sst xmlns="http://schemas.openxmlformats.org/spreadsheetml/2006/main" count="2150" uniqueCount="915">
  <si>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</si>
  <si>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</si>
  <si>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</si>
  <si>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</si>
  <si>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</si>
  <si>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</si>
  <si>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</si>
  <si>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</si>
  <si>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</si>
  <si>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</si>
  <si>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</si>
  <si>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</si>
  <si>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</si>
  <si>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</si>
  <si>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</si>
  <si>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</si>
  <si>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</si>
  <si>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</si>
  <si>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</si>
  <si>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</si>
  <si>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</si>
  <si>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</si>
  <si>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</si>
  <si>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</si>
  <si>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</si>
  <si>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</si>
  <si>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</si>
  <si>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</si>
  <si>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</si>
  <si>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</si>
  <si>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</si>
  <si>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</si>
  <si>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</si>
  <si>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</si>
  <si>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</si>
  <si>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</si>
  <si>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</si>
  <si>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</si>
  <si>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</si>
  <si>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</si>
  <si>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</si>
  <si>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</si>
  <si>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</si>
  <si>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</si>
  <si>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</si>
  <si>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</si>
  <si>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</si>
  <si>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</si>
  <si>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</si>
  <si>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</si>
  <si>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</si>
  <si>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</si>
  <si>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</si>
  <si>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</si>
  <si>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</si>
  <si>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</si>
  <si>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</si>
  <si>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</si>
  <si>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</si>
  <si>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</si>
  <si>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</si>
  <si>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</si>
  <si>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</si>
  <si>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</si>
  <si>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</si>
  <si>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</si>
  <si>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</si>
  <si>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</si>
  <si>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</si>
  <si>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</si>
  <si>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</si>
  <si>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</si>
  <si>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</si>
  <si>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</si>
  <si>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</si>
  <si>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</si>
  <si>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</si>
  <si>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</si>
  <si>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</si>
  <si>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</si>
  <si>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</si>
  <si>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</si>
  <si>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</si>
  <si>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</si>
  <si>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</si>
  <si>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</si>
  <si>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</si>
  <si>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</si>
  <si>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</si>
  <si>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</si>
  <si>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</si>
  <si>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</si>
  <si>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</si>
  <si>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</si>
  <si>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</si>
  <si>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</si>
  <si>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</si>
  <si>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</si>
  <si>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</si>
  <si>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</si>
  <si>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</si>
  <si>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</si>
  <si>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</si>
  <si>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</si>
  <si>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</si>
  <si>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</si>
  <si>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</si>
  <si>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</si>
  <si>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</si>
  <si>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</si>
  <si>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</si>
  <si>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</si>
  <si>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</si>
  <si>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</si>
  <si>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</si>
  <si>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</si>
  <si>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</si>
  <si>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</si>
  <si>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</si>
  <si>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</si>
  <si>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</si>
  <si>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</si>
  <si>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</si>
  <si>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</si>
  <si>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</si>
  <si>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</si>
  <si>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</si>
  <si>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</si>
  <si>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</si>
  <si>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</si>
  <si>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</si>
  <si>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</si>
  <si>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</si>
  <si>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</si>
  <si>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</si>
  <si>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</si>
  <si>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</si>
  <si>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</si>
  <si>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</si>
  <si>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</si>
  <si>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</si>
  <si>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</si>
  <si>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</si>
  <si>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</si>
  <si>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</si>
  <si>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</si>
  <si>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</si>
  <si>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</si>
  <si>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</si>
  <si>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</si>
  <si>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</si>
  <si>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</si>
  <si>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</si>
  <si>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</si>
  <si>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</si>
  <si>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</si>
  <si>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</si>
  <si>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</si>
  <si>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</si>
  <si>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</si>
  <si>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</si>
  <si>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</si>
  <si>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</si>
  <si>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</si>
  <si>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</si>
  <si>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</si>
  <si>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</si>
  <si>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</si>
  <si>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</si>
  <si>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</si>
  <si>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</si>
  <si>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</si>
  <si>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</si>
  <si>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</si>
  <si>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</si>
  <si>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</si>
  <si>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</si>
  <si>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</si>
  <si>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</si>
  <si>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</si>
  <si>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</si>
  <si>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</si>
  <si>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</si>
  <si>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</si>
  <si>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</si>
  <si>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</si>
  <si>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</si>
  <si>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</si>
  <si>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</si>
  <si>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</si>
  <si>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</si>
  <si>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</si>
  <si>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</si>
  <si>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</si>
  <si>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</si>
  <si>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</si>
  <si>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</si>
  <si>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</si>
  <si>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</si>
  <si>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</si>
  <si>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</si>
  <si>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</si>
  <si>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</si>
  <si>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</si>
  <si>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</si>
  <si>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</si>
  <si>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</si>
  <si>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</si>
  <si>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</si>
  <si>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</si>
  <si>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</si>
  <si>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</si>
  <si>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</si>
  <si>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</si>
  <si>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</si>
  <si>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</si>
  <si>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</si>
  <si>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</si>
  <si>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</si>
  <si>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</si>
  <si>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</si>
  <si>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</si>
  <si>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</si>
  <si>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</si>
  <si>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</si>
  <si>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</si>
  <si>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</si>
  <si>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</si>
  <si>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</si>
  <si>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</si>
  <si>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</si>
  <si>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</si>
  <si>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</si>
  <si>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</si>
  <si>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</si>
  <si>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</si>
  <si>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</si>
  <si>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</si>
  <si>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</si>
  <si>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</si>
  <si>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</si>
  <si>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</si>
  <si>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</si>
  <si>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</si>
  <si>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</si>
  <si>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</si>
  <si>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</si>
  <si>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</si>
  <si>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</si>
  <si>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</si>
  <si>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</si>
  <si>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</si>
  <si>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</si>
  <si>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</si>
  <si>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</si>
  <si>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</si>
  <si>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</si>
  <si>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</si>
  <si>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</si>
  <si>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</si>
  <si>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</si>
  <si>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</si>
  <si>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</si>
  <si>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</si>
  <si>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</si>
  <si>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</si>
  <si>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</si>
  <si>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</si>
  <si>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</si>
  <si>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</si>
  <si>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</si>
  <si>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</si>
  <si>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</si>
  <si>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</si>
  <si>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</si>
  <si>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</si>
  <si>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</si>
  <si>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</si>
  <si>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</si>
  <si>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</si>
  <si>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</si>
  <si>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</si>
  <si>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</si>
  <si>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</si>
  <si>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</si>
  <si>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</si>
  <si>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</si>
  <si>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</si>
  <si>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</si>
  <si>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</si>
  <si>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</si>
  <si>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</si>
  <si>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</si>
  <si>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</si>
  <si>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</si>
  <si>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</si>
  <si>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</si>
  <si>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</si>
  <si>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</si>
  <si>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</si>
  <si>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</si>
  <si>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</si>
  <si>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</si>
  <si>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</si>
  <si>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</si>
  <si>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</si>
  <si>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</si>
  <si>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</si>
  <si>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</si>
  <si>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</si>
  <si>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</si>
  <si>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</si>
  <si>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</si>
  <si>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</si>
  <si>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</si>
  <si>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</si>
  <si>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</si>
  <si>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</si>
  <si>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</si>
  <si>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</si>
  <si>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</si>
  <si>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</si>
  <si>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</si>
  <si>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</si>
  <si>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</si>
  <si>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</si>
  <si>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</si>
  <si>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</si>
  <si>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</si>
  <si>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</si>
  <si>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</si>
  <si>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</si>
  <si>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</si>
  <si>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</si>
  <si>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</si>
  <si>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</si>
  <si>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</si>
  <si>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</si>
  <si>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</si>
  <si>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</si>
  <si>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</si>
  <si>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</si>
  <si>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</si>
  <si>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</si>
  <si>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</si>
  <si>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</si>
  <si>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</si>
  <si>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</si>
  <si>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</si>
  <si>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</si>
  <si>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</si>
  <si>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</si>
  <si>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</si>
  <si>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</si>
  <si>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</si>
  <si>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</si>
  <si>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</si>
  <si>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</si>
  <si>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</si>
  <si>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</si>
  <si>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</si>
  <si>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</si>
  <si>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</si>
  <si>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</si>
  <si>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</si>
  <si>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</si>
  <si>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</si>
  <si>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</si>
  <si>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</si>
  <si>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</si>
  <si>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</si>
  <si>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</si>
  <si>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</si>
  <si>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</si>
  <si>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</si>
  <si>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</si>
  <si>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</si>
  <si>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</si>
  <si>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</si>
  <si>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</si>
  <si>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</si>
  <si>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</si>
  <si>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</si>
  <si>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</si>
  <si>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</si>
  <si>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</si>
  <si>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</si>
  <si>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</si>
  <si>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</si>
  <si>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</si>
  <si>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</si>
  <si>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</si>
  <si>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</si>
  <si>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</si>
  <si>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</si>
  <si>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</si>
  <si>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</si>
  <si>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</si>
  <si>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</si>
  <si>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</si>
  <si>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</si>
  <si>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</si>
  <si>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</si>
  <si>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</si>
  <si>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</si>
  <si>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</si>
  <si>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</si>
  <si>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</si>
  <si>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</si>
  <si>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</si>
  <si>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</si>
  <si>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</si>
  <si>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</si>
  <si>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</si>
  <si>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</si>
  <si>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</si>
  <si>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</si>
  <si>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</si>
  <si>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</si>
  <si>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</si>
  <si>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</si>
  <si>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</si>
  <si>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</si>
  <si>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</si>
  <si>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</si>
  <si>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</si>
  <si>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</si>
  <si>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</si>
  <si>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</si>
  <si>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</si>
  <si>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</si>
  <si>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</si>
  <si>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</si>
  <si>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</si>
  <si>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</si>
  <si>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</si>
  <si>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</si>
  <si>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</si>
  <si>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</si>
  <si>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</si>
  <si>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</si>
  <si>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</si>
  <si>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</si>
  <si>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</si>
  <si>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</si>
  <si>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</si>
  <si>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</si>
  <si>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</si>
  <si>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</si>
  <si>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</si>
  <si>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</si>
  <si>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</si>
  <si>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</si>
  <si>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</si>
  <si>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</si>
  <si>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</si>
  <si>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</si>
  <si>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</si>
  <si>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</si>
  <si>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</si>
  <si>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</si>
  <si>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</si>
  <si>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</si>
  <si>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</si>
  <si>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</si>
  <si>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</si>
  <si>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</si>
  <si>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</si>
  <si>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</si>
  <si>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</si>
  <si>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</si>
  <si>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</si>
  <si>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</si>
  <si>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</si>
  <si>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</si>
  <si>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</si>
  <si>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</si>
  <si>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</si>
  <si>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</si>
  <si>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</si>
  <si>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</si>
  <si>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</si>
  <si>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</si>
  <si>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</si>
  <si>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</si>
  <si>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</si>
  <si>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</si>
  <si>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</si>
  <si>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</si>
  <si>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</si>
  <si>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</si>
  <si>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</si>
  <si>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</si>
  <si>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</si>
  <si>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</si>
  <si>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</si>
  <si>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</si>
  <si>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</si>
  <si>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</si>
  <si>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</si>
  <si>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</si>
  <si>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</si>
  <si>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</si>
  <si>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</si>
  <si>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</si>
  <si>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</si>
  <si>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</si>
  <si>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</si>
  <si>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</si>
  <si>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</si>
  <si>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</si>
  <si>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</si>
  <si>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</si>
  <si>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</si>
  <si>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</si>
  <si>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</si>
  <si>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</si>
  <si>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</si>
  <si>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</si>
  <si>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</si>
  <si>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</si>
  <si>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</si>
  <si>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</si>
  <si>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</si>
  <si>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</si>
  <si>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</si>
  <si>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</si>
  <si>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</si>
  <si>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</si>
  <si>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</si>
  <si>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</si>
  <si>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</si>
  <si>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</si>
  <si>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</si>
  <si>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</si>
  <si>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</si>
  <si>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</si>
  <si>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</si>
  <si>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</si>
  <si>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</si>
  <si>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</si>
  <si>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</si>
  <si>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</si>
  <si>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</si>
  <si>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</si>
  <si>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</si>
  <si>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</si>
  <si>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</si>
  <si>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</si>
  <si>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</si>
  <si>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</si>
  <si>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</si>
  <si>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</si>
  <si>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</si>
  <si>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</si>
  <si>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</si>
  <si>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</si>
  <si>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</si>
  <si>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</si>
  <si>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</si>
  <si>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</si>
  <si>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</si>
  <si>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</si>
  <si>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</si>
  <si>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</si>
  <si>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</si>
  <si>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</si>
  <si>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</si>
  <si>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</si>
  <si>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</si>
  <si>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</si>
  <si>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</si>
  <si>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</si>
  <si>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</si>
  <si>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</si>
  <si>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</si>
  <si>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</si>
  <si>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</si>
  <si>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</si>
  <si>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</si>
  <si>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</si>
  <si>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</si>
  <si>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</si>
  <si>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</si>
  <si>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</si>
  <si>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</si>
  <si>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</si>
  <si>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</si>
  <si>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</si>
  <si>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</si>
  <si>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</si>
  <si>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</si>
  <si>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</si>
  <si>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</si>
  <si>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</si>
  <si>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</si>
  <si>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</si>
  <si>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</si>
  <si>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</si>
  <si>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</si>
  <si>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</si>
  <si>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</si>
  <si>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</si>
  <si>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</si>
  <si>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</si>
  <si>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</si>
  <si>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</si>
  <si>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</si>
  <si>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</si>
  <si>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</si>
  <si>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</si>
  <si>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</si>
  <si>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</si>
  <si>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</si>
  <si>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</si>
  <si>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</si>
  <si>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</si>
  <si>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</si>
  <si>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</si>
  <si>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</si>
  <si>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</si>
  <si>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</si>
  <si>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</si>
  <si>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</si>
  <si>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</si>
  <si>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</si>
  <si>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</si>
  <si>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</si>
  <si>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</si>
  <si>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</si>
  <si>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</si>
  <si>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</si>
  <si>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</si>
  <si>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</si>
  <si>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</si>
  <si>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</si>
  <si>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</si>
  <si>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</si>
  <si>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</si>
  <si>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</si>
  <si>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</si>
  <si>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</si>
  <si>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</si>
  <si>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</si>
  <si>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</si>
  <si>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</si>
  <si>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</si>
  <si>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</si>
  <si>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</si>
  <si>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</si>
  <si>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</si>
  <si>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</si>
  <si>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</si>
  <si>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</si>
  <si>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</si>
  <si>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</si>
  <si>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</si>
  <si>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</si>
  <si>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</si>
  <si>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</si>
  <si>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</si>
  <si>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</si>
  <si>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</si>
  <si>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</si>
  <si>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</si>
  <si>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</si>
  <si>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</si>
  <si>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</si>
  <si>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</si>
  <si>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</si>
  <si>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</si>
  <si>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</si>
  <si>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</si>
  <si>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</si>
  <si>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</si>
  <si>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</si>
  <si>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</si>
  <si>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</si>
  <si>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</si>
  <si>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</si>
  <si>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</si>
  <si>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</si>
  <si>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</si>
  <si>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</si>
  <si>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</si>
  <si>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</si>
  <si>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</si>
  <si>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</si>
  <si>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</si>
  <si>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</si>
  <si>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</si>
  <si>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</si>
  <si>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</si>
  <si>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</si>
  <si>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</si>
  <si>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</si>
  <si>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</si>
  <si>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</si>
  <si>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</si>
  <si>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</si>
  <si>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</si>
  <si>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</si>
  <si>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</si>
  <si>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</si>
  <si>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</si>
  <si>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</si>
  <si>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</si>
  <si>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</si>
  <si>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</si>
  <si>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</si>
  <si>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</si>
  <si>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</si>
  <si>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</si>
  <si>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</si>
  <si>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</si>
  <si>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</si>
  <si>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</si>
  <si>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</si>
  <si>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</si>
  <si>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</si>
  <si>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</si>
  <si>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</si>
  <si>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</si>
  <si>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</si>
  <si>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</si>
  <si>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</si>
  <si>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</si>
  <si>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</si>
  <si>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</si>
  <si>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</si>
  <si>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</si>
  <si>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</si>
  <si>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</si>
  <si>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</si>
  <si>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</si>
  <si>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</si>
  <si>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</si>
  <si>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</si>
  <si>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</si>
  <si>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</si>
  <si>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</si>
  <si>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</si>
  <si>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</si>
  <si>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</si>
  <si>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</si>
  <si>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</si>
  <si>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</si>
  <si>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</si>
  <si>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</si>
  <si>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</si>
  <si>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</si>
  <si>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</si>
  <si>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</si>
  <si>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</si>
  <si>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</si>
  <si>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</si>
  <si>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</si>
  <si>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</si>
  <si>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</si>
  <si>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</si>
  <si>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</si>
  <si>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</si>
  <si>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</si>
  <si>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</si>
  <si>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</si>
  <si>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</si>
  <si>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</si>
  <si>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</si>
  <si>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</si>
  <si>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</si>
  <si>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</si>
  <si>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</si>
  <si>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</si>
  <si>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</si>
  <si>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</si>
  <si>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</si>
  <si>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</si>
  <si>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</si>
  <si>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</si>
  <si>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</si>
  <si>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</si>
  <si>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</si>
  <si>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</si>
  <si>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</si>
  <si>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</si>
  <si>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</si>
  <si>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</si>
  <si>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</si>
  <si>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</si>
  <si>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</si>
  <si>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</si>
  <si>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</si>
  <si>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</si>
  <si>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</si>
  <si>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</si>
  <si>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</si>
  <si>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</si>
  <si>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TELANGANA aa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</si>
  <si>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</si>
  <si>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</si>
  <si>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</si>
  <si>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</si>
  <si>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</si>
  <si>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</si>
  <si>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</si>
  <si>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</si>
  <si>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</si>
  <si>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</si>
  <si>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</si>
  <si>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</si>
  <si>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</si>
  <si>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</si>
  <si>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</si>
  <si>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</si>
  <si>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</si>
  <si>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</si>
  <si>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</si>
  <si>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</si>
  <si>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</si>
  <si>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</si>
  <si>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</si>
  <si>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</si>
  <si>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</si>
  <si>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</si>
  <si>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</si>
  <si>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</si>
  <si>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</si>
  <si>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</si>
  <si>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</si>
  <si>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</si>
  <si>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</si>
  <si>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</si>
  <si>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</si>
  <si>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</si>
  <si>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Tamil Nadu aa</t>
  </si>
  <si>
    <t>Goa aa</t>
  </si>
  <si>
    <t>Karnataka aa</t>
  </si>
  <si>
    <t>PUNJAB aa</t>
  </si>
  <si>
    <t>MAHARASHTRA aa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</si>
  <si>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</si>
  <si>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</si>
  <si>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</si>
  <si>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</si>
  <si>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</si>
  <si>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</si>
  <si>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</si>
  <si>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</si>
  <si>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</si>
  <si>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</si>
  <si>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</si>
  <si>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</si>
  <si>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</si>
  <si>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</si>
  <si>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</si>
  <si>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</si>
  <si>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</si>
  <si>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</si>
  <si>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</si>
  <si>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24AIFPJ6378M2ZR</t>
  </si>
  <si>
    <t>GST No.:</t>
  </si>
  <si>
    <t>S101 (3)</t>
  </si>
  <si>
    <t>ADITYA TECHNOLOGIES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</si>
  <si>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</si>
  <si>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</si>
  <si>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</si>
  <si>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</si>
  <si>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</si>
  <si>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</si>
  <si>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</si>
  <si>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</si>
  <si>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</si>
  <si>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</si>
  <si>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</si>
  <si>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</si>
  <si>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</si>
  <si>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</si>
  <si>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</si>
  <si>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</si>
  <si>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</si>
  <si>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</si>
  <si>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</si>
  <si>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</si>
  <si>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</si>
  <si>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</si>
  <si>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</si>
  <si>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</si>
  <si>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</si>
  <si>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</si>
  <si>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</si>
  <si>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</si>
  <si>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</si>
  <si>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</si>
  <si>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</si>
  <si>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</si>
  <si>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</si>
  <si>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</si>
  <si>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</si>
  <si>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</si>
  <si>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</si>
  <si>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</si>
  <si>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</si>
  <si>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</si>
  <si>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statment\Reverse.xlsx</t>
  </si>
  <si>
    <t>\\ADITYA-TECH\All Sharing\Ecom Setup\Devlop\ecomm statment\uniqcommarch\GST Report-OCT 24.xlsx</t>
  </si>
  <si>
    <t>\\ADITYA-TECH\All Sharing\Ecom Setup\Devlop\ecomm statment\GST_MTR_B2C_CUSTOM-A2HH06SYJIY2PZ-2024_11_30-2024_12_01.xlsx</t>
  </si>
  <si>
    <t>\\ADITYA-TECH\All Sharing\Ecom Setup\Devlop\ecomm statment\GST_STR_CUSTOM_2024_11_01 09_30_00 AM IST - 2024_12_01 10_29_59 AM IST\GST_STR_CUSTOM-A2HH06SYJIY2PZ-2024_11_01-2024_12_01.xlsx</t>
  </si>
  <si>
    <t xml:space="preserve">Total Error </t>
  </si>
  <si>
    <t>C:\Users\ADITYA\Desktop\eat soya\Jio sale eatsoya nov 2024.xlsx</t>
  </si>
  <si>
    <t>Fulfiller Name</t>
  </si>
  <si>
    <t>Offer Price</t>
  </si>
  <si>
    <t>Seller Coupon Amount</t>
  </si>
  <si>
    <t>Seller Coupon Code</t>
  </si>
  <si>
    <t>Ecomm Company</t>
  </si>
  <si>
    <t>Rajasthan AA</t>
  </si>
  <si>
    <t>\\ADITYA-TECH\All Sharing\Ecom Setup\Devlop\ecomm statment\flicart nov sky.xlsx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</si>
</sst>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</cellStyleXfs>
  <cellXfs count="39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Protection="1">
      <protection hidden="1"/>
    </xf>
    <xf numFmtId="165" fontId="0" fillId="0" borderId="0" xfId="0" applyNumberFormat="1"/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otal" xfId="34" builtinId="25" customBuiltin="1"/>
    <cellStyle name="Warning Text" xfId="31" builtinId="11" customBuiltin="1"/>
  </cellStyles>
  <dxfs count="2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checked="Checked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checked="Checked" fmlaLink="M2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143025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Vou Type</a:t>
          </a:r>
        </a:p>
      </xdr:txBody>
    </xdr:sp>
    <xdr:clientData/>
  </xdr:twoCellAnchor>
  <xdr:twoCellAnchor>
    <xdr:from>
      <xdr:col>0</xdr:col>
      <xdr:colOff>114300</xdr:colOff>
      <xdr:row>0</xdr:row>
      <xdr:rowOff>314325</xdr:rowOff>
    </xdr:from>
    <xdr:to>
      <xdr:col>0</xdr:col>
      <xdr:colOff>1122300</xdr:colOff>
      <xdr:row>1</xdr:row>
      <xdr:rowOff>162075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114300" y="314325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Company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30" name="MSH_CheckBox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13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31" name="AMZ_CheckBox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13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32" name="FLC_CheckBox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13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33" name="FLC (C)_CheckBox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13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34" name="SND_CheckBox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13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35" name="JIO_CheckBox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13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36" name="JIO (2)_CheckBox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13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37" name="GLR_CheckBox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13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38" name="MYR_CheckBox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13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39" name="MYR (2)_CheckBox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13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40" name="NPTL_CheckBox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13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641" name="MRW_CheckBox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13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642" name="S101_CheckBox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13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643" name="S101 (2)_CheckBox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13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644" name="S101 (3)_CheckBox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13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645" name="VMT_CheckBox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13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646" name="UNI_CheckBox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13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647" name="AMZ TR_CheckBox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13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648" name="GSTR2B_CheckBox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13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G12" sqref="G12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1" t="s">
        <v>237</v>
      </c>
      <c r="P1" s="392"/>
      <c r="AB1" s="16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798</v>
      </c>
      <c r="AF2" s="86" t="s">
        <v>794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7"/>
      <c r="B3" s="63" t="s">
        <v>83</v>
      </c>
      <c r="C3" s="62"/>
      <c r="D3" s="62" t="s">
        <v>902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statment\Reverse.xlsx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61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z4Cjgz6W0ghKlLcr+gp12Ksz6fJe5e0utiXSHfiGoU43DxOS3UG/9Gfq19GIUyVBZBvT3iOutxYh9fb3l0/x3w==" saltValue="Is1x4cihTOvxGf1RAMFI5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71" priority="17" operator="equal">
      <formula>#N/A</formula>
    </cfRule>
  </conditionalFormatting>
  <conditionalFormatting sqref="H1:H2">
    <cfRule type="cellIs" dxfId="270" priority="16" operator="equal">
      <formula>#N/A</formula>
    </cfRule>
  </conditionalFormatting>
  <conditionalFormatting sqref="E1">
    <cfRule type="cellIs" dxfId="269" priority="10" operator="equal">
      <formula>#N/A</formula>
    </cfRule>
  </conditionalFormatting>
  <conditionalFormatting sqref="I1:I2">
    <cfRule type="cellIs" dxfId="268" priority="9" operator="equal">
      <formula>#N/A</formula>
    </cfRule>
  </conditionalFormatting>
  <conditionalFormatting sqref="J1:J2">
    <cfRule type="cellIs" dxfId="267" priority="8" operator="equal">
      <formula>#N/A</formula>
    </cfRule>
  </conditionalFormatting>
  <conditionalFormatting sqref="J1">
    <cfRule type="containsText" dxfId="266" priority="6" operator="containsText" text="All Data Import Successfully">
      <formula>NOT(ISERROR(SEARCH("All Data Import Successfully",J1)))</formula>
    </cfRule>
    <cfRule type="containsText" dxfId="265" priority="7" operator="containsText" text="Difference Entry">
      <formula>NOT(ISERROR(SEARCH("Difference Entry",J1)))</formula>
    </cfRule>
  </conditionalFormatting>
  <conditionalFormatting sqref="J2">
    <cfRule type="cellIs" dxfId="264" priority="5" operator="equal">
      <formula>0</formula>
    </cfRule>
  </conditionalFormatting>
  <conditionalFormatting sqref="K2">
    <cfRule type="cellIs" dxfId="263" priority="4" operator="equal">
      <formula>#N/A</formula>
    </cfRule>
  </conditionalFormatting>
  <conditionalFormatting sqref="E4">
    <cfRule type="cellIs" dxfId="262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showRuler="0" workbookViewId="0">
      <selection activeCell="F20" sqref="F20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6" t="s">
        <v>246</v>
      </c>
      <c r="DP2" s="385" t="s">
        <v>300</v>
      </c>
    </row>
    <row r="3" spans="1:124" customFormat="1" x14ac:dyDescent="0.25">
      <c r="A3" s="377"/>
      <c r="B3" s="63" t="s">
        <v>86</v>
      </c>
      <c r="C3" s="111"/>
      <c r="D3" s="8" t="s">
        <v>904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70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71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72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895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896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897</v>
      </c>
      <c r="BI4" s="82" t="s">
        <v>210</v>
      </c>
      <c r="BJ4" s="82" t="s">
        <v>211</v>
      </c>
      <c r="BK4" s="82" t="s">
        <v>898</v>
      </c>
      <c r="BL4" s="82" t="s">
        <v>212</v>
      </c>
      <c r="BM4" s="82" t="s">
        <v>213</v>
      </c>
      <c r="BN4" s="82" t="s">
        <v>899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z3iXRL01eOIMYuvz+j7iK/oeNxa1mKoyW4lWHd3U6RGmfMCYzPsyPWg2RbrOJTzlOvS5UQWRF3a3zMsNiY/7jQ==" saltValue="/nnbSQRxnkqW9xalEmZMQ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906</v>
      </c>
      <c r="O1" s="391" t="s">
        <v>237</v>
      </c>
      <c r="P1" s="392"/>
      <c r="Q1" s="2"/>
      <c r="R1" s="2"/>
      <c r="S1" s="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328</v>
      </c>
      <c r="AE2" s="86" t="s">
        <v>798</v>
      </c>
      <c r="AF2" s="86" t="s">
        <v>794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7"/>
      <c r="B3" s="63" t="s">
        <v>84</v>
      </c>
      <c r="C3" s="8"/>
      <c r="D3" s="8" t="s">
        <v>914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sheetProtection algorithmName="SHA-512" hashValue="tfJq/mdPam3fBwYVYkXAUROUdNRPoIPPnDa+70135qQlecO+rFsSqHQ2lC8NmenN98INc0Yz9Iye0Gcg94qkzg==" saltValue="1aBFP9xfFq8O8tE9lW0eVg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914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67ctcfodyhR8uj8h/HjCn03yY+4mi/I2k1F+dJTCcfNV95CS/ctoONOUJYIg2SuJ0Y7Wm/luPs7IYpEdP82fkQ==" saltValue="zW//p1vXpLmsQ3vI5LalG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10" sqref="B10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>
        <f>+Help!AH3</f>
        <v>0</v>
      </c>
      <c r="B3" s="63" t="s">
        <v>888</v>
      </c>
      <c r="C3" s="8"/>
      <c r="D3" s="8" t="s">
        <v>741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+DA2</f>
        <v>0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0/01/1900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742</v>
      </c>
      <c r="B4" s="226" t="s">
        <v>156</v>
      </c>
      <c r="C4" s="226" t="s">
        <v>743</v>
      </c>
      <c r="D4" s="226" t="s">
        <v>154</v>
      </c>
      <c r="E4" s="226" t="s">
        <v>744</v>
      </c>
      <c r="F4" s="226" t="s">
        <v>745</v>
      </c>
      <c r="G4" s="226" t="s">
        <v>746</v>
      </c>
      <c r="H4" s="226" t="s">
        <v>747</v>
      </c>
      <c r="I4" s="226" t="s">
        <v>748</v>
      </c>
      <c r="J4" s="226" t="s">
        <v>749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750</v>
      </c>
      <c r="T4" s="226" t="s">
        <v>751</v>
      </c>
      <c r="U4" s="226" t="s">
        <v>752</v>
      </c>
      <c r="V4" s="226" t="s">
        <v>753</v>
      </c>
      <c r="W4" s="226" t="s">
        <v>754</v>
      </c>
      <c r="X4" s="226" t="s">
        <v>524</v>
      </c>
      <c r="Y4" s="226" t="s">
        <v>755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>
        <f>+DA3</f>
        <v>0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F21" sqref="F21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1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912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241</v>
      </c>
      <c r="C3" s="8"/>
      <c r="D3" s="8" t="s">
        <v>907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+Y3</f>
        <v>0</v>
      </c>
      <c r="DB3" s="26" t="str">
        <f>+DB2</f>
        <v>Ecomm Company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90" t="s">
        <v>248</v>
      </c>
      <c r="B4" s="390" t="s">
        <v>249</v>
      </c>
      <c r="C4" s="390" t="s">
        <v>250</v>
      </c>
      <c r="D4" s="390" t="s">
        <v>256</v>
      </c>
      <c r="E4" s="390" t="s">
        <v>160</v>
      </c>
      <c r="F4" s="390" t="s">
        <v>661</v>
      </c>
      <c r="G4" s="390" t="s">
        <v>300</v>
      </c>
      <c r="H4" s="390" t="s">
        <v>301</v>
      </c>
      <c r="I4" s="390" t="s">
        <v>662</v>
      </c>
      <c r="J4" s="390" t="s">
        <v>365</v>
      </c>
      <c r="K4" s="390" t="s">
        <v>908</v>
      </c>
      <c r="L4" s="390" t="s">
        <v>251</v>
      </c>
      <c r="M4" s="390" t="s">
        <v>302</v>
      </c>
      <c r="N4" s="390" t="s">
        <v>253</v>
      </c>
      <c r="O4" s="390" t="s">
        <v>55</v>
      </c>
      <c r="P4" s="390" t="s">
        <v>303</v>
      </c>
      <c r="Q4" s="390" t="s">
        <v>254</v>
      </c>
      <c r="R4" s="390" t="s">
        <v>255</v>
      </c>
      <c r="S4" s="390" t="s">
        <v>259</v>
      </c>
      <c r="T4" s="390" t="s">
        <v>288</v>
      </c>
      <c r="U4" s="390" t="s">
        <v>489</v>
      </c>
      <c r="V4" s="390" t="s">
        <v>289</v>
      </c>
      <c r="W4" s="390" t="s">
        <v>663</v>
      </c>
      <c r="X4" s="390" t="s">
        <v>664</v>
      </c>
      <c r="Y4" s="390" t="s">
        <v>260</v>
      </c>
      <c r="Z4" s="390" t="s">
        <v>291</v>
      </c>
      <c r="AA4" s="390" t="s">
        <v>292</v>
      </c>
      <c r="AB4" s="390" t="s">
        <v>293</v>
      </c>
      <c r="AC4" s="390" t="s">
        <v>294</v>
      </c>
      <c r="AD4" s="390" t="s">
        <v>299</v>
      </c>
      <c r="AE4" s="390" t="s">
        <v>268</v>
      </c>
      <c r="AF4" s="390" t="s">
        <v>269</v>
      </c>
      <c r="AG4" s="390" t="s">
        <v>275</v>
      </c>
      <c r="AH4" s="390" t="s">
        <v>276</v>
      </c>
      <c r="AI4" s="390" t="s">
        <v>277</v>
      </c>
      <c r="AJ4" s="390" t="s">
        <v>278</v>
      </c>
      <c r="AK4" s="390" t="s">
        <v>279</v>
      </c>
      <c r="AL4" s="390" t="s">
        <v>280</v>
      </c>
      <c r="AM4" s="390" t="s">
        <v>281</v>
      </c>
      <c r="AN4" s="390" t="s">
        <v>282</v>
      </c>
      <c r="AO4" s="390" t="s">
        <v>283</v>
      </c>
      <c r="AP4" s="390" t="s">
        <v>284</v>
      </c>
      <c r="AQ4" s="390" t="s">
        <v>285</v>
      </c>
      <c r="AR4" s="390" t="s">
        <v>286</v>
      </c>
      <c r="AS4" s="390" t="s">
        <v>287</v>
      </c>
      <c r="AT4" s="390" t="s">
        <v>490</v>
      </c>
      <c r="AU4" s="390" t="s">
        <v>491</v>
      </c>
      <c r="AV4" s="390" t="s">
        <v>909</v>
      </c>
      <c r="AW4" s="390" t="s">
        <v>910</v>
      </c>
      <c r="AX4" s="390" t="s">
        <v>911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>
        <f>+DA3</f>
        <v>0</v>
      </c>
      <c r="DB4" s="26" t="str">
        <f>+DB3</f>
        <v>Ecomm Company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3QEHSxToT46Fw3H1zq3t2fj1mKCpcd/hNSWmZgCZdLv1EV3XOIdB5ZDUs9ZkX6W3ibu4v0L4jEeFYZawG5FlXQ==" saltValue="bndGiiunz+otTNV/7Oiuzw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C13" sqref="C1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737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878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5"/>
      <c r="DD4" s="125"/>
      <c r="DE4" s="125"/>
      <c r="DF4" s="355"/>
      <c r="DG4" s="357"/>
      <c r="DH4" s="125"/>
      <c r="DI4" s="125"/>
      <c r="DJ4" s="356"/>
      <c r="DK4" s="125"/>
      <c r="DL4" s="121"/>
      <c r="DM4" s="127"/>
      <c r="DN4" s="121"/>
      <c r="DO4" s="121"/>
      <c r="DP4" s="122"/>
    </row>
  </sheetData>
  <sheetProtection algorithmName="SHA-512" hashValue="WwWX913Q9GO5qgLa20epFOxh2fdDqtFp/z2cB68lckrK4oAI8+OhSwiK4JYkFefO81ZgSIrb5M//DPGgYcWD2w==" saltValue="fhWFXJ1f7I5FIRaWL41cPw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806</v>
      </c>
      <c r="C3" s="8"/>
      <c r="D3" s="8" t="s">
        <v>756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889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759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716</v>
      </c>
      <c r="B1" s="81">
        <v>1</v>
      </c>
      <c r="C1" s="4"/>
      <c r="D1" s="18"/>
      <c r="E1" s="43" t="s">
        <v>96</v>
      </c>
      <c r="F1" s="44" t="s">
        <v>736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717</v>
      </c>
      <c r="P1" s="392"/>
      <c r="AA1" s="209">
        <v>2</v>
      </c>
      <c r="AB1" s="210">
        <v>0</v>
      </c>
      <c r="AC1" s="210"/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718</v>
      </c>
      <c r="AB2" s="2" t="s">
        <v>738</v>
      </c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894</v>
      </c>
      <c r="DC2" s="92" t="s">
        <v>719</v>
      </c>
      <c r="DD2" s="92" t="s">
        <v>720</v>
      </c>
      <c r="DE2" s="92" t="s">
        <v>1</v>
      </c>
      <c r="DF2" s="92" t="s">
        <v>721</v>
      </c>
      <c r="DG2" s="92" t="s">
        <v>722</v>
      </c>
      <c r="DH2" s="92" t="s">
        <v>723</v>
      </c>
      <c r="DI2" s="92" t="s">
        <v>724</v>
      </c>
      <c r="DJ2" s="92" t="s">
        <v>725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726</v>
      </c>
    </row>
    <row r="3" spans="1:124" customFormat="1" ht="15.75" thickBot="1" x14ac:dyDescent="0.3">
      <c r="A3" s="377"/>
      <c r="B3" s="63" t="s">
        <v>715</v>
      </c>
      <c r="C3" s="8"/>
      <c r="D3" s="62" t="s">
        <v>757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727</v>
      </c>
      <c r="B4" s="207" t="s">
        <v>666</v>
      </c>
      <c r="C4" s="207" t="s">
        <v>667</v>
      </c>
      <c r="D4" s="207" t="s">
        <v>668</v>
      </c>
      <c r="E4" s="207" t="s">
        <v>669</v>
      </c>
      <c r="F4" s="207" t="s">
        <v>670</v>
      </c>
      <c r="G4" s="207" t="s">
        <v>671</v>
      </c>
      <c r="H4" s="207" t="s">
        <v>672</v>
      </c>
      <c r="I4" s="207" t="s">
        <v>673</v>
      </c>
      <c r="J4" s="207" t="s">
        <v>674</v>
      </c>
      <c r="K4" s="207" t="s">
        <v>675</v>
      </c>
      <c r="L4" s="207" t="s">
        <v>676</v>
      </c>
      <c r="M4" s="207" t="s">
        <v>677</v>
      </c>
      <c r="N4" s="207" t="s">
        <v>678</v>
      </c>
      <c r="O4" s="207" t="s">
        <v>679</v>
      </c>
      <c r="P4" s="207" t="s">
        <v>680</v>
      </c>
      <c r="Q4" s="207" t="s">
        <v>681</v>
      </c>
      <c r="R4" s="207" t="s">
        <v>682</v>
      </c>
      <c r="S4" s="207" t="s">
        <v>683</v>
      </c>
      <c r="T4" s="207" t="s">
        <v>684</v>
      </c>
      <c r="U4" s="207" t="s">
        <v>685</v>
      </c>
      <c r="V4" s="207" t="s">
        <v>686</v>
      </c>
      <c r="W4" s="207" t="s">
        <v>687</v>
      </c>
      <c r="X4" s="207" t="s">
        <v>688</v>
      </c>
      <c r="Y4" s="207" t="s">
        <v>689</v>
      </c>
      <c r="Z4" s="207" t="s">
        <v>690</v>
      </c>
      <c r="AA4" s="207" t="s">
        <v>691</v>
      </c>
      <c r="AB4" s="207" t="s">
        <v>692</v>
      </c>
      <c r="AC4" s="207" t="s">
        <v>693</v>
      </c>
      <c r="AD4" s="207" t="s">
        <v>694</v>
      </c>
      <c r="AE4" s="207" t="s">
        <v>695</v>
      </c>
      <c r="AF4" s="207" t="s">
        <v>696</v>
      </c>
      <c r="AG4" s="207" t="s">
        <v>697</v>
      </c>
      <c r="AH4" s="207" t="s">
        <v>698</v>
      </c>
      <c r="AI4" s="207" t="s">
        <v>699</v>
      </c>
      <c r="AJ4" s="207" t="s">
        <v>700</v>
      </c>
      <c r="AK4" s="207" t="s">
        <v>701</v>
      </c>
      <c r="AL4" s="207" t="s">
        <v>702</v>
      </c>
      <c r="AM4" s="207" t="s">
        <v>703</v>
      </c>
      <c r="AN4" s="207" t="s">
        <v>704</v>
      </c>
      <c r="AO4" s="207" t="s">
        <v>705</v>
      </c>
      <c r="AP4" s="207" t="s">
        <v>706</v>
      </c>
      <c r="AQ4" s="207" t="s">
        <v>707</v>
      </c>
      <c r="AR4" s="207" t="s">
        <v>708</v>
      </c>
      <c r="AS4" s="207" t="s">
        <v>709</v>
      </c>
      <c r="AT4" s="207" t="s">
        <v>710</v>
      </c>
      <c r="AU4" s="207" t="s">
        <v>711</v>
      </c>
      <c r="AV4" s="207" t="s">
        <v>712</v>
      </c>
      <c r="AW4" s="207" t="s">
        <v>713</v>
      </c>
      <c r="AX4" s="208" t="s">
        <v>714</v>
      </c>
      <c r="AY4" s="208" t="s">
        <v>739</v>
      </c>
      <c r="AZ4" s="208" t="s">
        <v>740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/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891</v>
      </c>
      <c r="C3" s="8"/>
      <c r="D3" s="8" t="s">
        <v>890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645</v>
      </c>
      <c r="B4" s="200" t="s">
        <v>646</v>
      </c>
      <c r="C4" s="200" t="s">
        <v>647</v>
      </c>
      <c r="D4" s="200" t="s">
        <v>404</v>
      </c>
      <c r="E4" s="200" t="s">
        <v>648</v>
      </c>
      <c r="F4" s="200" t="s">
        <v>649</v>
      </c>
      <c r="G4" s="200" t="s">
        <v>650</v>
      </c>
      <c r="H4" s="200" t="s">
        <v>651</v>
      </c>
      <c r="I4" s="200" t="s">
        <v>162</v>
      </c>
      <c r="J4" s="200" t="s">
        <v>55</v>
      </c>
      <c r="K4" s="200" t="s">
        <v>652</v>
      </c>
      <c r="L4" s="200" t="s">
        <v>653</v>
      </c>
      <c r="M4" s="200" t="s">
        <v>654</v>
      </c>
      <c r="N4" s="200" t="s">
        <v>655</v>
      </c>
      <c r="O4" s="200" t="s">
        <v>656</v>
      </c>
      <c r="P4" s="200" t="s">
        <v>657</v>
      </c>
      <c r="Q4" s="200" t="s">
        <v>658</v>
      </c>
      <c r="R4" s="200" t="s">
        <v>659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8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832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8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879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839</v>
      </c>
      <c r="D4" s="82" t="s">
        <v>160</v>
      </c>
      <c r="E4" s="82" t="s">
        <v>840</v>
      </c>
      <c r="F4" s="82" t="s">
        <v>841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842</v>
      </c>
      <c r="M4" s="82" t="s">
        <v>843</v>
      </c>
      <c r="N4" s="82" t="s">
        <v>80</v>
      </c>
      <c r="O4" s="82" t="s">
        <v>844</v>
      </c>
      <c r="P4" s="82" t="s">
        <v>412</v>
      </c>
      <c r="Q4" s="82" t="s">
        <v>415</v>
      </c>
      <c r="R4" s="82" t="s">
        <v>413</v>
      </c>
      <c r="S4" s="82" t="s">
        <v>845</v>
      </c>
      <c r="T4" s="82" t="s">
        <v>846</v>
      </c>
      <c r="U4" s="82" t="s">
        <v>508</v>
      </c>
      <c r="V4" s="82" t="s">
        <v>504</v>
      </c>
      <c r="W4" s="82" t="s">
        <v>847</v>
      </c>
      <c r="X4" s="82" t="s">
        <v>848</v>
      </c>
      <c r="Y4" s="82" t="s">
        <v>849</v>
      </c>
      <c r="Z4" s="82" t="s">
        <v>850</v>
      </c>
      <c r="AA4" s="82" t="s">
        <v>851</v>
      </c>
      <c r="AB4" s="82" t="s">
        <v>852</v>
      </c>
      <c r="AC4" s="82" t="s">
        <v>853</v>
      </c>
      <c r="AD4" s="82" t="s">
        <v>854</v>
      </c>
      <c r="AE4" s="82" t="s">
        <v>855</v>
      </c>
      <c r="AF4" s="82" t="s">
        <v>856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IkeLtSpEeZJXstHOihvibs7ivlVkmZE737EnWFeiiAZ01jWbjvfGN/1JMwbArFVIUpHLg94kGZ8MCJ3fW0ogjA==" saltValue="JVyRA27IPY0ZZqa4jPrZ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882</v>
      </c>
      <c r="DB2" s="91" t="s">
        <v>883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881</v>
      </c>
      <c r="C3" s="8"/>
      <c r="D3" s="62" t="s">
        <v>903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63" t="s">
        <v>420</v>
      </c>
      <c r="B4" s="363" t="s">
        <v>421</v>
      </c>
      <c r="C4" s="363" t="s">
        <v>422</v>
      </c>
      <c r="D4" s="363" t="s">
        <v>423</v>
      </c>
      <c r="E4" s="363" t="s">
        <v>424</v>
      </c>
      <c r="F4" s="363" t="s">
        <v>305</v>
      </c>
      <c r="G4" s="363" t="s">
        <v>425</v>
      </c>
      <c r="H4" s="363" t="s">
        <v>426</v>
      </c>
      <c r="I4" s="363" t="s">
        <v>427</v>
      </c>
      <c r="J4" s="363" t="s">
        <v>428</v>
      </c>
      <c r="K4" s="363" t="s">
        <v>429</v>
      </c>
      <c r="L4" s="363" t="s">
        <v>430</v>
      </c>
      <c r="M4" s="363" t="s">
        <v>73</v>
      </c>
      <c r="N4" s="363" t="s">
        <v>431</v>
      </c>
      <c r="O4" s="363" t="s">
        <v>432</v>
      </c>
      <c r="P4" s="363" t="s">
        <v>433</v>
      </c>
      <c r="Q4" s="363" t="s">
        <v>434</v>
      </c>
      <c r="R4" s="363" t="s">
        <v>435</v>
      </c>
      <c r="S4" s="363" t="s">
        <v>436</v>
      </c>
      <c r="T4" s="363" t="s">
        <v>437</v>
      </c>
      <c r="U4" s="363" t="s">
        <v>438</v>
      </c>
      <c r="V4" s="363" t="s">
        <v>439</v>
      </c>
      <c r="W4" s="363" t="s">
        <v>440</v>
      </c>
      <c r="X4" s="363" t="s">
        <v>441</v>
      </c>
      <c r="Y4" s="363" t="s">
        <v>442</v>
      </c>
      <c r="Z4" s="363" t="s">
        <v>412</v>
      </c>
      <c r="AA4" s="363" t="s">
        <v>277</v>
      </c>
      <c r="AB4" s="363" t="s">
        <v>413</v>
      </c>
      <c r="AC4" s="363" t="s">
        <v>443</v>
      </c>
      <c r="AD4" s="363" t="s">
        <v>415</v>
      </c>
      <c r="AE4" s="363" t="s">
        <v>275</v>
      </c>
      <c r="AF4" s="363" t="s">
        <v>414</v>
      </c>
      <c r="AG4" s="363" t="s">
        <v>444</v>
      </c>
      <c r="AH4" s="363" t="s">
        <v>445</v>
      </c>
      <c r="AI4" s="363" t="s">
        <v>446</v>
      </c>
      <c r="AJ4" s="363" t="s">
        <v>447</v>
      </c>
      <c r="AK4" s="363" t="s">
        <v>448</v>
      </c>
      <c r="AL4" s="363" t="s">
        <v>449</v>
      </c>
      <c r="AM4" s="363" t="s">
        <v>450</v>
      </c>
      <c r="AN4" s="363" t="s">
        <v>451</v>
      </c>
      <c r="AO4" s="363" t="s">
        <v>452</v>
      </c>
      <c r="AP4" s="363" t="s">
        <v>453</v>
      </c>
      <c r="AQ4" s="363" t="s">
        <v>454</v>
      </c>
      <c r="AR4" s="363" t="s">
        <v>455</v>
      </c>
      <c r="AS4" s="363" t="s">
        <v>456</v>
      </c>
      <c r="AT4" s="363" t="s">
        <v>457</v>
      </c>
      <c r="AU4" s="363" t="s">
        <v>458</v>
      </c>
      <c r="AV4" s="363" t="s">
        <v>459</v>
      </c>
      <c r="AW4" s="363" t="s">
        <v>460</v>
      </c>
      <c r="AX4" s="363" t="s">
        <v>461</v>
      </c>
      <c r="AY4" s="363" t="s">
        <v>462</v>
      </c>
      <c r="AZ4" s="363" t="s">
        <v>463</v>
      </c>
      <c r="BA4" s="363" t="s">
        <v>464</v>
      </c>
      <c r="BB4" s="363" t="s">
        <v>465</v>
      </c>
      <c r="BC4" s="363" t="s">
        <v>466</v>
      </c>
      <c r="BD4" s="363" t="s">
        <v>467</v>
      </c>
      <c r="BE4" s="363" t="s">
        <v>468</v>
      </c>
      <c r="BF4" s="363" t="s">
        <v>469</v>
      </c>
      <c r="BG4" s="363" t="s">
        <v>470</v>
      </c>
      <c r="BH4" s="363" t="s">
        <v>471</v>
      </c>
      <c r="BI4" s="363" t="s">
        <v>472</v>
      </c>
      <c r="BJ4" s="363" t="s">
        <v>473</v>
      </c>
      <c r="BK4" s="363" t="s">
        <v>474</v>
      </c>
      <c r="BL4" s="363" t="s">
        <v>475</v>
      </c>
      <c r="BM4" s="363" t="s">
        <v>476</v>
      </c>
      <c r="BN4" s="363" t="s">
        <v>477</v>
      </c>
      <c r="BO4" s="363" t="s">
        <v>478</v>
      </c>
      <c r="BP4" s="363" t="s">
        <v>479</v>
      </c>
      <c r="BQ4" s="363" t="s">
        <v>480</v>
      </c>
      <c r="BR4" s="363" t="s">
        <v>481</v>
      </c>
      <c r="BS4" s="363" t="s">
        <v>482</v>
      </c>
      <c r="BT4" s="363" t="s">
        <v>55</v>
      </c>
      <c r="BU4" s="363" t="s">
        <v>483</v>
      </c>
      <c r="BV4" s="363" t="s">
        <v>484</v>
      </c>
      <c r="BW4" s="363" t="s">
        <v>485</v>
      </c>
      <c r="BX4" s="363" t="s">
        <v>486</v>
      </c>
      <c r="BY4" s="363" t="s">
        <v>487</v>
      </c>
      <c r="BZ4" s="363"/>
      <c r="CA4" s="363"/>
      <c r="CB4" s="363"/>
      <c r="CC4" s="363"/>
      <c r="CD4" s="363"/>
      <c r="CE4" s="363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5"/>
      <c r="DD4" s="125"/>
      <c r="DE4" s="125"/>
      <c r="DF4" s="355"/>
      <c r="DG4" s="357"/>
      <c r="DH4" s="125"/>
      <c r="DI4" s="125"/>
      <c r="DJ4" s="356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G20" sqref="G2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7"/>
      <c r="B1" s="288">
        <v>1</v>
      </c>
      <c r="C1" s="289"/>
      <c r="D1" s="290"/>
      <c r="E1" s="291" t="s">
        <v>96</v>
      </c>
      <c r="F1" s="292" t="s">
        <v>87</v>
      </c>
      <c r="G1" s="293" t="s">
        <v>887</v>
      </c>
      <c r="H1" s="294" t="s">
        <v>900</v>
      </c>
      <c r="I1" s="294" t="s">
        <v>901</v>
      </c>
      <c r="J1" s="296" t="s">
        <v>99</v>
      </c>
      <c r="K1" s="297" t="s">
        <v>100</v>
      </c>
      <c r="L1" s="298" t="str">
        <f>+IF(L2=0,"All Data Import Successfully","Difference Entry")</f>
        <v>All Data Import Successfully</v>
      </c>
      <c r="M1" s="312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9" t="s">
        <v>85</v>
      </c>
      <c r="B2" s="286" t="s">
        <v>85</v>
      </c>
      <c r="C2" s="286"/>
      <c r="D2" s="300" t="s">
        <v>85</v>
      </c>
      <c r="E2" s="301">
        <f>+COUNTA(A:A)-2</f>
        <v>0</v>
      </c>
      <c r="F2" s="302">
        <f>+COUNTIF($DR:$DR,"Sales")</f>
        <v>0</v>
      </c>
      <c r="G2" s="303">
        <f>+COUNTIF($DR:$DR,"Purchase Return")-1</f>
        <v>0</v>
      </c>
      <c r="H2" s="304">
        <f>SUMIF(DS:DS, "&gt;0")</f>
        <v>0</v>
      </c>
      <c r="I2" s="304">
        <f>SUMIF(DS:DS, "&lt;0")</f>
        <v>0</v>
      </c>
      <c r="J2" s="306">
        <f>+F2+G2</f>
        <v>0</v>
      </c>
      <c r="K2" s="307">
        <f>+SUM(DS:DS)</f>
        <v>0</v>
      </c>
      <c r="L2" s="308">
        <f>+(E2-J2)-COUNTIF(AK:AK,"0")</f>
        <v>0</v>
      </c>
      <c r="M2" s="313"/>
      <c r="N2" s="314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5" t="s">
        <v>872</v>
      </c>
      <c r="DB2" s="365" t="s">
        <v>781</v>
      </c>
      <c r="DC2" s="365" t="s">
        <v>230</v>
      </c>
      <c r="DD2" s="365" t="s">
        <v>885</v>
      </c>
      <c r="DE2" s="365" t="s">
        <v>783</v>
      </c>
      <c r="DF2" s="365" t="s">
        <v>873</v>
      </c>
      <c r="DG2" s="366" t="s">
        <v>784</v>
      </c>
      <c r="DH2" s="365" t="s">
        <v>785</v>
      </c>
      <c r="DI2" s="365" t="s">
        <v>786</v>
      </c>
      <c r="DJ2" s="365" t="s">
        <v>420</v>
      </c>
      <c r="DK2" s="365" t="s">
        <v>76</v>
      </c>
      <c r="DL2" s="365" t="s">
        <v>403</v>
      </c>
      <c r="DM2" s="365" t="s">
        <v>787</v>
      </c>
      <c r="DN2" s="365" t="s">
        <v>788</v>
      </c>
      <c r="DO2" s="365" t="s">
        <v>789</v>
      </c>
      <c r="DP2" s="365" t="s">
        <v>426</v>
      </c>
      <c r="DQ2" s="365" t="s">
        <v>318</v>
      </c>
      <c r="DR2" s="367" t="s">
        <v>801</v>
      </c>
      <c r="DS2" s="365" t="s">
        <v>106</v>
      </c>
      <c r="DT2" s="365" t="s">
        <v>886</v>
      </c>
      <c r="DU2" s="365" t="s">
        <v>884</v>
      </c>
      <c r="DV2" s="17"/>
      <c r="DW2" s="17"/>
      <c r="DX2" s="17"/>
    </row>
    <row r="3" spans="1:128" customFormat="1" ht="15.75" thickBot="1" x14ac:dyDescent="0.3">
      <c r="A3" s="347"/>
      <c r="B3" s="348"/>
      <c r="C3" s="310"/>
      <c r="D3" s="311" t="s">
        <v>905</v>
      </c>
      <c r="E3" s="346"/>
      <c r="F3" s="349"/>
      <c r="G3" s="346"/>
      <c r="H3" s="310"/>
      <c r="I3" s="353"/>
      <c r="J3" s="351"/>
      <c r="K3" s="354"/>
      <c r="L3" s="352"/>
      <c r="M3" s="350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791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779</v>
      </c>
      <c r="DH3" s="29" t="str">
        <f>+IF(DF3=DA3,"GST","IGST")</f>
        <v>GST</v>
      </c>
      <c r="DI3" s="29" t="s">
        <v>876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8">
        <f>+IF(B3="FC_REMOVAL",VALUE(IF(X3=0,0,V3*-1)),VALUE(IF(X3=0,0,V3)))</f>
        <v>0</v>
      </c>
      <c r="DT3" s="368" t="e">
        <f>+VLOOKUP(DU3,Help!$AC$3:$AD$20,2,0)</f>
        <v>#N/A</v>
      </c>
      <c r="DU3" s="369" t="str">
        <f>+AG3</f>
        <v>Sales</v>
      </c>
      <c r="DV3" s="364"/>
      <c r="DW3" s="364"/>
      <c r="DX3" s="364"/>
    </row>
    <row r="4" spans="1:128" s="2" customFormat="1" x14ac:dyDescent="0.25">
      <c r="A4" s="358" t="s">
        <v>863</v>
      </c>
      <c r="B4" s="358" t="s">
        <v>156</v>
      </c>
      <c r="C4" s="358" t="s">
        <v>525</v>
      </c>
      <c r="D4" s="358" t="s">
        <v>157</v>
      </c>
      <c r="E4" s="358" t="s">
        <v>864</v>
      </c>
      <c r="F4" s="358" t="s">
        <v>172</v>
      </c>
      <c r="G4" s="358" t="s">
        <v>173</v>
      </c>
      <c r="H4" s="358" t="s">
        <v>174</v>
      </c>
      <c r="I4" s="358" t="s">
        <v>175</v>
      </c>
      <c r="J4" s="358" t="s">
        <v>865</v>
      </c>
      <c r="K4" s="358" t="s">
        <v>176</v>
      </c>
      <c r="L4" s="358" t="s">
        <v>177</v>
      </c>
      <c r="M4" s="358" t="s">
        <v>178</v>
      </c>
      <c r="N4" s="358" t="s">
        <v>179</v>
      </c>
      <c r="O4" s="358" t="s">
        <v>154</v>
      </c>
      <c r="P4" s="358" t="s">
        <v>155</v>
      </c>
      <c r="Q4" s="358" t="s">
        <v>379</v>
      </c>
      <c r="R4" s="358" t="s">
        <v>164</v>
      </c>
      <c r="S4" s="358" t="s">
        <v>166</v>
      </c>
      <c r="T4" s="358" t="s">
        <v>162</v>
      </c>
      <c r="U4" s="358" t="s">
        <v>746</v>
      </c>
      <c r="V4" s="358" t="s">
        <v>540</v>
      </c>
      <c r="W4" s="358" t="s">
        <v>186</v>
      </c>
      <c r="X4" s="358" t="s">
        <v>866</v>
      </c>
      <c r="Y4" s="358" t="s">
        <v>184</v>
      </c>
      <c r="Z4" s="358" t="s">
        <v>867</v>
      </c>
      <c r="AA4" s="358" t="s">
        <v>185</v>
      </c>
      <c r="AB4" s="358" t="s">
        <v>868</v>
      </c>
      <c r="AC4" s="358" t="s">
        <v>183</v>
      </c>
      <c r="AD4" s="358" t="s">
        <v>869</v>
      </c>
      <c r="AE4" s="358" t="s">
        <v>187</v>
      </c>
      <c r="AF4" s="358" t="s">
        <v>870</v>
      </c>
      <c r="AG4" s="358" t="s">
        <v>871</v>
      </c>
      <c r="AH4" s="358" t="s">
        <v>233</v>
      </c>
      <c r="AI4" s="358" t="s">
        <v>234</v>
      </c>
      <c r="AJ4" s="358" t="s">
        <v>235</v>
      </c>
      <c r="AK4" s="358" t="s">
        <v>236</v>
      </c>
      <c r="AP4" s="284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9"/>
      <c r="DD4" s="17"/>
      <c r="DE4" s="278"/>
      <c r="DF4" s="17"/>
      <c r="DG4" s="16"/>
      <c r="DH4" s="17"/>
      <c r="DI4" s="279" t="s">
        <v>85</v>
      </c>
      <c r="DJ4" s="17"/>
      <c r="DK4" s="278"/>
      <c r="DL4" s="125"/>
      <c r="DM4" s="285"/>
      <c r="DN4" s="278"/>
      <c r="DO4" s="278"/>
      <c r="DP4" s="279" t="s">
        <v>85</v>
      </c>
      <c r="DS4" s="387"/>
    </row>
  </sheetData>
  <sheetProtection algorithmName="SHA-512" hashValue="SBHgCeBW9Kj9kbgM9m2J3KjyXUIrJoWMt8SQ6jLTtwK68S0jx8FZX54M/AsThXMEA3d3l3xxo1aGfiz4nLgQ1Q==" saltValue="f9y+gI/juT+Tb+7kqS+BO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DT4"/>
  <sheetViews>
    <sheetView showRuler="0" workbookViewId="0">
      <selection activeCell="G30" sqref="G3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24" customFormat="1" ht="38.1" customHeight="1" thickBot="1" x14ac:dyDescent="0.3">
      <c r="A1" s="287"/>
      <c r="B1" s="288"/>
      <c r="C1" s="289"/>
      <c r="D1" s="290"/>
      <c r="E1" s="291" t="s">
        <v>96</v>
      </c>
      <c r="F1" s="292" t="s">
        <v>802</v>
      </c>
      <c r="G1" s="293" t="s">
        <v>803</v>
      </c>
      <c r="H1" s="294" t="s">
        <v>804</v>
      </c>
      <c r="I1" s="295" t="s">
        <v>805</v>
      </c>
      <c r="J1" s="296" t="s">
        <v>99</v>
      </c>
      <c r="K1" s="297" t="s">
        <v>100</v>
      </c>
      <c r="L1" s="298" t="str">
        <f>+IF(L2=0,"All Data Import Successfully","Difference Entry")</f>
        <v>All Data Import Successfully</v>
      </c>
      <c r="M1" s="312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6">
        <v>18</v>
      </c>
      <c r="DS1" s="16">
        <v>19</v>
      </c>
    </row>
    <row r="2" spans="1:124" customFormat="1" ht="38.1" customHeight="1" thickBot="1" x14ac:dyDescent="0.4">
      <c r="A2" s="299" t="s">
        <v>85</v>
      </c>
      <c r="B2" s="286" t="s">
        <v>85</v>
      </c>
      <c r="C2" s="286"/>
      <c r="D2" s="300" t="s">
        <v>85</v>
      </c>
      <c r="E2" s="301">
        <f>+COUNTA(A:A)-2</f>
        <v>0</v>
      </c>
      <c r="F2" s="302">
        <f>+COUNTIF($DR:$DR,"Purchase")-1</f>
        <v>0</v>
      </c>
      <c r="G2" s="303">
        <f>+COUNTIF($DR:$DR,"GST Expense")</f>
        <v>0</v>
      </c>
      <c r="H2" s="304">
        <f>+COUNTIF($DR:$DR,"Pur CN")</f>
        <v>0</v>
      </c>
      <c r="I2" s="305">
        <f>+COUNTIF($DR:$DR,"Pur DN")</f>
        <v>0</v>
      </c>
      <c r="J2" s="306">
        <f>+F2+G2+H2+I2</f>
        <v>0</v>
      </c>
      <c r="K2" s="307">
        <f>+SUM(DQ:DQ)</f>
        <v>0</v>
      </c>
      <c r="L2" s="308">
        <f>+(E2-J2)-COUNTIF(AK:AK,"0")</f>
        <v>0</v>
      </c>
      <c r="M2" s="313"/>
      <c r="N2" s="314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80" t="s">
        <v>71</v>
      </c>
      <c r="DB2" s="280" t="s">
        <v>781</v>
      </c>
      <c r="DC2" s="280" t="s">
        <v>72</v>
      </c>
      <c r="DD2" s="280" t="s">
        <v>782</v>
      </c>
      <c r="DE2" s="280" t="s">
        <v>783</v>
      </c>
      <c r="DF2" s="280" t="s">
        <v>780</v>
      </c>
      <c r="DG2" s="280" t="s">
        <v>784</v>
      </c>
      <c r="DH2" s="280" t="s">
        <v>785</v>
      </c>
      <c r="DI2" s="280" t="s">
        <v>786</v>
      </c>
      <c r="DJ2" s="280" t="s">
        <v>420</v>
      </c>
      <c r="DK2" s="280" t="s">
        <v>76</v>
      </c>
      <c r="DL2" s="280" t="s">
        <v>403</v>
      </c>
      <c r="DM2" s="280" t="s">
        <v>787</v>
      </c>
      <c r="DN2" s="280" t="s">
        <v>788</v>
      </c>
      <c r="DO2" s="280" t="s">
        <v>789</v>
      </c>
      <c r="DP2" s="280" t="s">
        <v>426</v>
      </c>
      <c r="DQ2" s="280" t="s">
        <v>800</v>
      </c>
      <c r="DR2" s="281" t="s">
        <v>801</v>
      </c>
      <c r="DS2" s="280" t="s">
        <v>790</v>
      </c>
    </row>
    <row r="3" spans="1:124" customFormat="1" ht="15.75" thickBot="1" x14ac:dyDescent="0.3">
      <c r="A3" s="347"/>
      <c r="B3" s="348"/>
      <c r="C3" s="310"/>
      <c r="D3" s="311" t="s">
        <v>85</v>
      </c>
      <c r="E3" s="346"/>
      <c r="F3" s="349"/>
      <c r="G3" s="346"/>
      <c r="H3" s="310"/>
      <c r="I3" s="353" t="s">
        <v>859</v>
      </c>
      <c r="J3" s="351" t="s">
        <v>858</v>
      </c>
      <c r="K3" s="354" t="s">
        <v>857</v>
      </c>
      <c r="L3" s="352" t="s">
        <v>861</v>
      </c>
      <c r="M3" s="350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791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779</v>
      </c>
      <c r="DH3" s="26" t="str">
        <f>+IF(DF3=DA3,"GST","IGST")</f>
        <v>IGST</v>
      </c>
      <c r="DI3" s="29" t="str">
        <f>IF(D3="Regular",IF(I3=0,"Bill","Tax"),IF(J3=0,"Bill","Tax"))</f>
        <v>Tax</v>
      </c>
      <c r="DJ3" s="28">
        <f>+IF(D3="Regular",VALUE(E3),VALUE(F3))</f>
        <v>0</v>
      </c>
      <c r="DK3" s="283">
        <f>+C3</f>
        <v>0</v>
      </c>
      <c r="DL3" s="283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 t="str">
        <f>+IF(D3="Regular",I3,J3)</f>
        <v>24AIFPJ6378M2ZR</v>
      </c>
      <c r="DR3" s="27" t="str">
        <f>+IF(D3="Regular","Purchase",IF(D3="Credit Note","Pur CN","Purchase"))</f>
        <v>Purchase</v>
      </c>
      <c r="DS3" s="120"/>
      <c r="DT3" s="120"/>
    </row>
    <row r="4" spans="1:124" s="2" customFormat="1" ht="24" x14ac:dyDescent="0.25">
      <c r="A4" s="309" t="s">
        <v>762</v>
      </c>
      <c r="B4" s="309" t="s">
        <v>763</v>
      </c>
      <c r="C4" s="277" t="s">
        <v>422</v>
      </c>
      <c r="D4" s="277" t="s">
        <v>773</v>
      </c>
      <c r="E4" s="277" t="s">
        <v>155</v>
      </c>
      <c r="F4" s="277" t="s">
        <v>774</v>
      </c>
      <c r="G4" s="309" t="s">
        <v>764</v>
      </c>
      <c r="H4" s="309" t="s">
        <v>765</v>
      </c>
      <c r="I4" s="309" t="s">
        <v>766</v>
      </c>
      <c r="J4" s="277" t="s">
        <v>775</v>
      </c>
      <c r="K4" s="277" t="s">
        <v>776</v>
      </c>
      <c r="L4" s="277" t="s">
        <v>777</v>
      </c>
      <c r="M4" s="277" t="s">
        <v>778</v>
      </c>
      <c r="N4" s="277" t="s">
        <v>862</v>
      </c>
      <c r="O4" s="277" t="s">
        <v>767</v>
      </c>
      <c r="P4" s="277" t="s">
        <v>768</v>
      </c>
      <c r="Q4" s="277" t="s">
        <v>769</v>
      </c>
      <c r="R4" s="277" t="s">
        <v>770</v>
      </c>
      <c r="S4" s="277" t="s">
        <v>771</v>
      </c>
      <c r="T4" s="277" t="s">
        <v>481</v>
      </c>
      <c r="U4" s="277" t="s">
        <v>772</v>
      </c>
      <c r="V4" s="16"/>
      <c r="AP4" s="284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9"/>
      <c r="DD4" s="17"/>
      <c r="DE4" s="278"/>
      <c r="DF4" s="17"/>
      <c r="DG4" s="17"/>
      <c r="DH4" s="17"/>
      <c r="DI4" s="279" t="s">
        <v>85</v>
      </c>
      <c r="DJ4" s="17"/>
      <c r="DK4" s="278"/>
      <c r="DL4" s="345"/>
      <c r="DM4" s="285"/>
      <c r="DN4" s="278"/>
      <c r="DO4" s="278"/>
      <c r="DP4" s="279" t="s">
        <v>85</v>
      </c>
    </row>
  </sheetData>
  <sheetProtection algorithmName="SHA-512" hashValue="9Wocf2hwKY0vPYD1VkNIggmI3pUyOPJaZljf3yV2m1F1P0V2rtKxObMpm+AEByzWjjlpfbYG7XVHXAF+gYJqZQ==" saltValue="/9dn1S96qbSrMvYBosps1g==" spinCount="100000" sheet="1" objects="1" scenarios="1"/>
  <mergeCells count="1">
    <mergeCell ref="O1:P1"/>
  </mergeCells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13.140625" style="21" bestFit="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3"/>
      <c r="J1" s="394"/>
      <c r="K1" s="395"/>
      <c r="N1" s="396" t="s">
        <v>813</v>
      </c>
      <c r="O1" s="397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73" t="str">
        <f>IF(AP1="",IF(AN1&lt;&gt;"", SUMIFS($L$5:$L$150000, $N$5:$N$150000, AN1), ""),"")</f>
        <v/>
      </c>
      <c r="AP1" s="374" t="str">
        <f>IF(AN1="", "", INDEX($A$5:$A$150000, MATCH(AN1, $N$5:$N$150000, 0)))</f>
        <v/>
      </c>
      <c r="AQ1" s="375" t="str">
        <f>IF(AN1="", "", INDEX($B$5:$B$150000, MATCH(AN1, $N$5:$N$150000, 0)))</f>
        <v/>
      </c>
      <c r="AR1" s="373" t="str">
        <f>IF(AN1="", "", INDEX($C$5:$C$150000, MATCH(AN1, $N$5:$N$150000, 0)))</f>
        <v/>
      </c>
      <c r="AS1" s="373" t="str">
        <f>AY1 &amp; "%" &amp; " (" &amp; AX1 &amp; ")"</f>
        <v>% ()</v>
      </c>
      <c r="AT1" s="375" t="e">
        <f>+IF(AU1="",INDEX($E$5:$E$150000,MATCH(AN1,$N$5:$N$150000,0)),INDEX(Help!$F$2:$F$49,MATCH(VALUE(LEFT(AU1,2)),Help!$E$2:$E$49,0)))</f>
        <v>#N/A</v>
      </c>
      <c r="AU1" s="376" t="str">
        <f>IF(AN1="", "", IFERROR(INDEX($F$5:$F$150000, MATCH(AN1, $N$5:$N$150000, 0)), ""))</f>
        <v/>
      </c>
      <c r="AV1" s="375" t="str">
        <f>IF(AN1="", "", IFERROR(INDEX($O$5:$O$150000, MATCH(AN1, $N$5:$N$150000, 0)), ""))</f>
        <v/>
      </c>
      <c r="AW1" s="374" t="str">
        <f>SUBSTITUTE(AN1,"R-","")</f>
        <v/>
      </c>
      <c r="AX1" s="374" t="str">
        <f>IF($Q1="", "", IFERROR(VALUE(INDEX($I$5:$I$150000, MATCH($Q1, $N$5:$N$150000, 0))), ""))</f>
        <v/>
      </c>
      <c r="AY1" s="374" t="str">
        <f>IF($Q1="", "", IFERROR(INDEX($J$5:$J$150000, MATCH($Q1, $N$5:$N$150000, 0)), ""))</f>
        <v/>
      </c>
      <c r="AZ1" s="374">
        <f>IF(VALUE(SUMIF($N$5:$N$150000,AN1,$K$5:$K$150000))=0, 1, VALUE(SUMIF($N$5:$N$150000,AN1,$K$5:$K$150000)))</f>
        <v>1</v>
      </c>
      <c r="BA1" s="275" t="str">
        <f>IF(AN1="", "", SUMIFS($L$5:$L$150000, $N$5:$N$150000, AN1))</f>
        <v/>
      </c>
      <c r="BB1" s="275" t="str">
        <f>IF(AN1="", "", SUMIFS($M$5:$M$150000, $N$5:$N$150000, AN1))</f>
        <v/>
      </c>
      <c r="BC1" s="331" t="e">
        <f>+BA1/AZ1</f>
        <v>#VALUE!</v>
      </c>
      <c r="BD1" s="103" t="s">
        <v>85</v>
      </c>
      <c r="BE1" s="99" t="e">
        <f>+IF(AT1=$W$2,"ECom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20"/>
      <c r="O2" s="322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59" t="s">
        <v>874</v>
      </c>
      <c r="AD2" s="360" t="s">
        <v>72</v>
      </c>
      <c r="AO2" t="s">
        <v>488</v>
      </c>
      <c r="BA2" s="276">
        <v>0</v>
      </c>
      <c r="BB2" s="276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20"/>
      <c r="O3" s="322"/>
      <c r="P3" s="16"/>
      <c r="T3" s="88"/>
      <c r="Z3" s="88"/>
      <c r="AA3" s="88"/>
      <c r="AC3" s="2"/>
      <c r="AD3" s="2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20"/>
      <c r="O4" s="321"/>
      <c r="P4" s="16"/>
      <c r="T4" s="88"/>
      <c r="Z4" s="88"/>
      <c r="AA4" s="88"/>
      <c r="AC4" s="2"/>
      <c r="AD4" s="2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20"/>
      <c r="O5" s="322"/>
      <c r="P5" s="16"/>
      <c r="Q5" s="16"/>
      <c r="R5" s="16"/>
      <c r="S5" s="16"/>
      <c r="T5" s="88"/>
      <c r="Z5" s="88"/>
      <c r="AA5" s="88"/>
      <c r="AB5" s="16"/>
      <c r="AC5" s="2"/>
      <c r="AD5" s="2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4" t="s">
        <v>807</v>
      </c>
      <c r="O6" s="325"/>
      <c r="P6" s="16"/>
      <c r="Q6" s="16"/>
      <c r="R6" s="16"/>
      <c r="S6" s="16"/>
      <c r="T6" s="88"/>
      <c r="U6" s="88"/>
      <c r="Z6" s="88"/>
      <c r="AA6" s="88"/>
      <c r="AB6" s="16"/>
      <c r="AC6" s="2"/>
      <c r="AD6" s="2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3" t="s">
        <v>831</v>
      </c>
      <c r="M7" s="323" t="b">
        <v>1</v>
      </c>
      <c r="N7" s="324" t="s">
        <v>72</v>
      </c>
      <c r="O7" s="325"/>
      <c r="P7" s="16"/>
      <c r="Q7" s="16"/>
      <c r="R7" s="16"/>
      <c r="S7" s="16"/>
      <c r="T7" s="88"/>
      <c r="Z7" s="88"/>
      <c r="AA7" s="88"/>
      <c r="AB7" s="16"/>
      <c r="AC7" s="2"/>
      <c r="AD7" s="2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3" t="s">
        <v>830</v>
      </c>
      <c r="M8" s="323" t="b">
        <v>1</v>
      </c>
      <c r="N8" s="324" t="s">
        <v>808</v>
      </c>
      <c r="O8" s="325"/>
      <c r="P8" s="16"/>
      <c r="Q8" s="16"/>
      <c r="R8" s="16"/>
      <c r="S8" s="16"/>
      <c r="T8" s="88"/>
      <c r="Z8" s="88"/>
      <c r="AA8" s="88"/>
      <c r="AB8" s="16"/>
      <c r="AC8" s="2"/>
      <c r="AD8" s="2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3" t="s">
        <v>814</v>
      </c>
      <c r="M9" s="323" t="b">
        <v>1</v>
      </c>
      <c r="N9" s="324" t="s">
        <v>809</v>
      </c>
      <c r="O9" s="326"/>
      <c r="P9" s="16"/>
      <c r="Q9" s="16"/>
      <c r="R9" s="16"/>
      <c r="S9" s="16"/>
      <c r="T9" s="88"/>
      <c r="W9" s="88"/>
      <c r="X9" s="88"/>
      <c r="Z9" s="88"/>
      <c r="AA9" s="88"/>
      <c r="AB9" s="16"/>
      <c r="AC9" s="2"/>
      <c r="AD9" s="2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3" t="s">
        <v>815</v>
      </c>
      <c r="M10" s="323" t="b">
        <v>1</v>
      </c>
      <c r="N10" s="324" t="s">
        <v>811</v>
      </c>
      <c r="O10" s="325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2"/>
      <c r="AD10" s="2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323" t="s">
        <v>816</v>
      </c>
      <c r="M11" s="323" t="b">
        <v>1</v>
      </c>
      <c r="N11" s="324" t="s">
        <v>812</v>
      </c>
      <c r="O11" s="326"/>
      <c r="P11" s="16"/>
      <c r="Q11" s="16"/>
      <c r="R11" s="16"/>
      <c r="S11" s="16"/>
      <c r="AA11" s="88"/>
      <c r="AB11" s="16"/>
      <c r="AC11" s="16"/>
      <c r="AD11" s="2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3" t="s">
        <v>817</v>
      </c>
      <c r="M12" s="323" t="b">
        <v>1</v>
      </c>
      <c r="N12" s="324" t="s">
        <v>810</v>
      </c>
      <c r="O12" s="326"/>
      <c r="P12" s="16"/>
      <c r="Q12" s="16"/>
      <c r="R12" s="16"/>
      <c r="S12" s="16"/>
      <c r="T12" s="88"/>
      <c r="U12" s="88"/>
      <c r="Z12" s="88"/>
      <c r="AA12" s="88"/>
      <c r="AB12" s="16"/>
      <c r="AC12" s="16"/>
      <c r="AD12" s="2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3" t="s">
        <v>818</v>
      </c>
      <c r="M13" s="323" t="b">
        <v>1</v>
      </c>
      <c r="N13" s="327" t="s">
        <v>833</v>
      </c>
      <c r="O13" s="330"/>
      <c r="P13" s="16"/>
      <c r="Q13" s="16"/>
      <c r="R13" s="16"/>
      <c r="S13" s="16"/>
      <c r="T13" s="83"/>
      <c r="Z13" s="83"/>
      <c r="AA13" s="88"/>
      <c r="AB13" s="16"/>
      <c r="AC13" s="16"/>
      <c r="AD13" s="2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3" t="s">
        <v>819</v>
      </c>
      <c r="M14" s="323" t="b">
        <v>1</v>
      </c>
      <c r="N14" s="329"/>
      <c r="O14" s="18"/>
      <c r="P14" s="16"/>
      <c r="Q14" s="16"/>
      <c r="R14" s="16"/>
      <c r="S14" s="16"/>
      <c r="T14" s="83"/>
      <c r="Z14" s="83"/>
      <c r="AA14" s="88"/>
      <c r="AB14" s="16"/>
      <c r="AC14" s="16"/>
      <c r="AD14" s="2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3" t="s">
        <v>820</v>
      </c>
      <c r="M15" s="323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16"/>
      <c r="AD15" s="2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3" t="s">
        <v>823</v>
      </c>
      <c r="M16" s="323" t="b">
        <v>1</v>
      </c>
      <c r="N16" s="16"/>
      <c r="O16" s="318"/>
      <c r="P16" s="16"/>
      <c r="Q16" s="16"/>
      <c r="R16" s="16"/>
      <c r="S16" s="16"/>
      <c r="AA16" s="88"/>
      <c r="AB16" s="16"/>
      <c r="AC16" s="16"/>
      <c r="AD16" s="2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3" t="s">
        <v>821</v>
      </c>
      <c r="M17" s="323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16"/>
      <c r="AD17" s="2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3" t="s">
        <v>822</v>
      </c>
      <c r="M18" s="323" t="b">
        <v>0</v>
      </c>
      <c r="N18" s="16"/>
      <c r="O18" s="16"/>
      <c r="P18" s="16"/>
      <c r="Q18" s="16"/>
      <c r="R18" s="16"/>
      <c r="S18" s="16"/>
      <c r="AA18" s="88"/>
      <c r="AB18" s="16"/>
      <c r="AC18" s="16"/>
      <c r="AD18" s="2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3" t="s">
        <v>824</v>
      </c>
      <c r="M19" s="323" t="b">
        <v>1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16"/>
      <c r="AD19" s="2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3" t="s">
        <v>825</v>
      </c>
      <c r="M20" s="323" t="b">
        <v>0</v>
      </c>
      <c r="N20" s="16"/>
      <c r="O20" s="16"/>
      <c r="P20" s="16"/>
      <c r="Q20" s="16"/>
      <c r="R20" s="16"/>
      <c r="S20" s="16"/>
      <c r="AA20" s="88"/>
      <c r="AB20" s="16"/>
      <c r="AC20" s="16"/>
      <c r="AD20" s="2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3" t="s">
        <v>826</v>
      </c>
      <c r="M21" s="323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16"/>
      <c r="AD21" s="2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7.25" x14ac:dyDescent="0.25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3" t="s">
        <v>827</v>
      </c>
      <c r="M22" s="323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16"/>
      <c r="AD22" s="21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3" t="s">
        <v>860</v>
      </c>
      <c r="M23" s="323" t="b">
        <v>1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3" t="s">
        <v>828</v>
      </c>
      <c r="M24" s="323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3" t="s">
        <v>880</v>
      </c>
      <c r="M25" s="16" t="b">
        <v>1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3" t="s">
        <v>875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3" t="s">
        <v>829</v>
      </c>
      <c r="M27" s="16" t="b">
        <v>1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16"/>
      <c r="M28" s="16"/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9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9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9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728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729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730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9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731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9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732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733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734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797</v>
      </c>
      <c r="B141" s="265" t="s">
        <v>31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 t="s">
        <v>834</v>
      </c>
      <c r="B142" s="265" t="s">
        <v>28</v>
      </c>
      <c r="C142" s="142" t="str">
        <f t="shared" si="3"/>
        <v>OK</v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 t="s">
        <v>835</v>
      </c>
      <c r="B143" s="265" t="s">
        <v>18</v>
      </c>
      <c r="C143" s="142" t="str">
        <f t="shared" si="3"/>
        <v>OK</v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9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 t="s">
        <v>836</v>
      </c>
      <c r="B144" s="265" t="s">
        <v>14</v>
      </c>
      <c r="C144" s="142" t="str">
        <f t="shared" si="3"/>
        <v>OK</v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 t="s">
        <v>837</v>
      </c>
      <c r="B145" s="265" t="s">
        <v>33</v>
      </c>
      <c r="C145" s="142" t="str">
        <f t="shared" si="3"/>
        <v>OK</v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 t="s">
        <v>838</v>
      </c>
      <c r="B146" s="265" t="s">
        <v>2</v>
      </c>
      <c r="C146" s="142" t="str">
        <f t="shared" si="3"/>
        <v>OK</v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 t="s">
        <v>877</v>
      </c>
      <c r="B147" s="265" t="s">
        <v>322</v>
      </c>
      <c r="C147" s="142" t="str">
        <f t="shared" si="3"/>
        <v>OK</v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 t="s">
        <v>913</v>
      </c>
      <c r="B148" s="246" t="s">
        <v>20</v>
      </c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30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6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7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8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9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10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11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12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13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14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15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16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17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18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19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20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21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22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tabSelected="1" workbookViewId="0">
      <selection activeCell="H12" sqref="H12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2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8"/>
      <c r="H1" s="163"/>
      <c r="I1" s="214"/>
      <c r="J1" s="337" t="s">
        <v>90</v>
      </c>
      <c r="K1" s="343" t="str">
        <f>+IF(K2=0,"Done","Pending")</f>
        <v>Done</v>
      </c>
      <c r="L1" s="338"/>
      <c r="M1" s="339"/>
      <c r="N1" s="335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761</v>
      </c>
      <c r="U1" s="219" t="s">
        <v>760</v>
      </c>
      <c r="V1" s="218" t="s">
        <v>107</v>
      </c>
      <c r="W1" s="218"/>
      <c r="X1" s="219" t="s">
        <v>735</v>
      </c>
      <c r="AA1" s="116"/>
      <c r="AB1" s="17"/>
      <c r="AD1" s="71"/>
      <c r="AE1" s="24"/>
    </row>
    <row r="2" spans="1:34" ht="16.5" thickBot="1" x14ac:dyDescent="0.3">
      <c r="A2" s="164"/>
      <c r="B2" s="362"/>
      <c r="C2" s="165"/>
      <c r="D2" s="165"/>
      <c r="E2" s="165"/>
      <c r="F2" s="165"/>
      <c r="G2" s="379"/>
      <c r="H2" s="165"/>
      <c r="I2" s="215"/>
      <c r="J2" s="340">
        <f>+MSH!H2+AMZ!H2+FLC!H2+'FLC (C)'!H2+SND!H2+'JIO (2)'!H2+MYR!H2+'S101'!H2+JIO!H2+GLR!H2+MRW!H2+'S101 (2)'!H2+VMT!H2+'MYR (2)'!H2+'S101 (3)'!H2+UNI!H2</f>
        <v>0</v>
      </c>
      <c r="K2" s="344">
        <f>+J2-N2</f>
        <v>0</v>
      </c>
      <c r="L2" s="341"/>
      <c r="M2" s="342"/>
      <c r="N2" s="336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82"/>
      <c r="D3" s="77">
        <f ca="1">+MSH!N2+FLC!N2+AMZ!N2+SND!N2+GLR!N2+MRW!N2+'S101'!N2+JIO!N2+MYR!N2+VMT!N2+'JIO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80" t="s">
        <v>319</v>
      </c>
      <c r="H3" s="383">
        <v>11</v>
      </c>
      <c r="I3" s="138" t="str">
        <f>+IF(J3=1,"All","State")</f>
        <v>State</v>
      </c>
      <c r="J3" s="384">
        <v>2</v>
      </c>
      <c r="K3" s="137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IFERROR(IF($J$3=1,L3/K3,IF(F3="",CONCATENATE(IF(L3&gt;0,"","R-"),LEFT(B3,2),VLOOKUP(A3,Help!$F$2:$G$60,2,0),"-",VLOOKUP(E3,Help!$F$2:$G$60,2,0),TEXT(O3,"m"),LEFT(I3,6),LEFT(J3,2),),IF(L3&gt;0,H3,CONCATENATE("R-",H3)))),"+++++++++")</f>
        <v>R-11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+IF(E3=$W$2,"ECom GST","ECom IGST")</f>
        <v>ECom IGST</v>
      </c>
      <c r="Q3" s="266"/>
      <c r="R3" s="373" t="str">
        <f>IF(S3="",IF(Q3&lt;&gt;"", SUMIFS(#REF!,#REF!, Q3), ""),"")</f>
        <v/>
      </c>
      <c r="S3" s="374" t="str">
        <f>IF(Q3="", "", INDEX(#REF!, MATCH(Q3,#REF!, 0)))</f>
        <v/>
      </c>
      <c r="T3" s="375" t="str">
        <f>IF(Q3="", "", INDEX(#REF!, MATCH(Q3,#REF!, 0)))</f>
        <v/>
      </c>
      <c r="U3" s="373" t="str">
        <f>IF(Q3="", "", INDEX(#REF!, MATCH(Q3,#REF!, 0)))</f>
        <v/>
      </c>
      <c r="V3" s="373" t="str">
        <f>AB3 &amp; "%" &amp; " (" &amp; AA3 &amp; ")"</f>
        <v>% ()</v>
      </c>
      <c r="W3" s="375" t="e">
        <f>+IF(X3="",INDEX(#REF!,MATCH(Q3,#REF!,0)),INDEX(Help!$F$2:$F$49,MATCH(VALUE(LEFT(X3,2)),Help!$E$2:$E$49,0)))</f>
        <v>#REF!</v>
      </c>
      <c r="X3" s="376" t="str">
        <f>IF(Q3="", "", IFERROR(INDEX(#REF!, MATCH(Q3,#REF!, 0)), ""))</f>
        <v/>
      </c>
      <c r="Y3" s="375" t="str">
        <f>IF(Q3="", "", IFERROR(INDEX(#REF!, MATCH(Q3,#REF!, 0)), ""))</f>
        <v/>
      </c>
      <c r="Z3" s="374" t="str">
        <f>SUBSTITUTE(Q3,"R-","")</f>
        <v/>
      </c>
      <c r="AA3" s="374" t="str">
        <f>IF($Q3="", "", IFERROR(VALUE(INDEX(#REF!, MATCH($Q3,#REF!, 0))), ""))</f>
        <v/>
      </c>
      <c r="AB3" s="374" t="str">
        <f>IF($Q3="", "", IFERROR(INDEX(#REF!, MATCH($Q3,#REF!, 0)), ""))</f>
        <v/>
      </c>
      <c r="AC3" s="374" t="e">
        <f>IF(VALUE(SUMIF(#REF!,Q3,#REF!))=0, 1, VALUE(SUMIF(#REF!,Q3,#REF!)))</f>
        <v>#REF!</v>
      </c>
      <c r="AD3" s="275" t="str">
        <f>IF(Q3="", "", SUMIFS(#REF!,#REF!, Q3))</f>
        <v/>
      </c>
      <c r="AE3" s="275" t="str">
        <f>IF(Q3="", "", SUMIFS(#REF!,#REF!, Q3))</f>
        <v/>
      </c>
      <c r="AF3" s="331" t="e">
        <f>+AD3/AC3</f>
        <v>#VALUE!</v>
      </c>
      <c r="AG3" s="103" t="s">
        <v>85</v>
      </c>
      <c r="AH3" s="99" t="e">
        <f>+IF(W3=$W$2,"ECom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81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892</v>
      </c>
      <c r="U4" s="212" t="s">
        <v>893</v>
      </c>
      <c r="V4" s="212" t="s">
        <v>305</v>
      </c>
      <c r="W4" s="212" t="s">
        <v>1</v>
      </c>
      <c r="X4" s="212" t="s">
        <v>74</v>
      </c>
      <c r="Y4" s="334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3" t="s">
        <v>318</v>
      </c>
      <c r="AG4" s="212"/>
      <c r="AH4" s="212" t="s">
        <v>304</v>
      </c>
    </row>
  </sheetData>
  <dataConsolidate/>
  <conditionalFormatting sqref="N1">
    <cfRule type="cellIs" dxfId="17" priority="3098" operator="equal">
      <formula>#N/A</formula>
    </cfRule>
  </conditionalFormatting>
  <conditionalFormatting sqref="J1">
    <cfRule type="cellIs" dxfId="16" priority="3097" operator="equal">
      <formula>#N/A</formula>
    </cfRule>
  </conditionalFormatting>
  <conditionalFormatting sqref="F1:F2">
    <cfRule type="containsText" dxfId="15" priority="3089" operator="containsText" text="Others">
      <formula>NOT(ISERROR(SEARCH("Others",F1)))</formula>
    </cfRule>
    <cfRule type="containsText" dxfId="14" priority="3090" operator="containsText" text="#N/A">
      <formula>NOT(ISERROR(SEARCH("#N/A",F1)))</formula>
    </cfRule>
  </conditionalFormatting>
  <conditionalFormatting sqref="Q1:Q2">
    <cfRule type="cellIs" dxfId="13" priority="2949" operator="equal">
      <formula>#N/A</formula>
    </cfRule>
  </conditionalFormatting>
  <conditionalFormatting sqref="S2:V2">
    <cfRule type="cellIs" dxfId="12" priority="2945" operator="equal">
      <formula>#N/A</formula>
    </cfRule>
  </conditionalFormatting>
  <conditionalFormatting sqref="R1:R2">
    <cfRule type="duplicateValues" dxfId="11" priority="2901"/>
  </conditionalFormatting>
  <conditionalFormatting sqref="D3">
    <cfRule type="cellIs" dxfId="10" priority="2755" operator="greaterThan">
      <formula>0</formula>
    </cfRule>
  </conditionalFormatting>
  <conditionalFormatting sqref="F3">
    <cfRule type="containsText" dxfId="9" priority="2753" operator="containsText" text="Others">
      <formula>NOT(ISERROR(SEARCH("Others",F3)))</formula>
    </cfRule>
    <cfRule type="containsText" dxfId="8" priority="2754" operator="containsText" text="#N/A">
      <formula>NOT(ISERROR(SEARCH("#N/A",F3)))</formula>
    </cfRule>
  </conditionalFormatting>
  <conditionalFormatting sqref="Q3">
    <cfRule type="duplicateValues" dxfId="7" priority="2644"/>
  </conditionalFormatting>
  <conditionalFormatting sqref="Q3">
    <cfRule type="duplicateValues" dxfId="6" priority="2643"/>
  </conditionalFormatting>
  <conditionalFormatting sqref="G3">
    <cfRule type="duplicateValues" dxfId="5" priority="2435"/>
  </conditionalFormatting>
  <conditionalFormatting sqref="I3">
    <cfRule type="duplicateValues" dxfId="4" priority="3101"/>
  </conditionalFormatting>
  <conditionalFormatting sqref="R1:R2">
    <cfRule type="duplicateValues" dxfId="3" priority="3103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disablePrompts="1"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861</v>
      </c>
    </row>
    <row r="4" spans="1:15" x14ac:dyDescent="0.25">
      <c r="O4" s="186" t="s">
        <v>858</v>
      </c>
    </row>
    <row r="6" spans="1:15" x14ac:dyDescent="0.25">
      <c r="A6" s="315" t="s">
        <v>807</v>
      </c>
      <c r="B6" s="316"/>
      <c r="E6" s="319"/>
    </row>
    <row r="7" spans="1:15" x14ac:dyDescent="0.25">
      <c r="A7" s="315" t="s">
        <v>72</v>
      </c>
      <c r="B7" s="316"/>
    </row>
    <row r="8" spans="1:15" x14ac:dyDescent="0.25">
      <c r="A8" s="315" t="s">
        <v>808</v>
      </c>
      <c r="B8" s="316"/>
    </row>
    <row r="9" spans="1:15" x14ac:dyDescent="0.25">
      <c r="A9" s="315" t="s">
        <v>809</v>
      </c>
      <c r="B9" s="316"/>
    </row>
    <row r="10" spans="1:15" x14ac:dyDescent="0.25">
      <c r="A10" s="315" t="s">
        <v>811</v>
      </c>
      <c r="B10" s="316"/>
    </row>
    <row r="11" spans="1:15" x14ac:dyDescent="0.25">
      <c r="A11" s="315" t="s">
        <v>812</v>
      </c>
      <c r="B11" s="317"/>
    </row>
    <row r="12" spans="1:15" x14ac:dyDescent="0.25">
      <c r="A12" s="315" t="s">
        <v>810</v>
      </c>
      <c r="B12" s="317"/>
    </row>
    <row r="13" spans="1:15" x14ac:dyDescent="0.25">
      <c r="A13" s="315" t="s">
        <v>833</v>
      </c>
      <c r="B13" s="317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MSH</vt:lpstr>
      <vt:lpstr>AMZ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2024-12-11T10:54:46Z</dcterms:modified>
</cp:coreProperties>
</file>