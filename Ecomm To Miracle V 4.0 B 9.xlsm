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D:\All Sharing\Ecom Setup\Devlop\A Letest\"/>
    </mc:Choice>
  </mc:AlternateContent>
  <xr:revisionPtr revIDLastSave="0" documentId="13_ncr:1_{B2076083-5965-489B-A9A3-60FE66391EE3}" xr6:coauthVersionLast="47" xr6:coauthVersionMax="47" xr10:uidLastSave="{00000000-0000-0000-0000-000000000000}"/>
  <bookViews>
    <workbookView xWindow="-120" yWindow="-120" windowWidth="29040" windowHeight="15840" tabRatio="798" firstSheet="2" activeTab="5" xr2:uid="{00000000-000D-0000-FFFF-FFFF00000000}"/>
  </bookViews>
  <sheets>
    <sheet name="MSH" sheetId="3" state="hidden" r:id="rId1"/>
    <sheet name="MSH (2)" sheetId="36" state="hidden" r:id="rId2"/>
    <sheet name="MSH (3)" sheetId="37" r:id="rId3"/>
    <sheet name="AMZ" sheetId="35" r:id="rId4"/>
    <sheet name="AMZ (2)" sheetId="10" r:id="rId5"/>
    <sheet name="FLC" sheetId="9" r:id="rId6"/>
    <sheet name="FLC (C)" sheetId="22" r:id="rId7"/>
    <sheet name="SND" sheetId="11" r:id="rId8"/>
    <sheet name="JIO" sheetId="17" r:id="rId9"/>
    <sheet name="AJIO" sheetId="19" state="hidden" r:id="rId10"/>
    <sheet name="GLR" sheetId="12" state="hidden" r:id="rId11"/>
    <sheet name="MYR" sheetId="20" state="hidden" r:id="rId12"/>
    <sheet name="MYR (2)" sheetId="24" state="hidden" r:id="rId13"/>
    <sheet name="NPTL" sheetId="26" state="hidden" r:id="rId14"/>
    <sheet name="MRW" sheetId="14" state="hidden" r:id="rId15"/>
    <sheet name="S101" sheetId="15" state="hidden" r:id="rId16"/>
    <sheet name="S101 (2)" sheetId="23" state="hidden" r:id="rId17"/>
    <sheet name="S101 (3)" sheetId="32" state="hidden" r:id="rId18"/>
    <sheet name="VMT" sheetId="25" state="hidden" r:id="rId19"/>
    <sheet name="UNI" sheetId="34" state="hidden" r:id="rId20"/>
    <sheet name="AMZ TR" sheetId="33" state="hidden" r:id="rId21"/>
    <sheet name="GSTR2B" sheetId="28" state="hidden" r:id="rId22"/>
    <sheet name="Help" sheetId="1" r:id="rId23"/>
    <sheet name="MasterMonth" sheetId="16" r:id="rId24"/>
    <sheet name="Registration" sheetId="31" state="hidden" r:id="rId25"/>
  </sheets>
  <functionGroups builtInGroupCount="19"/>
  <definedNames>
    <definedName name="_xlnm._FilterDatabase" localSheetId="9" hidden="1">AJIO!$A$4:$DZ$4</definedName>
    <definedName name="_xlnm._FilterDatabase" localSheetId="3" hidden="1">AMZ!$A$4:$DT$4</definedName>
    <definedName name="_xlnm._FilterDatabase" localSheetId="4" hidden="1">'AMZ (2)'!$A$4:$DZ$4</definedName>
    <definedName name="_xlnm._FilterDatabase" localSheetId="20" hidden="1">'AMZ TR'!$A$4:$DX$4</definedName>
    <definedName name="_xlnm._FilterDatabase" localSheetId="5" hidden="1">FLC!$A$4:$DS$4</definedName>
    <definedName name="_xlnm._FilterDatabase" localSheetId="6" hidden="1">'FLC (C)'!#REF!</definedName>
    <definedName name="_xlnm._FilterDatabase" localSheetId="21" hidden="1">GSTR2B!$A$4:$DZ$4</definedName>
    <definedName name="_xlnm._FilterDatabase" localSheetId="22" hidden="1">Help!$C$1:$C$7</definedName>
    <definedName name="_xlnm._FilterDatabase" localSheetId="8" hidden="1">JIO!$A$4:$DZ$4</definedName>
    <definedName name="_xlnm._FilterDatabase" localSheetId="23" hidden="1">MasterMonth!$A$4:$P$4</definedName>
    <definedName name="_xlnm._FilterDatabase" localSheetId="14" hidden="1">MRW!$A$4:$DZ$4</definedName>
    <definedName name="_xlnm._FilterDatabase" localSheetId="0" hidden="1">MSH!$A$4:$DQ$4</definedName>
    <definedName name="_xlnm._FilterDatabase" localSheetId="1" hidden="1">'MSH (2)'!$A$4:$DQ$4</definedName>
    <definedName name="_xlnm._FilterDatabase" localSheetId="2" hidden="1">'MSH (3)'!$A$4:$DQ$4</definedName>
    <definedName name="_xlnm._FilterDatabase" localSheetId="13" hidden="1">NPTL!$A$4:$DZ$4</definedName>
    <definedName name="_xlnm._FilterDatabase" localSheetId="15" hidden="1">'S101'!$A$4:$DZ$4</definedName>
    <definedName name="_xlnm._FilterDatabase" localSheetId="16" hidden="1">'S101 (2)'!$A$4:$DZ$4</definedName>
    <definedName name="_xlnm._FilterDatabase" localSheetId="17" hidden="1">'S101 (3)'!$A$4:$AG$4</definedName>
    <definedName name="_xlnm._FilterDatabase" localSheetId="7" hidden="1">SND!$A$4:$DZ$4</definedName>
    <definedName name="_xlnm._FilterDatabase" localSheetId="19" hidden="1">UNI!$A$4:$DT$4</definedName>
    <definedName name="_xlnm._FilterDatabase" localSheetId="18" hidden="1">VMT!$A$4:$DZ$4</definedName>
    <definedName name="_xlnm.Extract" localSheetId="23">MasterMonth!#REF!</definedName>
    <definedName name="MyRange">OFFSET(FLC!#REF!,0,0,COUNTA(FLC!$DJ:$DJ),7)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3" i="16" l="1"/>
  <c r="AD3" i="16"/>
  <c r="AC3" i="16"/>
  <c r="AB3" i="16"/>
  <c r="V3" i="16" s="1"/>
  <c r="AA3" i="16"/>
  <c r="Z3" i="16"/>
  <c r="Y3" i="16"/>
  <c r="X3" i="16"/>
  <c r="W3" i="16"/>
  <c r="AH3" i="16" s="1"/>
  <c r="U3" i="16"/>
  <c r="T3" i="16"/>
  <c r="S3" i="16"/>
  <c r="R3" i="16"/>
  <c r="DB3" i="9"/>
  <c r="DA3" i="9"/>
  <c r="DE3" i="9"/>
  <c r="DM3" i="9"/>
  <c r="DJ3" i="9"/>
  <c r="DI3" i="9"/>
  <c r="DP3" i="9" s="1"/>
  <c r="DH3" i="9"/>
  <c r="DG3" i="9"/>
  <c r="DL3" i="9"/>
  <c r="DG3" i="11"/>
  <c r="DL3" i="11"/>
  <c r="C142" i="1"/>
  <c r="F2" i="37"/>
  <c r="DK3" i="9"/>
  <c r="DG3" i="37"/>
  <c r="DL3" i="37"/>
  <c r="DM3" i="37" s="1"/>
  <c r="DI3" i="37"/>
  <c r="DK3" i="37"/>
  <c r="DJ3" i="37"/>
  <c r="DH3" i="37"/>
  <c r="DE3" i="37"/>
  <c r="DO3" i="37" s="1"/>
  <c r="DA3" i="37"/>
  <c r="DA3" i="32"/>
  <c r="DB3" i="37"/>
  <c r="E2" i="37"/>
  <c r="DL3" i="24"/>
  <c r="DM3" i="24"/>
  <c r="O3" i="16"/>
  <c r="DE3" i="32"/>
  <c r="DN3" i="32" s="1"/>
  <c r="DR3" i="28"/>
  <c r="DM3" i="32"/>
  <c r="DB3" i="14"/>
  <c r="DE3" i="3"/>
  <c r="DO3" i="3" s="1"/>
  <c r="DL3" i="3"/>
  <c r="DM3" i="3" s="1"/>
  <c r="DK3" i="3"/>
  <c r="DJ3" i="3"/>
  <c r="DI3" i="3"/>
  <c r="DH3" i="3"/>
  <c r="DG3" i="3"/>
  <c r="DC3" i="3"/>
  <c r="DB3" i="3"/>
  <c r="DA3" i="3"/>
  <c r="AF3" i="16" l="1"/>
  <c r="N2" i="37"/>
  <c r="DD3" i="37"/>
  <c r="DN3" i="37" s="1"/>
  <c r="G2" i="37"/>
  <c r="H2" i="37" s="1"/>
  <c r="I2" i="37"/>
  <c r="I2" i="14" a="1"/>
  <c r="I2" i="14" s="1"/>
  <c r="DD3" i="3"/>
  <c r="DN3" i="3" s="1"/>
  <c r="J2" i="37" l="1"/>
  <c r="J1" i="37" s="1"/>
  <c r="N2" i="3"/>
  <c r="DL3" i="36"/>
  <c r="DM3" i="36" s="1"/>
  <c r="DK3" i="36"/>
  <c r="DJ3" i="36"/>
  <c r="DI3" i="36"/>
  <c r="DH3" i="36"/>
  <c r="DG3" i="36"/>
  <c r="DE3" i="36"/>
  <c r="DO3" i="36" s="1"/>
  <c r="DB3" i="36"/>
  <c r="DA3" i="36"/>
  <c r="E2" i="36"/>
  <c r="C143" i="1"/>
  <c r="DM3" i="17"/>
  <c r="DL3" i="17"/>
  <c r="DJ3" i="17"/>
  <c r="DA3" i="17"/>
  <c r="E2" i="19"/>
  <c r="N3" i="16"/>
  <c r="DB3" i="32"/>
  <c r="DB3" i="35"/>
  <c r="DB3" i="17"/>
  <c r="E2" i="17"/>
  <c r="DA3" i="35"/>
  <c r="DE3" i="35"/>
  <c r="DE3" i="10"/>
  <c r="DA3" i="10"/>
  <c r="DM3" i="35"/>
  <c r="DL3" i="35"/>
  <c r="DK3" i="35"/>
  <c r="DJ3" i="35"/>
  <c r="DI3" i="35"/>
  <c r="DH3" i="35"/>
  <c r="DG3" i="35"/>
  <c r="DF3" i="35"/>
  <c r="DC3" i="35"/>
  <c r="G2" i="36" l="1"/>
  <c r="I2" i="36"/>
  <c r="F2" i="36"/>
  <c r="DD3" i="36"/>
  <c r="DN3" i="36" s="1"/>
  <c r="I2" i="35"/>
  <c r="DA4" i="35"/>
  <c r="O2" i="35"/>
  <c r="DD3" i="35" s="1"/>
  <c r="F2" i="35"/>
  <c r="E2" i="35"/>
  <c r="H2" i="36" l="1"/>
  <c r="N2" i="36"/>
  <c r="N2" i="35"/>
  <c r="DB4" i="35"/>
  <c r="G2" i="35"/>
  <c r="H2" i="35" s="1"/>
  <c r="J2" i="35" s="1"/>
  <c r="J1" i="35" s="1"/>
  <c r="DK3" i="17"/>
  <c r="DI3" i="17"/>
  <c r="DH3" i="17"/>
  <c r="DG3" i="17"/>
  <c r="DE3" i="17"/>
  <c r="DS3" i="33"/>
  <c r="H2" i="33" s="1"/>
  <c r="DM3" i="10"/>
  <c r="DL3" i="10"/>
  <c r="DJ3" i="10"/>
  <c r="DF3" i="10"/>
  <c r="DP3" i="10" s="1"/>
  <c r="DG3" i="10" s="1"/>
  <c r="E2" i="33"/>
  <c r="E2" i="26"/>
  <c r="DA3" i="26"/>
  <c r="DE3" i="26"/>
  <c r="J2" i="36" l="1"/>
  <c r="J1" i="36" s="1"/>
  <c r="DO3" i="35"/>
  <c r="AH1" i="35" s="1"/>
  <c r="DN3" i="35"/>
  <c r="I2" i="33"/>
  <c r="K2" i="33"/>
  <c r="DH3" i="10"/>
  <c r="DC3" i="10"/>
  <c r="E2" i="14"/>
  <c r="DA3" i="14"/>
  <c r="DC3" i="14" s="1"/>
  <c r="E2" i="3"/>
  <c r="E2" i="10"/>
  <c r="E2" i="22"/>
  <c r="E2" i="9"/>
  <c r="DA3" i="22"/>
  <c r="AP1" i="1"/>
  <c r="DP3" i="33" l="1"/>
  <c r="DQ3" i="33" s="1"/>
  <c r="DM3" i="33"/>
  <c r="DK3" i="33"/>
  <c r="DJ3" i="33"/>
  <c r="DF3" i="33"/>
  <c r="DU3" i="33"/>
  <c r="DT3" i="33" s="1"/>
  <c r="DD3" i="33"/>
  <c r="DC3" i="33" s="1"/>
  <c r="DA3" i="33"/>
  <c r="DR3" i="33"/>
  <c r="G2" i="33" s="1"/>
  <c r="DE3" i="33"/>
  <c r="O2" i="16"/>
  <c r="P2" i="16"/>
  <c r="DA3" i="34"/>
  <c r="DH3" i="34"/>
  <c r="DB3" i="34"/>
  <c r="DI3" i="34"/>
  <c r="DC3" i="34"/>
  <c r="DL3" i="34"/>
  <c r="F2" i="34" s="1"/>
  <c r="DK3" i="34"/>
  <c r="DJ3" i="34" a="1"/>
  <c r="DJ3" i="34" s="1"/>
  <c r="DF3" i="34"/>
  <c r="DG3" i="34"/>
  <c r="DE3" i="34"/>
  <c r="O2" i="34"/>
  <c r="E2" i="34"/>
  <c r="O2" i="33"/>
  <c r="AH1" i="33"/>
  <c r="DK3" i="19"/>
  <c r="DL3" i="19"/>
  <c r="DH3" i="19"/>
  <c r="DM3" i="28"/>
  <c r="DQ3" i="28"/>
  <c r="DJ3" i="28"/>
  <c r="E2" i="28"/>
  <c r="DF3" i="32"/>
  <c r="DL3" i="32"/>
  <c r="DK3" i="32"/>
  <c r="DJ3" i="32"/>
  <c r="DI3" i="32"/>
  <c r="DH3" i="32"/>
  <c r="DG3" i="32"/>
  <c r="DG4" i="32"/>
  <c r="DB4" i="32"/>
  <c r="DA4" i="32"/>
  <c r="E2" i="32"/>
  <c r="GN1" i="32"/>
  <c r="GM1" i="32"/>
  <c r="GQ1" i="32" s="1"/>
  <c r="GK1" i="32"/>
  <c r="GJ1" i="32"/>
  <c r="GI1" i="32"/>
  <c r="GH1" i="32"/>
  <c r="GC1" i="32"/>
  <c r="GB1" i="32"/>
  <c r="GR1" i="32" s="1"/>
  <c r="F2" i="33" l="1"/>
  <c r="J2" i="33" s="1"/>
  <c r="L2" i="33" s="1"/>
  <c r="DD3" i="34"/>
  <c r="DN3" i="34" s="1"/>
  <c r="I2" i="34"/>
  <c r="G2" i="34"/>
  <c r="H2" i="34" s="1"/>
  <c r="G2" i="32"/>
  <c r="DH3" i="33"/>
  <c r="DL3" i="33"/>
  <c r="N2" i="33"/>
  <c r="DD3" i="32"/>
  <c r="N2" i="32" s="1"/>
  <c r="I2" i="32"/>
  <c r="K2" i="32"/>
  <c r="GV1" i="32"/>
  <c r="GS1" i="32"/>
  <c r="GA1" i="32"/>
  <c r="GG1" i="32" s="1"/>
  <c r="GF1" i="32" s="1"/>
  <c r="F2" i="32"/>
  <c r="GE1" i="32"/>
  <c r="I2" i="3"/>
  <c r="H2" i="32" l="1"/>
  <c r="N2" i="34"/>
  <c r="DO3" i="34"/>
  <c r="AH1" i="34" s="1"/>
  <c r="J2" i="34"/>
  <c r="J1" i="34" s="1"/>
  <c r="L1" i="33"/>
  <c r="J2" i="32" l="1"/>
  <c r="J1" i="32" s="1"/>
  <c r="BB1" i="1"/>
  <c r="BA1" i="1"/>
  <c r="AZ1" i="1"/>
  <c r="AY1" i="1"/>
  <c r="AX1" i="1"/>
  <c r="AW1" i="1"/>
  <c r="AV1" i="1"/>
  <c r="AU1" i="1"/>
  <c r="AR1" i="1"/>
  <c r="AQ1" i="1"/>
  <c r="AO1" i="1"/>
  <c r="AS1" i="1" l="1"/>
  <c r="AT1" i="1"/>
  <c r="BE1" i="1" s="1"/>
  <c r="BC1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47" i="1"/>
  <c r="C146" i="1"/>
  <c r="C145" i="1"/>
  <c r="C144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O4" i="16"/>
  <c r="I3" i="16"/>
  <c r="E3" i="16"/>
  <c r="P3" i="16" s="1"/>
  <c r="S2" i="16"/>
  <c r="Q2" i="16"/>
  <c r="DL3" i="28"/>
  <c r="DK3" i="28"/>
  <c r="DI3" i="28"/>
  <c r="DF3" i="28"/>
  <c r="DD3" i="28"/>
  <c r="DC3" i="28"/>
  <c r="DA3" i="28"/>
  <c r="O2" i="28"/>
  <c r="AH1" i="28"/>
  <c r="DM3" i="25"/>
  <c r="DL3" i="25"/>
  <c r="I2" i="25" s="1"/>
  <c r="DK3" i="25"/>
  <c r="DJ3" i="25"/>
  <c r="DI3" i="25"/>
  <c r="DH3" i="25"/>
  <c r="DG3" i="25"/>
  <c r="DE3" i="25"/>
  <c r="DB2" i="25"/>
  <c r="DB3" i="25" s="1"/>
  <c r="DB4" i="25" s="1"/>
  <c r="DA2" i="25"/>
  <c r="DA3" i="25" s="1"/>
  <c r="DA4" i="25" s="1"/>
  <c r="O2" i="25"/>
  <c r="E2" i="25"/>
  <c r="DG4" i="23"/>
  <c r="DM3" i="23"/>
  <c r="DL3" i="23"/>
  <c r="I2" i="23" s="1"/>
  <c r="DK3" i="23"/>
  <c r="DJ3" i="23"/>
  <c r="DI3" i="23"/>
  <c r="DH3" i="23"/>
  <c r="DG3" i="23"/>
  <c r="DE3" i="23"/>
  <c r="DN3" i="23" s="1"/>
  <c r="DB2" i="23"/>
  <c r="DB3" i="23" s="1"/>
  <c r="DB4" i="23" s="1"/>
  <c r="DA2" i="23"/>
  <c r="DA3" i="23" s="1"/>
  <c r="DA4" i="23" s="1"/>
  <c r="E2" i="23"/>
  <c r="GN1" i="23"/>
  <c r="GM1" i="23"/>
  <c r="GQ1" i="23" s="1"/>
  <c r="GK1" i="23"/>
  <c r="GJ1" i="23"/>
  <c r="GI1" i="23"/>
  <c r="GH1" i="23"/>
  <c r="GC1" i="23"/>
  <c r="GB1" i="23"/>
  <c r="DG4" i="15"/>
  <c r="DM3" i="15"/>
  <c r="DL3" i="15" s="1"/>
  <c r="DJ3" i="15"/>
  <c r="DI3" i="15"/>
  <c r="DG3" i="15"/>
  <c r="DF3" i="15"/>
  <c r="DE3" i="15"/>
  <c r="DN3" i="15" s="1"/>
  <c r="DC3" i="15"/>
  <c r="DH3" i="15"/>
  <c r="DB2" i="15"/>
  <c r="DB3" i="15" s="1"/>
  <c r="DB4" i="15" s="1"/>
  <c r="DA2" i="15"/>
  <c r="DA3" i="15" s="1"/>
  <c r="DA4" i="15" s="1"/>
  <c r="GN1" i="15"/>
  <c r="GM1" i="15"/>
  <c r="GQ1" i="15" s="1"/>
  <c r="GK1" i="15"/>
  <c r="GJ1" i="15"/>
  <c r="GI1" i="15"/>
  <c r="GH1" i="15"/>
  <c r="GC1" i="15"/>
  <c r="GB1" i="15"/>
  <c r="DG4" i="14"/>
  <c r="DB4" i="14"/>
  <c r="DM3" i="26"/>
  <c r="DL3" i="26"/>
  <c r="G2" i="26" s="1"/>
  <c r="DK3" i="26"/>
  <c r="DJ3" i="26"/>
  <c r="DI3" i="26"/>
  <c r="DH3" i="26"/>
  <c r="DG3" i="26"/>
  <c r="DB3" i="26"/>
  <c r="O2" i="26"/>
  <c r="F2" i="26"/>
  <c r="DG4" i="12"/>
  <c r="DE4" i="12"/>
  <c r="DM3" i="12"/>
  <c r="DL3" i="12"/>
  <c r="F2" i="12" s="1"/>
  <c r="DJ3" i="12"/>
  <c r="DI3" i="12"/>
  <c r="DH3" i="12"/>
  <c r="DG3" i="12"/>
  <c r="DF3" i="12"/>
  <c r="DE3" i="12"/>
  <c r="DN3" i="12" s="1"/>
  <c r="DO3" i="12" s="1"/>
  <c r="DC3" i="12"/>
  <c r="DB2" i="12"/>
  <c r="DB3" i="12" s="1"/>
  <c r="DB4" i="12" s="1"/>
  <c r="DA2" i="12"/>
  <c r="DA3" i="12" s="1"/>
  <c r="DA4" i="12" s="1"/>
  <c r="E2" i="12"/>
  <c r="DG4" i="24"/>
  <c r="G2" i="24"/>
  <c r="DK3" i="24"/>
  <c r="DJ3" i="24"/>
  <c r="DD3" i="24" s="1"/>
  <c r="DH3" i="24"/>
  <c r="DG3" i="24"/>
  <c r="DE3" i="24"/>
  <c r="DO3" i="24" s="1"/>
  <c r="DB2" i="24"/>
  <c r="DB3" i="24" s="1"/>
  <c r="DB4" i="24" s="1"/>
  <c r="DA2" i="24"/>
  <c r="DA3" i="24" s="1"/>
  <c r="DA4" i="24" s="1"/>
  <c r="F2" i="24"/>
  <c r="E2" i="24"/>
  <c r="DG4" i="20"/>
  <c r="DL3" i="20"/>
  <c r="DM3" i="20" s="1"/>
  <c r="DK3" i="20"/>
  <c r="DJ3" i="20"/>
  <c r="DI3" i="20"/>
  <c r="DH3" i="20"/>
  <c r="DG3" i="20"/>
  <c r="DE3" i="20"/>
  <c r="DN3" i="20" s="1"/>
  <c r="DB2" i="20"/>
  <c r="DB3" i="20" s="1"/>
  <c r="DB4" i="20" s="1"/>
  <c r="DA2" i="20"/>
  <c r="DA3" i="20" s="1"/>
  <c r="DA4" i="20" s="1"/>
  <c r="E2" i="20"/>
  <c r="F2" i="19"/>
  <c r="DJ3" i="19"/>
  <c r="DG3" i="19"/>
  <c r="DF3" i="19"/>
  <c r="DE3" i="19"/>
  <c r="DB2" i="19"/>
  <c r="DB3" i="19" s="1"/>
  <c r="DB4" i="19" s="1"/>
  <c r="DA2" i="19"/>
  <c r="DA3" i="19" s="1"/>
  <c r="DA4" i="19" s="1"/>
  <c r="O2" i="19"/>
  <c r="I2" i="17"/>
  <c r="DB4" i="17"/>
  <c r="DA4" i="17"/>
  <c r="O2" i="17"/>
  <c r="F2" i="11"/>
  <c r="DJ3" i="11"/>
  <c r="DI3" i="11"/>
  <c r="DH3" i="11"/>
  <c r="DE3" i="11"/>
  <c r="DN3" i="11" s="1"/>
  <c r="DB2" i="11"/>
  <c r="DB3" i="11" s="1"/>
  <c r="DB4" i="11" s="1"/>
  <c r="E2" i="11"/>
  <c r="DM3" i="22"/>
  <c r="DL3" i="22"/>
  <c r="G2" i="22" s="1"/>
  <c r="DJ3" i="22"/>
  <c r="DH3" i="22"/>
  <c r="DG3" i="22"/>
  <c r="DE3" i="22"/>
  <c r="DB3" i="22"/>
  <c r="G2" i="9"/>
  <c r="O2" i="9"/>
  <c r="DK3" i="10"/>
  <c r="DI3" i="10"/>
  <c r="DB2" i="10"/>
  <c r="DB3" i="10" s="1"/>
  <c r="DB4" i="10" s="1"/>
  <c r="DA2" i="10"/>
  <c r="DA4" i="10" s="1"/>
  <c r="O2" i="10"/>
  <c r="G2" i="3"/>
  <c r="DI3" i="22"/>
  <c r="H2" i="24" l="1"/>
  <c r="J2" i="24" s="1"/>
  <c r="J1" i="24" s="1"/>
  <c r="DD3" i="10"/>
  <c r="DD3" i="9"/>
  <c r="DD3" i="23"/>
  <c r="N2" i="23" s="1"/>
  <c r="F2" i="25"/>
  <c r="G2" i="25"/>
  <c r="Y2" i="16"/>
  <c r="Z2" i="16" s="1"/>
  <c r="I2" i="9"/>
  <c r="I2" i="26"/>
  <c r="GE1" i="15"/>
  <c r="G2" i="28"/>
  <c r="I2" i="10"/>
  <c r="G2" i="10"/>
  <c r="DD3" i="20"/>
  <c r="N2" i="20" s="1"/>
  <c r="F2" i="17"/>
  <c r="G2" i="17"/>
  <c r="DD3" i="11"/>
  <c r="N2" i="11" s="1"/>
  <c r="G2" i="12"/>
  <c r="H2" i="12" s="1"/>
  <c r="J2" i="12" s="1"/>
  <c r="J1" i="12" s="1"/>
  <c r="G2" i="19"/>
  <c r="H2" i="19" s="1"/>
  <c r="J2" i="19" s="1"/>
  <c r="J1" i="19" s="1"/>
  <c r="I2" i="12"/>
  <c r="GV1" i="23"/>
  <c r="G2" i="11"/>
  <c r="H2" i="11" s="1"/>
  <c r="J2" i="11" s="1"/>
  <c r="J1" i="11" s="1"/>
  <c r="I2" i="15"/>
  <c r="G2" i="15"/>
  <c r="DD3" i="12"/>
  <c r="N2" i="12" s="1"/>
  <c r="DD3" i="26"/>
  <c r="N2" i="26" s="1"/>
  <c r="GV1" i="15"/>
  <c r="DD3" i="25"/>
  <c r="DO3" i="25" s="1"/>
  <c r="AH1" i="25" s="1"/>
  <c r="I2" i="22"/>
  <c r="N2" i="16"/>
  <c r="DA4" i="14"/>
  <c r="N2" i="24"/>
  <c r="DN3" i="24"/>
  <c r="F2" i="23"/>
  <c r="R2" i="16"/>
  <c r="T2" i="16" s="1"/>
  <c r="F2" i="3"/>
  <c r="H2" i="3" s="1"/>
  <c r="J2" i="3" s="1"/>
  <c r="J1" i="3" s="1"/>
  <c r="F2" i="10"/>
  <c r="DA2" i="11"/>
  <c r="DA3" i="11" s="1"/>
  <c r="DA4" i="11" s="1"/>
  <c r="H2" i="26"/>
  <c r="DD3" i="15"/>
  <c r="N2" i="15" s="1"/>
  <c r="G2" i="23"/>
  <c r="DD3" i="17"/>
  <c r="F2" i="9"/>
  <c r="H2" i="9" s="1"/>
  <c r="DD3" i="19"/>
  <c r="DN3" i="19" s="1"/>
  <c r="F2" i="15"/>
  <c r="DK3" i="15"/>
  <c r="GS1" i="23"/>
  <c r="GE1" i="23"/>
  <c r="DO3" i="11"/>
  <c r="I2" i="20"/>
  <c r="F2" i="22"/>
  <c r="H2" i="22" s="1"/>
  <c r="J2" i="22" s="1"/>
  <c r="J1" i="22" s="1"/>
  <c r="F2" i="20"/>
  <c r="I2" i="11"/>
  <c r="DM3" i="11"/>
  <c r="I2" i="19"/>
  <c r="DM3" i="19"/>
  <c r="G2" i="20"/>
  <c r="I2" i="24"/>
  <c r="GS1" i="15"/>
  <c r="GA1" i="15"/>
  <c r="GG1" i="15" s="1"/>
  <c r="GF1" i="15" s="1"/>
  <c r="E2" i="15"/>
  <c r="GA1" i="23"/>
  <c r="GG1" i="23" s="1"/>
  <c r="GF1" i="23" s="1"/>
  <c r="GR1" i="15"/>
  <c r="GR1" i="23"/>
  <c r="DH3" i="28"/>
  <c r="F2" i="28"/>
  <c r="H2" i="28"/>
  <c r="I2" i="28"/>
  <c r="K2" i="28"/>
  <c r="N2" i="28"/>
  <c r="DD3" i="22"/>
  <c r="N2" i="22" s="1"/>
  <c r="DN3" i="9" l="1"/>
  <c r="DO3" i="9"/>
  <c r="J2" i="16"/>
  <c r="J2" i="9"/>
  <c r="J1" i="9" s="1"/>
  <c r="H2" i="25"/>
  <c r="J2" i="25" s="1"/>
  <c r="J1" i="25" s="1"/>
  <c r="N2" i="17"/>
  <c r="DO3" i="17"/>
  <c r="AH1" i="17" s="1"/>
  <c r="N2" i="9"/>
  <c r="DN3" i="10"/>
  <c r="DO3" i="10"/>
  <c r="AH1" i="10" s="1"/>
  <c r="H2" i="15"/>
  <c r="J2" i="15" s="1"/>
  <c r="J1" i="15" s="1"/>
  <c r="N2" i="10"/>
  <c r="DN3" i="25"/>
  <c r="N2" i="25"/>
  <c r="H2" i="10"/>
  <c r="H2" i="17"/>
  <c r="J2" i="17" s="1"/>
  <c r="J1" i="17" s="1"/>
  <c r="N2" i="19"/>
  <c r="DN3" i="26"/>
  <c r="J2" i="26"/>
  <c r="J1" i="26" s="1"/>
  <c r="DO3" i="26"/>
  <c r="AH1" i="26" s="1"/>
  <c r="V2" i="16"/>
  <c r="X2" i="16" s="1"/>
  <c r="DO3" i="19"/>
  <c r="AH1" i="19" s="1"/>
  <c r="DN3" i="17"/>
  <c r="H2" i="23"/>
  <c r="J2" i="23" s="1"/>
  <c r="J1" i="23" s="1"/>
  <c r="H2" i="20"/>
  <c r="J2" i="20" s="1"/>
  <c r="J1" i="20" s="1"/>
  <c r="DN3" i="22"/>
  <c r="DO3" i="22"/>
  <c r="AH1" i="9" l="1"/>
  <c r="J2" i="10"/>
  <c r="J1" i="10" s="1"/>
  <c r="J2" i="28"/>
  <c r="DE3" i="14"/>
  <c r="DO3" i="14" s="1"/>
  <c r="DJ3" i="14"/>
  <c r="DM3" i="14"/>
  <c r="DF3" i="14"/>
  <c r="DI3" i="14"/>
  <c r="DH3" i="14"/>
  <c r="DG3" i="14"/>
  <c r="DK3" i="14"/>
  <c r="DL3" i="14"/>
  <c r="L2" i="28" l="1"/>
  <c r="L1" i="28" s="1"/>
  <c r="DD3" i="14"/>
  <c r="N2" i="14" s="1"/>
  <c r="D3" i="16" s="1"/>
  <c r="DN3" i="14"/>
  <c r="G2" i="14"/>
  <c r="F2" i="14"/>
  <c r="H2" i="14" l="1"/>
  <c r="J2" i="14" s="1"/>
  <c r="J1" i="14" s="1"/>
  <c r="K2" i="16" l="1"/>
  <c r="K1" i="1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<sst xmlns="http://schemas.openxmlformats.org/spreadsheetml/2006/main" count="2449" uniqueCount="933">
  <si>
    <t>Code</t>
  </si>
  <si>
    <t>State</t>
  </si>
  <si>
    <t>Maharashtra</t>
  </si>
  <si>
    <t>Andhra Pradesh</t>
  </si>
  <si>
    <t>AD</t>
  </si>
  <si>
    <t>Gujarat</t>
  </si>
  <si>
    <t>Arunachal Pradesh</t>
  </si>
  <si>
    <t>AR</t>
  </si>
  <si>
    <t>Jharkhand</t>
  </si>
  <si>
    <t>Assam</t>
  </si>
  <si>
    <t>AS</t>
  </si>
  <si>
    <t>Kerala</t>
  </si>
  <si>
    <t>Bihar</t>
  </si>
  <si>
    <t>BR</t>
  </si>
  <si>
    <t>Karnataka</t>
  </si>
  <si>
    <t>Delhi</t>
  </si>
  <si>
    <t>DL</t>
  </si>
  <si>
    <t>Madhya Pradesh</t>
  </si>
  <si>
    <t>Goa</t>
  </si>
  <si>
    <t>GA</t>
  </si>
  <si>
    <t>Rajasthan</t>
  </si>
  <si>
    <t>GJ</t>
  </si>
  <si>
    <t>ODISHA</t>
  </si>
  <si>
    <t>Haryana</t>
  </si>
  <si>
    <t>HR</t>
  </si>
  <si>
    <t>Uttar Pradesh</t>
  </si>
  <si>
    <t>Himachal Pradesh</t>
  </si>
  <si>
    <t>HP</t>
  </si>
  <si>
    <t>Tamil Nadu</t>
  </si>
  <si>
    <t>Jammu and Kashmir</t>
  </si>
  <si>
    <t>JK</t>
  </si>
  <si>
    <t>Telangana</t>
  </si>
  <si>
    <t>JH</t>
  </si>
  <si>
    <t>Punjab</t>
  </si>
  <si>
    <t>KA</t>
  </si>
  <si>
    <t>KL</t>
  </si>
  <si>
    <t>Puducherry</t>
  </si>
  <si>
    <t>West Bengal</t>
  </si>
  <si>
    <t>MP</t>
  </si>
  <si>
    <t>Manipur</t>
  </si>
  <si>
    <t>MH</t>
  </si>
  <si>
    <t>MN</t>
  </si>
  <si>
    <t>Meghalaya</t>
  </si>
  <si>
    <t>ML</t>
  </si>
  <si>
    <t>Mizoram</t>
  </si>
  <si>
    <t>MZ</t>
  </si>
  <si>
    <t>Chhattisgarh</t>
  </si>
  <si>
    <t>Nagaland</t>
  </si>
  <si>
    <t>NL</t>
  </si>
  <si>
    <t>Uttarakhand</t>
  </si>
  <si>
    <t>Odisha</t>
  </si>
  <si>
    <t>Pondicherry</t>
  </si>
  <si>
    <t>PY</t>
  </si>
  <si>
    <t>Tripura</t>
  </si>
  <si>
    <t>GST %</t>
  </si>
  <si>
    <t>HSN Code</t>
  </si>
  <si>
    <t>PB</t>
  </si>
  <si>
    <t>RJ</t>
  </si>
  <si>
    <t>Jammu And Kashmir</t>
  </si>
  <si>
    <t>Sikkim</t>
  </si>
  <si>
    <t>SK</t>
  </si>
  <si>
    <t>TN</t>
  </si>
  <si>
    <t>Dadra and Nagar Haveli</t>
  </si>
  <si>
    <t>Andaman and Nicobar Islands</t>
  </si>
  <si>
    <t>UP</t>
  </si>
  <si>
    <t>WB</t>
  </si>
  <si>
    <t>Chandigarh</t>
  </si>
  <si>
    <t>Tamilnadu</t>
  </si>
  <si>
    <t>AP</t>
  </si>
  <si>
    <t>JAMMU</t>
  </si>
  <si>
    <t>daman</t>
  </si>
  <si>
    <t>Our State</t>
  </si>
  <si>
    <t>Party Name</t>
  </si>
  <si>
    <t>Customer Name</t>
  </si>
  <si>
    <t>Party GST No.</t>
  </si>
  <si>
    <t>Bill Date</t>
  </si>
  <si>
    <t>Bill No</t>
  </si>
  <si>
    <t>HSN / Prodcut Name</t>
  </si>
  <si>
    <t>QTY</t>
  </si>
  <si>
    <t xml:space="preserve">Amount </t>
  </si>
  <si>
    <t>TCS</t>
  </si>
  <si>
    <t>Add</t>
  </si>
  <si>
    <t>W State</t>
  </si>
  <si>
    <t>Meesho</t>
  </si>
  <si>
    <t>Flipcart</t>
  </si>
  <si>
    <t/>
  </si>
  <si>
    <t>Amazon</t>
  </si>
  <si>
    <t xml:space="preserve">Sales Entry </t>
  </si>
  <si>
    <t>Sales Return</t>
  </si>
  <si>
    <t>Dadra &amp; Nagar Haveli &amp; Daman &amp; Diu</t>
  </si>
  <si>
    <t>Total Entry</t>
  </si>
  <si>
    <t>CTRL+SHIFT+C</t>
  </si>
  <si>
    <t>JAMMU   KASHMIR</t>
  </si>
  <si>
    <t>New Delhi</t>
  </si>
  <si>
    <t>ANDAMAN   NICOBAR ISLANDS</t>
  </si>
  <si>
    <t>CTRL+SHIFT+D</t>
  </si>
  <si>
    <t>Entry For Import</t>
  </si>
  <si>
    <t xml:space="preserve">Import Sales Entry </t>
  </si>
  <si>
    <t>Import Sales Ret</t>
  </si>
  <si>
    <t>Total Entry Import</t>
  </si>
  <si>
    <t>Net Sales Amt.</t>
  </si>
  <si>
    <t>OK</t>
  </si>
  <si>
    <t>Shop101</t>
  </si>
  <si>
    <t>Month Entry</t>
  </si>
  <si>
    <t xml:space="preserve">Wrong State </t>
  </si>
  <si>
    <t>TCS Amt</t>
  </si>
  <si>
    <t>Amount</t>
  </si>
  <si>
    <t>Reduce Entry</t>
  </si>
  <si>
    <t>LADAKH</t>
  </si>
  <si>
    <t>DADRA AND NAGAR HAVELI AND DAMAN AND DIU</t>
  </si>
  <si>
    <t>Ladakh</t>
  </si>
  <si>
    <t>month</t>
  </si>
  <si>
    <t>order_date</t>
  </si>
  <si>
    <t>identifier</t>
  </si>
  <si>
    <t>order_num</t>
  </si>
  <si>
    <t>sub_order_num</t>
  </si>
  <si>
    <t>quantity</t>
  </si>
  <si>
    <t>order_status</t>
  </si>
  <si>
    <t>manifesttime</t>
  </si>
  <si>
    <t>sup_name</t>
  </si>
  <si>
    <t>state</t>
  </si>
  <si>
    <t>pin</t>
  </si>
  <si>
    <t>reseller_state</t>
  </si>
  <si>
    <t>reseller_pin</t>
  </si>
  <si>
    <t>end_customer_state</t>
  </si>
  <si>
    <t>end_customer_pin</t>
  </si>
  <si>
    <t>gstin</t>
  </si>
  <si>
    <t>hsn_code</t>
  </si>
  <si>
    <t>gst_amount</t>
  </si>
  <si>
    <t>gst_rate</t>
  </si>
  <si>
    <t>meesho_price</t>
  </si>
  <si>
    <t>net_commission</t>
  </si>
  <si>
    <t>commission_gst</t>
  </si>
  <si>
    <t>gst</t>
  </si>
  <si>
    <t>taxable_shipping</t>
  </si>
  <si>
    <t>shipping_gst_18_percent</t>
  </si>
  <si>
    <t>meesho_price_plus_shipping_charges_total</t>
  </si>
  <si>
    <t>tcs_taxable_amount</t>
  </si>
  <si>
    <t>end_customer_state_new</t>
  </si>
  <si>
    <t>financial_year</t>
  </si>
  <si>
    <t>month_number</t>
  </si>
  <si>
    <t>supplier_id</t>
  </si>
  <si>
    <t>Sheet No.</t>
  </si>
  <si>
    <t>DADRA   NAGAR HAVELI</t>
  </si>
  <si>
    <t>CHANDIGARH</t>
  </si>
  <si>
    <t>AN</t>
  </si>
  <si>
    <t>CT</t>
  </si>
  <si>
    <t>Telengana</t>
  </si>
  <si>
    <t>LA</t>
  </si>
  <si>
    <t>DAMAN   DIU</t>
  </si>
  <si>
    <t>Andhrapradesh</t>
  </si>
  <si>
    <t>Seller Gstin</t>
  </si>
  <si>
    <t>Invoice Number</t>
  </si>
  <si>
    <t>Invoice Date</t>
  </si>
  <si>
    <t>Transaction Type</t>
  </si>
  <si>
    <t>Order Id</t>
  </si>
  <si>
    <t>Shipment Id</t>
  </si>
  <si>
    <t>Shipment Date</t>
  </si>
  <si>
    <t>Order Date</t>
  </si>
  <si>
    <t>Shipment Item Id</t>
  </si>
  <si>
    <t>Quantity</t>
  </si>
  <si>
    <t>Item Description</t>
  </si>
  <si>
    <t>Asin</t>
  </si>
  <si>
    <t>Hsn/sac</t>
  </si>
  <si>
    <t>Sku</t>
  </si>
  <si>
    <t>Product Tax Code</t>
  </si>
  <si>
    <t>Bill From City</t>
  </si>
  <si>
    <t>Bill From State</t>
  </si>
  <si>
    <t>Bill From Country</t>
  </si>
  <si>
    <t>Bill From Postal Code</t>
  </si>
  <si>
    <t>Ship From City</t>
  </si>
  <si>
    <t>Ship From State</t>
  </si>
  <si>
    <t>Ship From Country</t>
  </si>
  <si>
    <t>Ship From Postal Code</t>
  </si>
  <si>
    <t>Ship To City</t>
  </si>
  <si>
    <t>Ship To State</t>
  </si>
  <si>
    <t>Ship To Country</t>
  </si>
  <si>
    <t>Ship To Postal Code</t>
  </si>
  <si>
    <t>Invoice Amount</t>
  </si>
  <si>
    <t>Tax Exclusive Gross</t>
  </si>
  <si>
    <t>Total Tax Amount</t>
  </si>
  <si>
    <t>Cgst Rate</t>
  </si>
  <si>
    <t>Sgst Rate</t>
  </si>
  <si>
    <t>Utgst Rate</t>
  </si>
  <si>
    <t>Igst Rate</t>
  </si>
  <si>
    <t>Compensatory Cess Rate</t>
  </si>
  <si>
    <t>Principal Amount</t>
  </si>
  <si>
    <t>Principal Amount Basis</t>
  </si>
  <si>
    <t>Cgst Tax</t>
  </si>
  <si>
    <t>Sgst Tax</t>
  </si>
  <si>
    <t>Utgst Tax</t>
  </si>
  <si>
    <t>Igst Tax</t>
  </si>
  <si>
    <t>Compensatory Cess Tax</t>
  </si>
  <si>
    <t>Shipping Amount</t>
  </si>
  <si>
    <t>Shipping Amount Basis</t>
  </si>
  <si>
    <t>Shipping Cgst Tax</t>
  </si>
  <si>
    <t>Shipping Sgst Tax</t>
  </si>
  <si>
    <t>Shipping Utgst Tax</t>
  </si>
  <si>
    <t>Shipping Igst Tax</t>
  </si>
  <si>
    <t>Gift Wrap Amount</t>
  </si>
  <si>
    <t>Gift Wrap Amount Basis</t>
  </si>
  <si>
    <t>Gift Wrap Cgst Tax</t>
  </si>
  <si>
    <t>Gift Wrap Sgst Tax</t>
  </si>
  <si>
    <t>Gift Wrap Utgst Tax</t>
  </si>
  <si>
    <t>Gift Wrap Igst Tax</t>
  </si>
  <si>
    <t>Gift Wrap Compensatory Cess Tax</t>
  </si>
  <si>
    <t>Item Promo Discount</t>
  </si>
  <si>
    <t>Item Promo Discount Basis</t>
  </si>
  <si>
    <t>Shipping Promo Discount</t>
  </si>
  <si>
    <t>Shipping Promo Discount Basis</t>
  </si>
  <si>
    <t>Gift Wrap Promo Discount</t>
  </si>
  <si>
    <t>Gift Wrap Promo Discount Basis</t>
  </si>
  <si>
    <t>Tcs Cgst Rate</t>
  </si>
  <si>
    <t>Tcs Cgst Amount</t>
  </si>
  <si>
    <t>Tcs Sgst Rate</t>
  </si>
  <si>
    <t>Tcs Sgst Amount</t>
  </si>
  <si>
    <t>Tcs Utgst Rate</t>
  </si>
  <si>
    <t>Tcs Utgst Amount</t>
  </si>
  <si>
    <t>Tcs Igst Rate</t>
  </si>
  <si>
    <t>Tcs Igst Amount</t>
  </si>
  <si>
    <t>Warehouse Id</t>
  </si>
  <si>
    <t>Fulfillment Channel</t>
  </si>
  <si>
    <t>Payment Method Code</t>
  </si>
  <si>
    <t>Bill To City</t>
  </si>
  <si>
    <t>Bill To State</t>
  </si>
  <si>
    <t>Bill To Country</t>
  </si>
  <si>
    <t>Bill To Postalcode</t>
  </si>
  <si>
    <t>Customer Bill To Gstid</t>
  </si>
  <si>
    <t>Buyer Name</t>
  </si>
  <si>
    <t>Credit Note No</t>
  </si>
  <si>
    <t>Credit Note Date</t>
  </si>
  <si>
    <t>Irn Number</t>
  </si>
  <si>
    <t>Irn Filing Status</t>
  </si>
  <si>
    <t>Irn Date</t>
  </si>
  <si>
    <t>Irn Error Code</t>
  </si>
  <si>
    <t>Product Type</t>
  </si>
  <si>
    <t>HSN</t>
  </si>
  <si>
    <t>HSN+% / Product</t>
  </si>
  <si>
    <t>SnepDeal</t>
  </si>
  <si>
    <t>Jio</t>
  </si>
  <si>
    <t>GR</t>
  </si>
  <si>
    <t>Comman Product Name</t>
  </si>
  <si>
    <t>Alis</t>
  </si>
  <si>
    <t>Wrong</t>
  </si>
  <si>
    <t>Problaim Value</t>
  </si>
  <si>
    <t>Error</t>
  </si>
  <si>
    <t>Seller GSTIN</t>
  </si>
  <si>
    <t>Order ID</t>
  </si>
  <si>
    <t>Order Item ID</t>
  </si>
  <si>
    <t>Product Title/Description</t>
  </si>
  <si>
    <t>FSN</t>
  </si>
  <si>
    <t>SKU</t>
  </si>
  <si>
    <t>Event Type</t>
  </si>
  <si>
    <t>Event Sub Type</t>
  </si>
  <si>
    <t>Order Type</t>
  </si>
  <si>
    <t>Fulfilment Type</t>
  </si>
  <si>
    <t xml:space="preserve">Order Approval Date </t>
  </si>
  <si>
    <t>Item Quantity</t>
  </si>
  <si>
    <t>Order Shipped From (State)</t>
  </si>
  <si>
    <t>Price before discount</t>
  </si>
  <si>
    <t>Total Discount</t>
  </si>
  <si>
    <t xml:space="preserve">Seller Share </t>
  </si>
  <si>
    <t>Bank Offer Share</t>
  </si>
  <si>
    <t>Price after discount (Price before discount-Total discount)</t>
  </si>
  <si>
    <t>Shipping Charges</t>
  </si>
  <si>
    <t>Final Invoice Amount (Price after discount+Shipping Charges)</t>
  </si>
  <si>
    <t>Type of tax</t>
  </si>
  <si>
    <t>Taxable Value (Final Invoice Amount -Taxes)</t>
  </si>
  <si>
    <t>CST Amount</t>
  </si>
  <si>
    <t>VAT Rate</t>
  </si>
  <si>
    <t>VAT Amount</t>
  </si>
  <si>
    <t>Luxury Cess Rate</t>
  </si>
  <si>
    <t>Luxury Cess Amount</t>
  </si>
  <si>
    <t>IGST Rate</t>
  </si>
  <si>
    <t>IGST Amount</t>
  </si>
  <si>
    <t>CGST Rate</t>
  </si>
  <si>
    <t>CGST Amount</t>
  </si>
  <si>
    <t>SGST Rate (or UTGST as applicable)</t>
  </si>
  <si>
    <t>SGST Amount (Or UTGST as applicable)</t>
  </si>
  <si>
    <t>TCS IGST Rate</t>
  </si>
  <si>
    <t>TCS IGST Amount</t>
  </si>
  <si>
    <t>TCS CGST Rate</t>
  </si>
  <si>
    <t>TCS CGST Amount</t>
  </si>
  <si>
    <t>TCS SGST Rate</t>
  </si>
  <si>
    <t>TCS SGST Amount</t>
  </si>
  <si>
    <t>Total TCS Deducted</t>
  </si>
  <si>
    <t>Buyer Invoice ID</t>
  </si>
  <si>
    <t>Buyer Invoice Date</t>
  </si>
  <si>
    <t xml:space="preserve">Buyer Invoice Amount </t>
  </si>
  <si>
    <t>Customer's Billing Pincode</t>
  </si>
  <si>
    <t>Customer's Billing State</t>
  </si>
  <si>
    <t>Customer's Delivery Pincode</t>
  </si>
  <si>
    <t>Customer's Delivery State</t>
  </si>
  <si>
    <t>Usual Price</t>
  </si>
  <si>
    <t>Is Shopsy Order?</t>
  </si>
  <si>
    <t>CST Rate</t>
  </si>
  <si>
    <t>HSN+%</t>
  </si>
  <si>
    <t>Type</t>
  </si>
  <si>
    <t>Shipment Number</t>
  </si>
  <si>
    <t>FSN / Product ID</t>
  </si>
  <si>
    <t>Order Status</t>
  </si>
  <si>
    <t xml:space="preserve">Inv. Type </t>
  </si>
  <si>
    <t>Product Name</t>
  </si>
  <si>
    <t>Right State</t>
  </si>
  <si>
    <t>TG</t>
  </si>
  <si>
    <t>UT</t>
  </si>
  <si>
    <t>CH</t>
  </si>
  <si>
    <t>Uttar Pradesd</t>
  </si>
  <si>
    <t>westbengal</t>
  </si>
  <si>
    <t xml:space="preserve">U  P </t>
  </si>
  <si>
    <t>Maharahstra</t>
  </si>
  <si>
    <t>Telanganga</t>
  </si>
  <si>
    <t>Madhya Prades</t>
  </si>
  <si>
    <t>Telangana india</t>
  </si>
  <si>
    <t>Andra Pradesh</t>
  </si>
  <si>
    <t>Rate</t>
  </si>
  <si>
    <t>Month</t>
  </si>
  <si>
    <r>
      <t xml:space="preserve">Note : </t>
    </r>
    <r>
      <rPr>
        <sz val="11"/>
        <color theme="1"/>
        <rFont val="Calibri"/>
        <family val="2"/>
        <scheme val="minor"/>
      </rPr>
      <t xml:space="preserve">Problaim Value માં wrong Value લખેલ નો હોય તો Check </t>
    </r>
    <r>
      <rPr>
        <b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Coloum</t>
    </r>
  </si>
  <si>
    <t>CG</t>
  </si>
  <si>
    <t>Lakshadweep Islands</t>
  </si>
  <si>
    <t>LD</t>
  </si>
  <si>
    <t>OD</t>
  </si>
  <si>
    <t>TS</t>
  </si>
  <si>
    <t>TR</t>
  </si>
  <si>
    <t>UK</t>
  </si>
  <si>
    <t>DD</t>
  </si>
  <si>
    <t xml:space="preserve">Kerala </t>
  </si>
  <si>
    <t>M.P.</t>
  </si>
  <si>
    <t xml:space="preserve">M. P. </t>
  </si>
  <si>
    <t>ORRISA</t>
  </si>
  <si>
    <t>ORRISHA</t>
  </si>
  <si>
    <t>U.P.</t>
  </si>
  <si>
    <t>U. P.</t>
  </si>
  <si>
    <t>TM</t>
  </si>
  <si>
    <t>A.P.</t>
  </si>
  <si>
    <t xml:space="preserve">A. P. </t>
  </si>
  <si>
    <t>PODECHERRY</t>
  </si>
  <si>
    <t>Chattisgarh</t>
  </si>
  <si>
    <t>Jammu &amp; Kashmir</t>
  </si>
  <si>
    <t>dadra</t>
  </si>
  <si>
    <t>diu</t>
  </si>
  <si>
    <t>div</t>
  </si>
  <si>
    <t>Daman &amp; Diu</t>
  </si>
  <si>
    <t>ANDAMAN</t>
  </si>
  <si>
    <t>Andaman &amp; Nicobar</t>
  </si>
  <si>
    <t>Uttar Prdesh</t>
  </si>
  <si>
    <t>Kerela</t>
  </si>
  <si>
    <t xml:space="preserve">Maharashtra </t>
  </si>
  <si>
    <t>U P.</t>
  </si>
  <si>
    <t>Andaman Nicobar Islands</t>
  </si>
  <si>
    <t>Andaman And Nicobar</t>
  </si>
  <si>
    <t>THE DADRA AND NAGAR HAVELI AND DAMAN AND DIU</t>
  </si>
  <si>
    <t>Karnatak</t>
  </si>
  <si>
    <t>Dombivali  E  Thane  Maharashtra</t>
  </si>
  <si>
    <t xml:space="preserve">ANDRA PRADESH   </t>
  </si>
  <si>
    <t>Uttarpradesh</t>
  </si>
  <si>
    <t>Visakhapatnam Andhra Pradesh</t>
  </si>
  <si>
    <t>Hariyana</t>
  </si>
  <si>
    <t>Maharastra</t>
  </si>
  <si>
    <t>Mahatashtra a</t>
  </si>
  <si>
    <t>TDS Rate</t>
  </si>
  <si>
    <t>TDS Amount</t>
  </si>
  <si>
    <t>Fulfillment Type</t>
  </si>
  <si>
    <t>Jio Sallers</t>
  </si>
  <si>
    <t>Cust Order No</t>
  </si>
  <si>
    <t>Cust Order Date</t>
  </si>
  <si>
    <t>FWD PO NO</t>
  </si>
  <si>
    <t>FWD PO Date</t>
  </si>
  <si>
    <t>Seller Invoice No</t>
  </si>
  <si>
    <t>Seller Invoice Date</t>
  </si>
  <si>
    <t>Cust Invoice No</t>
  </si>
  <si>
    <t>Cust Invoice Date</t>
  </si>
  <si>
    <t>JioCode</t>
  </si>
  <si>
    <t>Seller Style Code</t>
  </si>
  <si>
    <t>Seller SKU</t>
  </si>
  <si>
    <t>EAN</t>
  </si>
  <si>
    <t>Invoice Value</t>
  </si>
  <si>
    <t>CGST PERCENTAGE</t>
  </si>
  <si>
    <t>CGST AMOUNT</t>
  </si>
  <si>
    <t>SGST PERCENTAGE</t>
  </si>
  <si>
    <t>SGST AMOUNT</t>
  </si>
  <si>
    <t>IGST PERCENTAGE</t>
  </si>
  <si>
    <t>IGST AMOUNT</t>
  </si>
  <si>
    <t>Total Value</t>
  </si>
  <si>
    <t>Base Price</t>
  </si>
  <si>
    <t>Shipped QTY</t>
  </si>
  <si>
    <t>Total Price</t>
  </si>
  <si>
    <t>SELLER ID</t>
  </si>
  <si>
    <t>POB ID</t>
  </si>
  <si>
    <t>Seller Name</t>
  </si>
  <si>
    <t>GST filing month</t>
  </si>
  <si>
    <t>FILING TYPE</t>
  </si>
  <si>
    <t>Order invoice Date</t>
  </si>
  <si>
    <t>Order Invoice Id</t>
  </si>
  <si>
    <t>Invoice date (Credit note, Retuned/RTO/Cancelled orders)</t>
  </si>
  <si>
    <t>Invoice Id (Credit note, Retuned/RTO/Cancelled orders)</t>
  </si>
  <si>
    <t>Status for TCS filing</t>
  </si>
  <si>
    <t>Fulfillment Status</t>
  </si>
  <si>
    <t>Pruduct SKU</t>
  </si>
  <si>
    <t>L3</t>
  </si>
  <si>
    <t>Product name</t>
  </si>
  <si>
    <t>Supplier Name</t>
  </si>
  <si>
    <t>Seller Pin code</t>
  </si>
  <si>
    <t>Seller State</t>
  </si>
  <si>
    <t>Buyer Pincode</t>
  </si>
  <si>
    <t>Buyer city</t>
  </si>
  <si>
    <t>Buyer state</t>
  </si>
  <si>
    <t>Product HSN code</t>
  </si>
  <si>
    <t xml:space="preserve">Base amount for GST </t>
  </si>
  <si>
    <t>CGST</t>
  </si>
  <si>
    <t>SGST</t>
  </si>
  <si>
    <t>UTGST</t>
  </si>
  <si>
    <t>IGST</t>
  </si>
  <si>
    <t>Customer invoice value (GMV)</t>
  </si>
  <si>
    <t>Andaman &amp; Nicobar Islands</t>
  </si>
  <si>
    <t>Month Bill No.</t>
  </si>
  <si>
    <t>Myntra</t>
  </si>
  <si>
    <t>Date</t>
  </si>
  <si>
    <t>Sale Order Number</t>
  </si>
  <si>
    <t>Invoice number</t>
  </si>
  <si>
    <t>Channel entry</t>
  </si>
  <si>
    <t>Channel Ledger</t>
  </si>
  <si>
    <t>Product SKU Code</t>
  </si>
  <si>
    <t>Qty</t>
  </si>
  <si>
    <t>Unit Price</t>
  </si>
  <si>
    <t>Currency</t>
  </si>
  <si>
    <t>conversion rate</t>
  </si>
  <si>
    <t>Total</t>
  </si>
  <si>
    <t>Shipping Address Name</t>
  </si>
  <si>
    <t>Shipping Address Line 1</t>
  </si>
  <si>
    <t>Shipping Address Line 2</t>
  </si>
  <si>
    <t>Shipping Address City</t>
  </si>
  <si>
    <t>Shipping Address State</t>
  </si>
  <si>
    <t>Shipping Address Country</t>
  </si>
  <si>
    <t>Shipping Address Pincode</t>
  </si>
  <si>
    <t>Shipping Address Phone</t>
  </si>
  <si>
    <t>Shipping Provider</t>
  </si>
  <si>
    <t>AWB num</t>
  </si>
  <si>
    <t>Sales</t>
  </si>
  <si>
    <t>Sales Ledger</t>
  </si>
  <si>
    <t>SGST Rate</t>
  </si>
  <si>
    <t>UTGST Rate</t>
  </si>
  <si>
    <t>CESS</t>
  </si>
  <si>
    <t>CESS Rate</t>
  </si>
  <si>
    <t>Other charges</t>
  </si>
  <si>
    <t>Other charges Ledger</t>
  </si>
  <si>
    <t>Other charges1</t>
  </si>
  <si>
    <t>Other charges Ledger1</t>
  </si>
  <si>
    <t>Service tax</t>
  </si>
  <si>
    <t>ST Ledger</t>
  </si>
  <si>
    <t>Discount Ledger</t>
  </si>
  <si>
    <t>Discount Amount</t>
  </si>
  <si>
    <t>IMEI</t>
  </si>
  <si>
    <t>Godown</t>
  </si>
  <si>
    <t>Dispatch Date/Cancellation Date</t>
  </si>
  <si>
    <t>Narration</t>
  </si>
  <si>
    <t>Entity</t>
  </si>
  <si>
    <t xml:space="preserve">Voucher Type Name </t>
  </si>
  <si>
    <t>TIN NO</t>
  </si>
  <si>
    <t xml:space="preserve">Original Invoice Date </t>
  </si>
  <si>
    <t>Original Sale No</t>
  </si>
  <si>
    <t>Channel Invoice Created</t>
  </si>
  <si>
    <t>Channel State</t>
  </si>
  <si>
    <t>Customer GSTIN</t>
  </si>
  <si>
    <t>Channel_Party GSTIN</t>
  </si>
  <si>
    <t>Billing Party Code</t>
  </si>
  <si>
    <t>Tax Verification</t>
  </si>
  <si>
    <t>GST Registration Type</t>
  </si>
  <si>
    <t>TCS Amount</t>
  </si>
  <si>
    <t>Adjustment In Selling Price</t>
  </si>
  <si>
    <t>Adjustment In Discount</t>
  </si>
  <si>
    <t>Other charges Ledger2</t>
  </si>
  <si>
    <t>Other charges2</t>
  </si>
  <si>
    <t>Store Credit</t>
  </si>
  <si>
    <t>Prepaid Amount</t>
  </si>
  <si>
    <t>Tax On Other Charges</t>
  </si>
  <si>
    <t>Tax On Other Charges1</t>
  </si>
  <si>
    <t>Tax On Other Charges2</t>
  </si>
  <si>
    <t>IRN</t>
  </si>
  <si>
    <t>Acknowledgement Number</t>
  </si>
  <si>
    <t>Payment Method</t>
  </si>
  <si>
    <t>Billing Address Line 1</t>
  </si>
  <si>
    <t>Billing Address Line 2</t>
  </si>
  <si>
    <t>ISBN</t>
  </si>
  <si>
    <t>Bundle SKU Code Number</t>
  </si>
  <si>
    <t>s mastersheet</t>
  </si>
  <si>
    <t>Original Invoice ID</t>
  </si>
  <si>
    <t>TDS 194O Rate</t>
  </si>
  <si>
    <t>TDS 194O Amount</t>
  </si>
  <si>
    <t>cdn</t>
  </si>
  <si>
    <t>Net Sales Ret Amt.</t>
  </si>
  <si>
    <t>+++++++++</t>
  </si>
  <si>
    <t>HSN Code Req.</t>
  </si>
  <si>
    <t>StateHSN CODE</t>
  </si>
  <si>
    <t>Suborder Id</t>
  </si>
  <si>
    <t>Order status</t>
  </si>
  <si>
    <t>Payment Mode</t>
  </si>
  <si>
    <t>HSN Number</t>
  </si>
  <si>
    <t>Product Quantity</t>
  </si>
  <si>
    <t>Cancellation Reason</t>
  </si>
  <si>
    <t>Cancelled By</t>
  </si>
  <si>
    <t>Reseller Name</t>
  </si>
  <si>
    <t>Reseller State</t>
  </si>
  <si>
    <t>Reseller City</t>
  </si>
  <si>
    <t>Reseller Pincode</t>
  </si>
  <si>
    <t>Reseller GSTIN</t>
  </si>
  <si>
    <t>Wholesale price (Listed Price including Product GST)</t>
  </si>
  <si>
    <t>Shipping Charge</t>
  </si>
  <si>
    <t>Sales Amount (Wholesale Price + Shipping Charge)</t>
  </si>
  <si>
    <t>Product GST</t>
  </si>
  <si>
    <t>Sales Amount Excluding Product GST</t>
  </si>
  <si>
    <t>Commission %</t>
  </si>
  <si>
    <t>Shop101 commission to be deducted on Listed Price (excluding commision GST)</t>
  </si>
  <si>
    <t>IGST on Shipping</t>
  </si>
  <si>
    <t>CGST &amp; SGST on Shipping</t>
  </si>
  <si>
    <t>IGST on Commission</t>
  </si>
  <si>
    <t>CGST &amp; SGST on Commission</t>
  </si>
  <si>
    <t>TCS (IGST)</t>
  </si>
  <si>
    <t>TCS (CGST &amp; SGST )</t>
  </si>
  <si>
    <t>TDS</t>
  </si>
  <si>
    <t>Net Amount</t>
  </si>
  <si>
    <t>Payment Date</t>
  </si>
  <si>
    <t>Transaction Id</t>
  </si>
  <si>
    <t>Forward Shipping AWB</t>
  </si>
  <si>
    <t>Forward Shipping Courier Partner</t>
  </si>
  <si>
    <t>Reverse Shipping AWB</t>
  </si>
  <si>
    <t>Reverse Shipping Courier Partner</t>
  </si>
  <si>
    <t>Cancelled Date</t>
  </si>
  <si>
    <t>Picked Up Date</t>
  </si>
  <si>
    <t>Approved Date</t>
  </si>
  <si>
    <t>Delivered Date</t>
  </si>
  <si>
    <t>Returned Date</t>
  </si>
  <si>
    <t>Warehouse ID</t>
  </si>
  <si>
    <t>CNDN</t>
  </si>
  <si>
    <t>Document Type</t>
  </si>
  <si>
    <t>Document Sub Type</t>
  </si>
  <si>
    <t>Credit Note ID/ Debit Note ID</t>
  </si>
  <si>
    <t>Taxable Value</t>
  </si>
  <si>
    <t>Shipping_case</t>
  </si>
  <si>
    <t>store_id</t>
  </si>
  <si>
    <t>packet_id</t>
  </si>
  <si>
    <t>New_Parent_id</t>
  </si>
  <si>
    <t>order_id</t>
  </si>
  <si>
    <t>item_id</t>
  </si>
  <si>
    <t>sku_id</t>
  </si>
  <si>
    <t>pps_item_id</t>
  </si>
  <si>
    <t>item_status</t>
  </si>
  <si>
    <t>order_created_date</t>
  </si>
  <si>
    <t>order_packed_date</t>
  </si>
  <si>
    <t>order_shipped_date</t>
  </si>
  <si>
    <t>restocked_date</t>
  </si>
  <si>
    <t>order_rto_date</t>
  </si>
  <si>
    <t>gender</t>
  </si>
  <si>
    <t>seller_id</t>
  </si>
  <si>
    <t>seller_name</t>
  </si>
  <si>
    <t>seller_type</t>
  </si>
  <si>
    <t>master_category</t>
  </si>
  <si>
    <t>brand</t>
  </si>
  <si>
    <t>article_type</t>
  </si>
  <si>
    <t>payment_method</t>
  </si>
  <si>
    <t>tax_rate</t>
  </si>
  <si>
    <t>igst_rate</t>
  </si>
  <si>
    <t>cgst_rate</t>
  </si>
  <si>
    <t>sgst_rate</t>
  </si>
  <si>
    <t>pincode</t>
  </si>
  <si>
    <t>is_try_and_buy</t>
  </si>
  <si>
    <t>Customer_Delivery_State_Code</t>
  </si>
  <si>
    <t>warehouse_id</t>
  </si>
  <si>
    <t>warehouse_name</t>
  </si>
  <si>
    <t>address</t>
  </si>
  <si>
    <t>location</t>
  </si>
  <si>
    <t>igst_amt</t>
  </si>
  <si>
    <t>cgst_amt</t>
  </si>
  <si>
    <t>sgst_amt</t>
  </si>
  <si>
    <t>tax_amount</t>
  </si>
  <si>
    <t>loyalty_credit</t>
  </si>
  <si>
    <t>loyalty_Amount</t>
  </si>
  <si>
    <t>InvoiceAmount</t>
  </si>
  <si>
    <t>shipment_value</t>
  </si>
  <si>
    <t>platform_charges</t>
  </si>
  <si>
    <t>MRP</t>
  </si>
  <si>
    <t>shipping_charges</t>
  </si>
  <si>
    <t>gift_charges</t>
  </si>
  <si>
    <t>Discount</t>
  </si>
  <si>
    <t>cashback</t>
  </si>
  <si>
    <t>Tax_user_rec</t>
  </si>
  <si>
    <t>GiftCard</t>
  </si>
  <si>
    <t>wallet</t>
  </si>
  <si>
    <t>Vat_refund</t>
  </si>
  <si>
    <t>Mynts_Used</t>
  </si>
  <si>
    <t>Instant_Cashback</t>
  </si>
  <si>
    <t>Value_Shipping</t>
  </si>
  <si>
    <t>Net_Amount</t>
  </si>
  <si>
    <t>certificateNumber</t>
  </si>
  <si>
    <t>Seller_GSTIN</t>
  </si>
  <si>
    <t>starts_from</t>
  </si>
  <si>
    <t>ends_on</t>
  </si>
  <si>
    <t>Tax_Seller_GSTIN</t>
  </si>
  <si>
    <t>base_amount</t>
  </si>
  <si>
    <t>tds_rate</t>
  </si>
  <si>
    <t>tcs_amount</t>
  </si>
  <si>
    <t>tds_amount</t>
  </si>
  <si>
    <t>cgst_tcs_amount</t>
  </si>
  <si>
    <t>sgst_tcs_amount</t>
  </si>
  <si>
    <t>igst_tcs_amount</t>
  </si>
  <si>
    <t>CHHATISHGARH</t>
  </si>
  <si>
    <t>VMART</t>
  </si>
  <si>
    <t>vendorId</t>
  </si>
  <si>
    <t>eventType</t>
  </si>
  <si>
    <t>vendorName</t>
  </si>
  <si>
    <t>GSTIN</t>
  </si>
  <si>
    <t>invoiceId</t>
  </si>
  <si>
    <t>invoiceDate</t>
  </si>
  <si>
    <t>customerName</t>
  </si>
  <si>
    <t>customerState</t>
  </si>
  <si>
    <t>customerPincode</t>
  </si>
  <si>
    <t>vendorState</t>
  </si>
  <si>
    <t>vendorPincode</t>
  </si>
  <si>
    <t>salesType</t>
  </si>
  <si>
    <t>E-CommerceGSTIN</t>
  </si>
  <si>
    <t>E-CommerceName</t>
  </si>
  <si>
    <t>uniqueItemId</t>
  </si>
  <si>
    <t>vendorStyleCode</t>
  </si>
  <si>
    <t>orderId</t>
  </si>
  <si>
    <t>suborderId</t>
  </si>
  <si>
    <t>hsnCode</t>
  </si>
  <si>
    <t>productDescription</t>
  </si>
  <si>
    <t>totalGSTRate</t>
  </si>
  <si>
    <t>taxAmountForIGST</t>
  </si>
  <si>
    <t>taxAmountForCGST</t>
  </si>
  <si>
    <t>taxAmountForSGST</t>
  </si>
  <si>
    <t>itemTaxableAmount</t>
  </si>
  <si>
    <t>shippingTaxableAmount</t>
  </si>
  <si>
    <t>codTaxableAmount</t>
  </si>
  <si>
    <t>totalSupplyTaxableAmount</t>
  </si>
  <si>
    <t>tcsAmountForIGST</t>
  </si>
  <si>
    <t>tcsAmountForCGST</t>
  </si>
  <si>
    <t>tcsAmountForSGST</t>
  </si>
  <si>
    <t>invoiceValue</t>
  </si>
  <si>
    <t>taxAmount</t>
  </si>
  <si>
    <t>cessAmount</t>
  </si>
  <si>
    <t>tdsAmount</t>
  </si>
  <si>
    <t>Vendor ID</t>
  </si>
  <si>
    <t>Vendor Gst Number</t>
  </si>
  <si>
    <t>Mirraw GSTIN No</t>
  </si>
  <si>
    <t>Order Number</t>
  </si>
  <si>
    <t>Sales Invoice No</t>
  </si>
  <si>
    <t>Sales Invoice/Order Sane Date</t>
  </si>
  <si>
    <t>Description</t>
  </si>
  <si>
    <t>SKU Code</t>
  </si>
  <si>
    <t>Size</t>
  </si>
  <si>
    <t>Warehouse Order</t>
  </si>
  <si>
    <t>Sale Price</t>
  </si>
  <si>
    <t>Addon Product Price</t>
  </si>
  <si>
    <t>Total Sale Price</t>
  </si>
  <si>
    <t>Taxable value</t>
  </si>
  <si>
    <t>Rate of Tax</t>
  </si>
  <si>
    <t>Vendor State</t>
  </si>
  <si>
    <t>Order Approval Date</t>
  </si>
  <si>
    <t>Original Shipment Number</t>
  </si>
  <si>
    <t>Sale/Sale reversal TCS date</t>
  </si>
  <si>
    <t>Buyer Invoice Amount</t>
  </si>
  <si>
    <t>Sheet</t>
  </si>
  <si>
    <t>Order_id</t>
  </si>
  <si>
    <t>Order_Date</t>
  </si>
  <si>
    <t>Order_Date(MM/YYYY)</t>
  </si>
  <si>
    <t>IS_COMBO</t>
  </si>
  <si>
    <t>ISDROPSHIPMENTSELLER</t>
  </si>
  <si>
    <t>Marked_Status_Date</t>
  </si>
  <si>
    <t>Marked_Status_Date(MM/YYYY)</t>
  </si>
  <si>
    <t>Marked_Status</t>
  </si>
  <si>
    <t>Product_Price</t>
  </si>
  <si>
    <t>Shipping_Cost</t>
  </si>
  <si>
    <t>Cod_Charges</t>
  </si>
  <si>
    <t>Order_Amt</t>
  </si>
  <si>
    <t>Parent_Seller_Name</t>
  </si>
  <si>
    <t>Child_Seller_Name</t>
  </si>
  <si>
    <t>Description_OF_Good</t>
  </si>
  <si>
    <t>Product_Name</t>
  </si>
  <si>
    <t>Product_Qty</t>
  </si>
  <si>
    <t>Consignor_Name</t>
  </si>
  <si>
    <t>Consignor_GST</t>
  </si>
  <si>
    <t>Consignor_State_Name</t>
  </si>
  <si>
    <t>Consignee_State_Name</t>
  </si>
  <si>
    <t>Payment_mode</t>
  </si>
  <si>
    <t>Invoicenumber</t>
  </si>
  <si>
    <t>Invoicedate</t>
  </si>
  <si>
    <t>Invoice_Date(MM/YYYY)</t>
  </si>
  <si>
    <t>DEDUCTION_Liability</t>
  </si>
  <si>
    <t>HSNCODE</t>
  </si>
  <si>
    <t>IGST_Rate</t>
  </si>
  <si>
    <t>CGST_Rate</t>
  </si>
  <si>
    <t>SGST_rate</t>
  </si>
  <si>
    <t>KFC_Rate</t>
  </si>
  <si>
    <t>Total_GST_Rate</t>
  </si>
  <si>
    <t>Total_Taxable_Value</t>
  </si>
  <si>
    <t>Total_IGST_AMT</t>
  </si>
  <si>
    <t>Total_CGST_AMT</t>
  </si>
  <si>
    <t>Total_SGST_AMT</t>
  </si>
  <si>
    <t>Total_KFC</t>
  </si>
  <si>
    <t>TOTAL_INVOICE_VALUE</t>
  </si>
  <si>
    <t>TCS_AMT</t>
  </si>
  <si>
    <t>TCS_IGST_AMT</t>
  </si>
  <si>
    <t>TCS_CGST_AMT</t>
  </si>
  <si>
    <t>TCS_SGST_AMT</t>
  </si>
  <si>
    <t>TCS_Liablity</t>
  </si>
  <si>
    <t>module</t>
  </si>
  <si>
    <t>lastestpickedupdate</t>
  </si>
  <si>
    <t>latestpickedupdate_MM_YY</t>
  </si>
  <si>
    <t>currentstatename</t>
  </si>
  <si>
    <t>isrollback</t>
  </si>
  <si>
    <t>rollbackdate</t>
  </si>
  <si>
    <t>naaptol</t>
  </si>
  <si>
    <t>SheetNo.</t>
  </si>
  <si>
    <t>ProductType</t>
  </si>
  <si>
    <t>SkipR</t>
  </si>
  <si>
    <t>CustomerName</t>
  </si>
  <si>
    <t>HSN+%/Product</t>
  </si>
  <si>
    <t>PartyGSTNo.</t>
  </si>
  <si>
    <t>BillDate</t>
  </si>
  <si>
    <t>BillNo</t>
  </si>
  <si>
    <t>HSNCode</t>
  </si>
  <si>
    <t>GST%</t>
  </si>
  <si>
    <t>ProblaimValue</t>
  </si>
  <si>
    <t>SrNo.</t>
  </si>
  <si>
    <t>JAMMUANDKASHMIR</t>
  </si>
  <si>
    <t>MADHYAPRADESH</t>
  </si>
  <si>
    <t>ARUNACHALPRADESH</t>
  </si>
  <si>
    <t>HIMACHALPRADESH</t>
  </si>
  <si>
    <t>DADRAANDNAGARHAVELI</t>
  </si>
  <si>
    <t>LakshadweepIslands</t>
  </si>
  <si>
    <t>AndamanandNicobarIslands</t>
  </si>
  <si>
    <t>Reduce Entry %</t>
  </si>
  <si>
    <t>Import Sales Entry</t>
  </si>
  <si>
    <t>Party GSTIN</t>
  </si>
  <si>
    <t>Blank State</t>
  </si>
  <si>
    <t>creditinvoicedate</t>
  </si>
  <si>
    <t>creditinvoicenumber</t>
  </si>
  <si>
    <t>Transaction Date</t>
  </si>
  <si>
    <t>Sub Order No</t>
  </si>
  <si>
    <t>Customer State</t>
  </si>
  <si>
    <t>Seller GSTN</t>
  </si>
  <si>
    <t>Hsn Code</t>
  </si>
  <si>
    <t>Tax Rate</t>
  </si>
  <si>
    <t>Tax Type</t>
  </si>
  <si>
    <t>Tax Amount</t>
  </si>
  <si>
    <t>Comp Cess Rate</t>
  </si>
  <si>
    <t>Comp Cess</t>
  </si>
  <si>
    <t>Order Invoice Date</t>
  </si>
  <si>
    <t>Seller Code</t>
  </si>
  <si>
    <t>Hold Flag</t>
  </si>
  <si>
    <t>Taxable Amount</t>
  </si>
  <si>
    <t>C:\Users\ADITYA\Desktop\Ecomm\OLD FILE\statement\grow road b2b.xlsx</t>
  </si>
  <si>
    <t>C:\Users\ADITYA\Desktop\Ecomm\NAPTOL.xls</t>
  </si>
  <si>
    <t>C:\Users\ADITYA\Desktop\Ecomm\vmart retrn.xls</t>
  </si>
  <si>
    <t>tds_rate_change</t>
  </si>
  <si>
    <t>Amount &gt; B2CL</t>
  </si>
  <si>
    <t>B2CL Entry</t>
  </si>
  <si>
    <t>GSTIN of supplier</t>
  </si>
  <si>
    <t>Trade/Legal name of the supplier</t>
  </si>
  <si>
    <t>Place of supply</t>
  </si>
  <si>
    <t>Supply Attract Reverse Charge</t>
  </si>
  <si>
    <t>Taxable Value (₹)</t>
  </si>
  <si>
    <t>GSTR-1/IFF/GSTR-5 Filing Date</t>
  </si>
  <si>
    <t>ITC Availability</t>
  </si>
  <si>
    <t>Reason</t>
  </si>
  <si>
    <t>Applicable % of Tax Rate</t>
  </si>
  <si>
    <t>Source</t>
  </si>
  <si>
    <t>IRN Date</t>
  </si>
  <si>
    <t>Invoice type</t>
  </si>
  <si>
    <t>Invoice Value(₹)</t>
  </si>
  <si>
    <t>Central Tax(₹)</t>
  </si>
  <si>
    <t>State/UT Tax(₹)</t>
  </si>
  <si>
    <t>Cess(₹)</t>
  </si>
  <si>
    <t>Regular</t>
  </si>
  <si>
    <t>Party State</t>
  </si>
  <si>
    <t>C/D</t>
  </si>
  <si>
    <t>Gst No.</t>
  </si>
  <si>
    <t xml:space="preserve">City </t>
  </si>
  <si>
    <t>Regular/Consumer</t>
  </si>
  <si>
    <t>Invoice Typ : GST/IGST</t>
  </si>
  <si>
    <t>Tax/Bill</t>
  </si>
  <si>
    <t xml:space="preserve">GST% </t>
  </si>
  <si>
    <t>Item Unit</t>
  </si>
  <si>
    <t>HSN NO.</t>
  </si>
  <si>
    <t>Vou.No.</t>
  </si>
  <si>
    <t>D</t>
  </si>
  <si>
    <t>HSN No.</t>
  </si>
  <si>
    <t>DO</t>
  </si>
  <si>
    <t>DJ</t>
  </si>
  <si>
    <t>DM</t>
  </si>
  <si>
    <t>DI</t>
  </si>
  <si>
    <t>Product</t>
  </si>
  <si>
    <t>Tax Amt</t>
  </si>
  <si>
    <t>Vou. Type</t>
  </si>
  <si>
    <t xml:space="preserve">Purchase Entry </t>
  </si>
  <si>
    <t>GST Expences</t>
  </si>
  <si>
    <t>Pur CN</t>
  </si>
  <si>
    <t>Pur DN</t>
  </si>
  <si>
    <t>Glowroad</t>
  </si>
  <si>
    <t>Customer ID</t>
  </si>
  <si>
    <t>Mobile Number</t>
  </si>
  <si>
    <t>PC/Mac ID</t>
  </si>
  <si>
    <t>Expiry Date</t>
  </si>
  <si>
    <t>Com Name</t>
  </si>
  <si>
    <t>Registration Date</t>
  </si>
  <si>
    <t>Ecomm Excle Licance</t>
  </si>
  <si>
    <t>MSH</t>
  </si>
  <si>
    <t>AMZ</t>
  </si>
  <si>
    <t>FLC</t>
  </si>
  <si>
    <t>FLC (C)</t>
  </si>
  <si>
    <t>SND</t>
  </si>
  <si>
    <t>JIO</t>
  </si>
  <si>
    <t>MYR</t>
  </si>
  <si>
    <t>MYR (2)</t>
  </si>
  <si>
    <t>GLR</t>
  </si>
  <si>
    <t>NPTL</t>
  </si>
  <si>
    <t>MRW</t>
  </si>
  <si>
    <t>S101</t>
  </si>
  <si>
    <t>S101 (2)</t>
  </si>
  <si>
    <t>VMT</t>
  </si>
  <si>
    <t>GSTR2B</t>
  </si>
  <si>
    <t>MasterMonth</t>
  </si>
  <si>
    <t>Help</t>
  </si>
  <si>
    <t>C:\Users\ADITYA\Desktop\Ecomm\MTR_B2B-APRIL-2024-AEZJA41ENPVDN.xlsx</t>
  </si>
  <si>
    <t xml:space="preserve">Status </t>
  </si>
  <si>
    <t>Suborder Status</t>
  </si>
  <si>
    <t>GST Invoice Number</t>
  </si>
  <si>
    <t>GST Invoice Date</t>
  </si>
  <si>
    <t>Place of Supply</t>
  </si>
  <si>
    <t>GST Invoice Type</t>
  </si>
  <si>
    <t>Taxable Value of Invoice</t>
  </si>
  <si>
    <t>GST Invoice Amount</t>
  </si>
  <si>
    <t>GSTIN Flag</t>
  </si>
  <si>
    <t>Bill to State</t>
  </si>
  <si>
    <t>Bill to Address</t>
  </si>
  <si>
    <t>Bill to Pincode</t>
  </si>
  <si>
    <t>GST Returns Subsheet</t>
  </si>
  <si>
    <t>Bill to name</t>
  </si>
  <si>
    <t>Ship to Name</t>
  </si>
  <si>
    <t>Ship to State</t>
  </si>
  <si>
    <t>Ship to Address</t>
  </si>
  <si>
    <t>Ship to Pincode</t>
  </si>
  <si>
    <t>Ecommerce GSTIN</t>
  </si>
  <si>
    <t>Company Name :</t>
  </si>
  <si>
    <t>GST No.:</t>
  </si>
  <si>
    <t>S101 (3)</t>
  </si>
  <si>
    <t>GSTR-1/1A/IFF/GSTR-5 Period</t>
  </si>
  <si>
    <t>Gstin Of Receiver</t>
  </si>
  <si>
    <t>Ship From Fc</t>
  </si>
  <si>
    <t>Ship To Fc</t>
  </si>
  <si>
    <t>Igst Amount</t>
  </si>
  <si>
    <t>Sgst Amount</t>
  </si>
  <si>
    <t>Utgst Amount</t>
  </si>
  <si>
    <t>Cgst Amount</t>
  </si>
  <si>
    <t>Compensatory Cess Amount</t>
  </si>
  <si>
    <t>Gstin Of Supplier</t>
  </si>
  <si>
    <t>Saller State</t>
  </si>
  <si>
    <t>Buyer State</t>
  </si>
  <si>
    <t>GST No.</t>
  </si>
  <si>
    <t>AMZ TR</t>
  </si>
  <si>
    <t>Tex</t>
  </si>
  <si>
    <t>LAKSHADWEEP</t>
  </si>
  <si>
    <t>UNI</t>
  </si>
  <si>
    <t>Uni Commarce</t>
  </si>
  <si>
    <t>Com State</t>
  </si>
  <si>
    <t>Ecom Name</t>
  </si>
  <si>
    <t>Gstin Of Saller</t>
  </si>
  <si>
    <t>Buyer Gst No.</t>
  </si>
  <si>
    <t>Saller Party Name</t>
  </si>
  <si>
    <t>Return</t>
  </si>
  <si>
    <t>Snepdeal</t>
  </si>
  <si>
    <t>C:\Users\ADITYA\Desktop\Ecomm\MYNTRA\MYNTRA JULY CUSTMER RETURN.xlsx</t>
  </si>
  <si>
    <t>Mirrow</t>
  </si>
  <si>
    <t>Ecomm Name</t>
  </si>
  <si>
    <t>Cust Name</t>
  </si>
  <si>
    <t>Ecomm Party</t>
  </si>
  <si>
    <t>Item Serial No.</t>
  </si>
  <si>
    <t>Shipping Cess Tax Amount</t>
  </si>
  <si>
    <t>Item Promo Discount Tax</t>
  </si>
  <si>
    <t>Shipping Promo Discount Tax</t>
  </si>
  <si>
    <t>Gift Wrap Promo Discount Tax</t>
  </si>
  <si>
    <t>FC_TRANSFER</t>
  </si>
  <si>
    <t>FC_REMOVAL</t>
  </si>
  <si>
    <t>\\ADITYA-TECH\All Sharing\Ecom Setup\Devlop\ecomm statment\uniqcommarch\GST Report-OCT 24.xlsx</t>
  </si>
  <si>
    <t xml:space="preserve">Total Error </t>
  </si>
  <si>
    <t>Fulfiller Name</t>
  </si>
  <si>
    <t>Offer Price</t>
  </si>
  <si>
    <t>Seller Coupon Amount</t>
  </si>
  <si>
    <t>Seller Coupon Code</t>
  </si>
  <si>
    <t>Ecomm Company</t>
  </si>
  <si>
    <t>Item Promo Tax</t>
  </si>
  <si>
    <t>Shipping Promo Tax</t>
  </si>
  <si>
    <t>Gift Wrap Promo Tax</t>
  </si>
  <si>
    <t>Shipping Cess Tax</t>
  </si>
  <si>
    <t>Customer Ship To Gstid</t>
  </si>
  <si>
    <t>AMZ (2)</t>
  </si>
  <si>
    <t>\\ADITYA-TECH\All Sharing\Ecom Setup\Devlop\ecomm statment\amazon stock tranf full.xlsx</t>
  </si>
  <si>
    <t>\\ADITYA-TECH\All Sharing\Ecom Setup\Devlop\ecomm statment\GST_STR_CUSTOM-A2HH06SYJIY2PZ-2024_11_01-2024_12_01.xlsx</t>
  </si>
  <si>
    <t>\\ADITYA-TECH\All Sharing\Ecom Setup\Devlop\ecomm statment\jio menila maniya .xlsx</t>
  </si>
  <si>
    <t>Final Invoice Amount (Offer Price minus Seller Coupon Amount)</t>
  </si>
  <si>
    <t>\\ADITYA-TECH\All Sharing\Ecom Setup\Devlop\ecomm statment\MTR_B2C-DECEMBER-2024-A2RIUGGPQW3UCZ menil maniya.xlsx .xlsx</t>
  </si>
  <si>
    <t>meesho_mall_platformfee</t>
  </si>
  <si>
    <t>meesho_mall_platformfee_gst</t>
  </si>
  <si>
    <t>fixed_fee</t>
  </si>
  <si>
    <t>fixed_fee_gst</t>
  </si>
  <si>
    <t>enrollment_no</t>
  </si>
  <si>
    <t>Ecomm Com.</t>
  </si>
  <si>
    <t>MSH (2)</t>
  </si>
  <si>
    <t>AJIO</t>
  </si>
  <si>
    <t>\\ADITYA-TECH\All Sharing\Ecom Setup\Devlop\ecomm statment\ajio.xlsx</t>
  </si>
  <si>
    <t>C2</t>
  </si>
  <si>
    <t>C3</t>
  </si>
  <si>
    <t>C4</t>
  </si>
  <si>
    <t>C5</t>
  </si>
  <si>
    <t>C6</t>
  </si>
  <si>
    <t>C7</t>
  </si>
  <si>
    <t xml:space="preserve">MAHESH </t>
  </si>
  <si>
    <t>24AIFPJ6378M2ZR</t>
  </si>
  <si>
    <t>s</t>
  </si>
  <si>
    <t>\\ADITYA-TECH\All Sharing\Ecom Setup\Devlop\ecomm statment\ForwardReports.xlsx</t>
  </si>
  <si>
    <t>\\ADITYA-TECH\All Sharing\Ecom Setup\Devlop\ecomm statment\shop101\5890409_GST_SUPPLIER_cron_1738837198280.xlsx</t>
  </si>
  <si>
    <t>5 Tier-Black(1)-03</t>
  </si>
  <si>
    <t>\\ADITYA-TECH\All Sharing\Ecom Setup\Devlop\ecomm statment\mytra GST Report Packed.xlsx</t>
  </si>
  <si>
    <t>D:\All Sharing\Ecom Setup\Devlop\ecomm statment\tcs_sales meesho.xlsx</t>
  </si>
  <si>
    <t>total_taxable_sale_value</t>
  </si>
  <si>
    <t>total_invoice_value</t>
  </si>
  <si>
    <t>Last Month</t>
  </si>
  <si>
    <t>C:\Users\AT\Desktop\tcs_sales_return.xlsx</t>
  </si>
  <si>
    <t>295 - KETAN JOGANI</t>
  </si>
  <si>
    <t>C:\Users\AT\Downloads\R.xlsx</t>
  </si>
  <si>
    <t>Ecom Com</t>
  </si>
  <si>
    <t>D:\All Sharing\Ecom Setup\Devlop\Flipcart\SALES REPORT.xlsx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</si>
</sst>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0.0000"/>
  </numFmts>
  <fonts count="6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2"/>
      <color rgb="FF000000"/>
      <name val="Segoe UI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0"/>
      <color indexed="8"/>
      <name val="Arial"/>
      <family val="2"/>
    </font>
    <font>
      <sz val="12"/>
      <color indexed="8"/>
      <name val="Verdana"/>
      <family val="2"/>
    </font>
    <font>
      <sz val="12"/>
      <color indexed="8"/>
      <name val="Verdana"/>
      <family val="2"/>
    </font>
    <font>
      <b/>
      <sz val="10"/>
      <color indexed="8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2"/>
      <color indexed="8"/>
      <name val="Verdana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Verdana"/>
      <family val="2"/>
    </font>
    <font>
      <b/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indexed="8"/>
      <name val="Verdana"/>
      <family val="2"/>
    </font>
    <font>
      <b/>
      <sz val="8"/>
      <color theme="1"/>
      <name val="Verdana"/>
      <family val="2"/>
    </font>
    <font>
      <b/>
      <sz val="9"/>
      <color theme="1"/>
      <name val="Verdana"/>
      <family val="2"/>
    </font>
    <font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Verdana"/>
      <family val="2"/>
    </font>
    <font>
      <b/>
      <sz val="12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Verdana"/>
      <family val="2"/>
    </font>
    <font>
      <i/>
      <sz val="11"/>
      <color theme="1"/>
      <name val="Verdana"/>
      <family val="2"/>
    </font>
    <font>
      <sz val="12"/>
      <color indexed="8"/>
      <name val="Verdana"/>
      <family val="2"/>
    </font>
    <font>
      <b/>
      <sz val="11"/>
      <color indexed="8"/>
      <name val="Calibri"/>
      <family val="2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2"/>
      <color indexed="8"/>
      <name val="Verdana"/>
      <family val="2"/>
    </font>
    <font>
      <sz val="14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9"/>
      <color rgb="FFFFFFFF"/>
      <name val="Arial"/>
      <family val="2"/>
    </font>
    <font>
      <b/>
      <u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sz val="8"/>
      <color rgb="FF000000"/>
      <name val="Segoe UI"/>
      <family val="2"/>
    </font>
  </fonts>
  <fills count="6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2"/>
      </patternFill>
    </fill>
    <fill>
      <patternFill patternType="solid">
        <fgColor theme="8" tint="0.39997558519241921"/>
        <bgColor indexed="64"/>
      </patternFill>
    </fill>
    <fill>
      <patternFill patternType="darkGrid">
        <fgColor indexed="43"/>
        <bgColor indexed="43"/>
      </patternFill>
    </fill>
    <fill>
      <patternFill patternType="darkGrid">
        <fgColor indexed="42"/>
        <bgColor indexed="42"/>
      </patternFill>
    </fill>
    <fill>
      <patternFill patternType="darkGrid">
        <fgColor indexed="44"/>
        <bgColor indexed="4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037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7">
    <xf numFmtId="0" fontId="0" fillId="0" borderId="0"/>
    <xf numFmtId="0" fontId="2" fillId="0" borderId="0" applyFill="0" applyProtection="0"/>
    <xf numFmtId="0" fontId="2" fillId="0" borderId="0" applyFill="0" applyProtection="0"/>
    <xf numFmtId="0" fontId="5" fillId="0" borderId="0"/>
    <xf numFmtId="0" fontId="6" fillId="0" borderId="0" applyFill="0" applyProtection="0"/>
    <xf numFmtId="0" fontId="7" fillId="0" borderId="0" applyNumberFormat="0" applyFill="0" applyBorder="0" applyProtection="0">
      <alignment vertical="top" wrapText="1"/>
    </xf>
    <xf numFmtId="0" fontId="8" fillId="0" borderId="0" applyNumberFormat="0" applyFill="0" applyBorder="0" applyProtection="0">
      <alignment vertical="top" wrapText="1"/>
    </xf>
    <xf numFmtId="0" fontId="12" fillId="0" borderId="0" applyNumberFormat="0" applyFill="0" applyBorder="0" applyProtection="0">
      <alignment vertical="top" wrapText="1"/>
    </xf>
    <xf numFmtId="0" fontId="21" fillId="0" borderId="0" applyNumberFormat="0" applyFill="0" applyBorder="0" applyProtection="0">
      <alignment vertical="top" wrapText="1"/>
    </xf>
    <xf numFmtId="0" fontId="2" fillId="0" borderId="0" applyFill="0" applyProtection="0"/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9" fontId="24" fillId="0" borderId="0" applyFont="0" applyFill="0" applyBorder="0" applyAlignment="0" applyProtection="0"/>
    <xf numFmtId="0" fontId="33" fillId="0" borderId="0" applyNumberFormat="0" applyFill="0" applyBorder="0" applyProtection="0">
      <alignment vertical="top" wrapText="1"/>
    </xf>
    <xf numFmtId="0" fontId="37" fillId="0" borderId="0" applyNumberFormat="0" applyFill="0" applyBorder="0" applyProtection="0">
      <alignment vertical="top" wrapText="1"/>
    </xf>
    <xf numFmtId="0" fontId="40" fillId="0" borderId="0"/>
    <xf numFmtId="0" fontId="47" fillId="0" borderId="0"/>
    <xf numFmtId="0" fontId="48" fillId="0" borderId="0" applyNumberFormat="0" applyFill="0" applyBorder="0" applyAlignment="0" applyProtection="0"/>
    <xf numFmtId="0" fontId="49" fillId="0" borderId="50" applyNumberFormat="0" applyFill="0" applyAlignment="0" applyProtection="0"/>
    <xf numFmtId="0" fontId="50" fillId="0" borderId="51" applyNumberFormat="0" applyFill="0" applyAlignment="0" applyProtection="0"/>
    <xf numFmtId="0" fontId="51" fillId="0" borderId="52" applyNumberFormat="0" applyFill="0" applyAlignment="0" applyProtection="0"/>
    <xf numFmtId="0" fontId="51" fillId="0" borderId="0" applyNumberFormat="0" applyFill="0" applyBorder="0" applyAlignment="0" applyProtection="0"/>
    <xf numFmtId="0" fontId="52" fillId="32" borderId="0" applyNumberFormat="0" applyBorder="0" applyAlignment="0" applyProtection="0"/>
    <xf numFmtId="0" fontId="53" fillId="33" borderId="0" applyNumberFormat="0" applyBorder="0" applyAlignment="0" applyProtection="0"/>
    <xf numFmtId="0" fontId="54" fillId="34" borderId="0" applyNumberFormat="0" applyBorder="0" applyAlignment="0" applyProtection="0"/>
    <xf numFmtId="0" fontId="55" fillId="35" borderId="53" applyNumberFormat="0" applyAlignment="0" applyProtection="0"/>
    <xf numFmtId="0" fontId="56" fillId="36" borderId="54" applyNumberFormat="0" applyAlignment="0" applyProtection="0"/>
    <xf numFmtId="0" fontId="57" fillId="36" borderId="53" applyNumberFormat="0" applyAlignment="0" applyProtection="0"/>
    <xf numFmtId="0" fontId="58" fillId="0" borderId="55" applyNumberFormat="0" applyFill="0" applyAlignment="0" applyProtection="0"/>
    <xf numFmtId="0" fontId="59" fillId="37" borderId="56" applyNumberFormat="0" applyAlignment="0" applyProtection="0"/>
    <xf numFmtId="0" fontId="29" fillId="0" borderId="0" applyNumberFormat="0" applyFill="0" applyBorder="0" applyAlignment="0" applyProtection="0"/>
    <xf numFmtId="0" fontId="24" fillId="38" borderId="57" applyNumberFormat="0" applyFont="0" applyAlignment="0" applyProtection="0"/>
    <xf numFmtId="0" fontId="60" fillId="0" borderId="0" applyNumberFormat="0" applyFill="0" applyBorder="0" applyAlignment="0" applyProtection="0"/>
    <xf numFmtId="0" fontId="1" fillId="0" borderId="58" applyNumberFormat="0" applyFill="0" applyAlignment="0" applyProtection="0"/>
    <xf numFmtId="0" fontId="1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13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13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13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53" borderId="0" applyNumberFormat="0" applyBorder="0" applyAlignment="0" applyProtection="0"/>
    <xf numFmtId="0" fontId="24" fillId="54" borderId="0" applyNumberFormat="0" applyBorder="0" applyAlignment="0" applyProtection="0"/>
    <xf numFmtId="0" fontId="13" fillId="55" borderId="0" applyNumberFormat="0" applyBorder="0" applyAlignment="0" applyProtection="0"/>
    <xf numFmtId="0" fontId="24" fillId="56" borderId="0" applyNumberFormat="0" applyBorder="0" applyAlignment="0" applyProtection="0"/>
    <xf numFmtId="0" fontId="24" fillId="57" borderId="0" applyNumberFormat="0" applyBorder="0" applyAlignment="0" applyProtection="0"/>
    <xf numFmtId="0" fontId="24" fillId="58" borderId="0" applyNumberFormat="0" applyBorder="0" applyAlignment="0" applyProtection="0"/>
    <xf numFmtId="0" fontId="13" fillId="59" borderId="0" applyNumberFormat="0" applyBorder="0" applyAlignment="0" applyProtection="0"/>
    <xf numFmtId="0" fontId="24" fillId="60" borderId="0" applyNumberFormat="0" applyBorder="0" applyAlignment="0" applyProtection="0"/>
    <xf numFmtId="0" fontId="24" fillId="61" borderId="0" applyNumberFormat="0" applyBorder="0" applyAlignment="0" applyProtection="0"/>
    <xf numFmtId="0" fontId="24" fillId="62" borderId="0" applyNumberFormat="0" applyBorder="0" applyAlignment="0" applyProtection="0"/>
    <xf numFmtId="0" fontId="61" fillId="0" borderId="0" applyNumberFormat="0" applyFill="0" applyBorder="0" applyAlignment="0" applyProtection="0"/>
    <xf numFmtId="0" fontId="62" fillId="34" borderId="0" applyNumberFormat="0" applyBorder="0" applyAlignment="0" applyProtection="0"/>
    <xf numFmtId="0" fontId="13" fillId="42" borderId="0" applyNumberFormat="0" applyBorder="0" applyAlignment="0" applyProtection="0"/>
    <xf numFmtId="0" fontId="13" fillId="46" borderId="0" applyNumberFormat="0" applyBorder="0" applyAlignment="0" applyProtection="0"/>
    <xf numFmtId="0" fontId="13" fillId="50" borderId="0" applyNumberFormat="0" applyBorder="0" applyAlignment="0" applyProtection="0"/>
    <xf numFmtId="0" fontId="13" fillId="54" borderId="0" applyNumberFormat="0" applyBorder="0" applyAlignment="0" applyProtection="0"/>
    <xf numFmtId="0" fontId="13" fillId="58" borderId="0" applyNumberFormat="0" applyBorder="0" applyAlignment="0" applyProtection="0"/>
    <xf numFmtId="0" fontId="13" fillId="62" borderId="0" applyNumberFormat="0" applyBorder="0" applyAlignment="0" applyProtection="0"/>
  </cellStyleXfs>
  <cellXfs count="411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4" borderId="0" xfId="0" applyFill="1"/>
    <xf numFmtId="0" fontId="0" fillId="0" borderId="0" xfId="0" applyAlignment="1">
      <alignment horizontal="left"/>
    </xf>
    <xf numFmtId="0" fontId="4" fillId="5" borderId="2" xfId="0" applyFont="1" applyFill="1" applyBorder="1" applyAlignment="1">
      <alignment horizontal="center"/>
    </xf>
    <xf numFmtId="0" fontId="0" fillId="6" borderId="3" xfId="0" applyFill="1" applyBorder="1"/>
    <xf numFmtId="164" fontId="0" fillId="6" borderId="3" xfId="0" applyNumberFormat="1" applyFill="1" applyBorder="1" applyAlignment="1">
      <alignment horizontal="right"/>
    </xf>
    <xf numFmtId="0" fontId="0" fillId="6" borderId="3" xfId="0" applyFill="1" applyBorder="1" applyAlignment="1">
      <alignment horizontal="right"/>
    </xf>
    <xf numFmtId="0" fontId="0" fillId="4" borderId="0" xfId="0" applyFill="1" applyAlignment="1">
      <alignment horizontal="center"/>
    </xf>
    <xf numFmtId="0" fontId="0" fillId="0" borderId="0" xfId="0" quotePrefix="1"/>
    <xf numFmtId="0" fontId="9" fillId="5" borderId="4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4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quotePrefix="1" applyProtection="1">
      <protection hidden="1"/>
    </xf>
    <xf numFmtId="0" fontId="0" fillId="0" borderId="0" xfId="0" applyProtection="1">
      <protection hidden="1"/>
    </xf>
    <xf numFmtId="0" fontId="14" fillId="0" borderId="0" xfId="0" applyFont="1" applyAlignment="1" applyProtection="1">
      <alignment horizontal="center"/>
      <protection hidden="1"/>
    </xf>
    <xf numFmtId="0" fontId="13" fillId="0" borderId="0" xfId="0" applyFont="1" applyProtection="1">
      <protection hidden="1"/>
    </xf>
    <xf numFmtId="0" fontId="13" fillId="0" borderId="0" xfId="0" quotePrefix="1" applyFont="1" applyProtection="1">
      <protection hidden="1"/>
    </xf>
    <xf numFmtId="164" fontId="13" fillId="0" borderId="0" xfId="0" applyNumberFormat="1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4" fillId="5" borderId="1" xfId="0" quotePrefix="1" applyFont="1" applyFill="1" applyBorder="1" applyAlignment="1" applyProtection="1">
      <alignment horizontal="center"/>
      <protection locked="0"/>
    </xf>
    <xf numFmtId="0" fontId="4" fillId="5" borderId="7" xfId="0" quotePrefix="1" applyFont="1" applyFill="1" applyBorder="1" applyAlignment="1" applyProtection="1">
      <alignment horizontal="center"/>
      <protection locked="0"/>
    </xf>
    <xf numFmtId="0" fontId="1" fillId="12" borderId="1" xfId="0" applyFont="1" applyFill="1" applyBorder="1" applyAlignment="1" applyProtection="1">
      <alignment horizontal="center" vertical="center"/>
      <protection locked="0"/>
    </xf>
    <xf numFmtId="0" fontId="1" fillId="13" borderId="1" xfId="0" applyFont="1" applyFill="1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 applyProtection="1">
      <alignment horizontal="center" vertical="center"/>
      <protection locked="0"/>
    </xf>
    <xf numFmtId="0" fontId="1" fillId="14" borderId="1" xfId="0" applyFont="1" applyFill="1" applyBorder="1" applyAlignment="1" applyProtection="1">
      <alignment horizontal="center" vertical="center"/>
      <protection locked="0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15" fillId="9" borderId="1" xfId="0" applyFont="1" applyFill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15" borderId="1" xfId="0" applyFont="1" applyFill="1" applyBorder="1" applyAlignment="1" applyProtection="1">
      <alignment horizontal="center" vertical="center"/>
      <protection locked="0"/>
    </xf>
    <xf numFmtId="0" fontId="15" fillId="6" borderId="1" xfId="0" applyFont="1" applyFill="1" applyBorder="1" applyAlignment="1" applyProtection="1">
      <alignment horizontal="right" vertical="center"/>
      <protection locked="0"/>
    </xf>
    <xf numFmtId="0" fontId="1" fillId="14" borderId="1" xfId="0" applyFont="1" applyFill="1" applyBorder="1" applyAlignment="1" applyProtection="1">
      <alignment horizontal="center" vertical="center" wrapText="1"/>
      <protection locked="0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1" fillId="13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 wrapText="1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2" borderId="1" xfId="0" applyFont="1" applyFill="1" applyBorder="1" applyAlignment="1" applyProtection="1">
      <alignment horizontal="center" vertical="center"/>
      <protection hidden="1"/>
    </xf>
    <xf numFmtId="0" fontId="15" fillId="15" borderId="1" xfId="0" applyFont="1" applyFill="1" applyBorder="1" applyAlignment="1" applyProtection="1">
      <alignment horizontal="center" vertical="center"/>
      <protection hidden="1"/>
    </xf>
    <xf numFmtId="0" fontId="15" fillId="6" borderId="1" xfId="0" applyFont="1" applyFill="1" applyBorder="1" applyAlignment="1" applyProtection="1">
      <alignment horizontal="right" vertical="center"/>
      <protection hidden="1"/>
    </xf>
    <xf numFmtId="0" fontId="4" fillId="5" borderId="1" xfId="0" quotePrefix="1" applyFont="1" applyFill="1" applyBorder="1" applyAlignment="1" applyProtection="1">
      <alignment horizontal="center"/>
      <protection hidden="1"/>
    </xf>
    <xf numFmtId="0" fontId="4" fillId="5" borderId="1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164" fontId="13" fillId="0" borderId="0" xfId="0" applyNumberFormat="1" applyFont="1" applyProtection="1">
      <protection hidden="1"/>
    </xf>
    <xf numFmtId="0" fontId="13" fillId="0" borderId="0" xfId="0" applyFont="1" applyAlignment="1" applyProtection="1">
      <alignment horizontal="right"/>
      <protection hidden="1"/>
    </xf>
    <xf numFmtId="1" fontId="13" fillId="0" borderId="0" xfId="0" applyNumberFormat="1" applyFont="1" applyProtection="1">
      <protection hidden="1"/>
    </xf>
    <xf numFmtId="0" fontId="13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0" fontId="0" fillId="6" borderId="3" xfId="0" applyFill="1" applyBorder="1" applyProtection="1"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164" fontId="0" fillId="0" borderId="0" xfId="0" applyNumberFormat="1"/>
    <xf numFmtId="2" fontId="0" fillId="0" borderId="0" xfId="0" applyNumberFormat="1"/>
    <xf numFmtId="0" fontId="4" fillId="5" borderId="1" xfId="0" applyFont="1" applyFill="1" applyBorder="1" applyAlignment="1" applyProtection="1">
      <alignment horizontal="center"/>
      <protection locked="0" hidden="1"/>
    </xf>
    <xf numFmtId="164" fontId="0" fillId="0" borderId="0" xfId="0" applyNumberFormat="1" applyProtection="1">
      <protection locked="0"/>
    </xf>
    <xf numFmtId="0" fontId="11" fillId="0" borderId="0" xfId="0" quotePrefix="1" applyFont="1" applyProtection="1">
      <protection locked="0"/>
    </xf>
    <xf numFmtId="0" fontId="11" fillId="0" borderId="0" xfId="0" applyFont="1" applyProtection="1">
      <protection locked="0"/>
    </xf>
    <xf numFmtId="2" fontId="0" fillId="0" borderId="0" xfId="0" applyNumberFormat="1" applyProtection="1">
      <protection hidden="1"/>
    </xf>
    <xf numFmtId="2" fontId="15" fillId="6" borderId="1" xfId="0" applyNumberFormat="1" applyFont="1" applyFill="1" applyBorder="1" applyAlignment="1" applyProtection="1">
      <alignment horizontal="right" vertical="center"/>
      <protection hidden="1"/>
    </xf>
    <xf numFmtId="2" fontId="13" fillId="0" borderId="0" xfId="0" applyNumberFormat="1" applyFont="1" applyProtection="1">
      <protection hidden="1"/>
    </xf>
    <xf numFmtId="0" fontId="0" fillId="6" borderId="3" xfId="0" applyFill="1" applyBorder="1" applyAlignment="1" applyProtection="1">
      <alignment horizontal="center"/>
      <protection locked="0"/>
    </xf>
    <xf numFmtId="164" fontId="0" fillId="6" borderId="3" xfId="0" applyNumberFormat="1" applyFill="1" applyBorder="1" applyAlignment="1" applyProtection="1">
      <alignment horizontal="right"/>
      <protection locked="0"/>
    </xf>
    <xf numFmtId="0" fontId="0" fillId="6" borderId="3" xfId="0" applyFill="1" applyBorder="1" applyAlignment="1" applyProtection="1">
      <alignment horizontal="right"/>
      <protection locked="0"/>
    </xf>
    <xf numFmtId="0" fontId="17" fillId="0" borderId="0" xfId="0" applyFont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wrapText="1"/>
      <protection hidden="1"/>
    </xf>
    <xf numFmtId="164" fontId="13" fillId="0" borderId="0" xfId="0" applyNumberFormat="1" applyFont="1" applyAlignment="1" applyProtection="1">
      <alignment horizontal="right"/>
      <protection hidden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0" fontId="0" fillId="5" borderId="1" xfId="0" applyFill="1" applyBorder="1"/>
    <xf numFmtId="0" fontId="16" fillId="0" borderId="0" xfId="0" applyFont="1" applyProtection="1">
      <protection locked="0" hidden="1"/>
    </xf>
    <xf numFmtId="0" fontId="18" fillId="0" borderId="13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/>
      <protection hidden="1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27" fillId="0" borderId="0" xfId="0" applyNumberFormat="1" applyFont="1" applyAlignment="1">
      <alignment vertical="center"/>
    </xf>
    <xf numFmtId="0" fontId="13" fillId="0" borderId="0" xfId="0" quotePrefix="1" applyFont="1"/>
    <xf numFmtId="0" fontId="18" fillId="5" borderId="4" xfId="0" applyFont="1" applyFill="1" applyBorder="1" applyAlignment="1" applyProtection="1">
      <alignment horizontal="center" vertical="center"/>
      <protection hidden="1"/>
    </xf>
    <xf numFmtId="0" fontId="18" fillId="5" borderId="5" xfId="0" applyFont="1" applyFill="1" applyBorder="1" applyAlignment="1" applyProtection="1">
      <alignment horizontal="center" vertical="center"/>
      <protection hidden="1"/>
    </xf>
    <xf numFmtId="0" fontId="28" fillId="5" borderId="5" xfId="0" applyFont="1" applyFill="1" applyBorder="1" applyAlignment="1" applyProtection="1">
      <alignment horizontal="center" vertical="center"/>
      <protection hidden="1"/>
    </xf>
    <xf numFmtId="0" fontId="28" fillId="5" borderId="6" xfId="0" applyFont="1" applyFill="1" applyBorder="1" applyAlignment="1" applyProtection="1">
      <alignment horizontal="center" vertical="center"/>
      <protection hidden="1"/>
    </xf>
    <xf numFmtId="0" fontId="25" fillId="0" borderId="4" xfId="0" applyFont="1" applyBorder="1" applyAlignment="1" applyProtection="1">
      <alignment horizontal="center"/>
      <protection hidden="1"/>
    </xf>
    <xf numFmtId="0" fontId="26" fillId="0" borderId="6" xfId="0" applyFont="1" applyBorder="1" applyAlignment="1" applyProtection="1">
      <alignment horizontal="center"/>
      <protection locked="0"/>
    </xf>
    <xf numFmtId="0" fontId="29" fillId="19" borderId="1" xfId="0" applyFont="1" applyFill="1" applyBorder="1"/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1" xfId="0" applyBorder="1" applyProtection="1">
      <protection hidden="1"/>
    </xf>
    <xf numFmtId="164" fontId="0" fillId="0" borderId="1" xfId="0" applyNumberFormat="1" applyBorder="1" applyProtection="1">
      <protection hidden="1"/>
    </xf>
    <xf numFmtId="0" fontId="0" fillId="0" borderId="1" xfId="0" quotePrefix="1" applyBorder="1" applyProtection="1">
      <protection hidden="1"/>
    </xf>
    <xf numFmtId="2" fontId="0" fillId="0" borderId="1" xfId="0" applyNumberFormat="1" applyBorder="1" applyProtection="1">
      <protection hidden="1"/>
    </xf>
    <xf numFmtId="165" fontId="0" fillId="0" borderId="1" xfId="0" quotePrefix="1" applyNumberFormat="1" applyBorder="1" applyProtection="1">
      <protection hidden="1"/>
    </xf>
    <xf numFmtId="165" fontId="0" fillId="0" borderId="0" xfId="0" applyNumberFormat="1" applyAlignment="1" applyProtection="1">
      <alignment horizontal="right"/>
      <protection hidden="1"/>
    </xf>
    <xf numFmtId="0" fontId="0" fillId="0" borderId="1" xfId="0" applyBorder="1" applyAlignment="1" applyProtection="1">
      <alignment horizontal="right"/>
      <protection hidden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5" borderId="1" xfId="0" applyNumberFormat="1" applyFill="1" applyBorder="1"/>
    <xf numFmtId="14" fontId="0" fillId="0" borderId="0" xfId="0" applyNumberFormat="1" applyAlignment="1">
      <alignment horizontal="right" vertical="center"/>
    </xf>
    <xf numFmtId="14" fontId="4" fillId="5" borderId="1" xfId="0" quotePrefix="1" applyNumberFormat="1" applyFont="1" applyFill="1" applyBorder="1" applyAlignment="1" applyProtection="1">
      <alignment horizontal="center"/>
      <protection locked="0"/>
    </xf>
    <xf numFmtId="14" fontId="0" fillId="6" borderId="3" xfId="0" applyNumberFormat="1" applyFill="1" applyBorder="1"/>
    <xf numFmtId="0" fontId="1" fillId="0" borderId="0" xfId="0" applyFont="1" applyAlignment="1">
      <alignment horizontal="left" vertical="center" wrapText="1"/>
    </xf>
    <xf numFmtId="0" fontId="0" fillId="0" borderId="0" xfId="0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hidden="1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hidden="1"/>
    </xf>
    <xf numFmtId="0" fontId="34" fillId="22" borderId="17" xfId="0" applyFont="1" applyFill="1" applyBorder="1" applyAlignment="1">
      <alignment horizontal="center"/>
    </xf>
    <xf numFmtId="0" fontId="29" fillId="0" borderId="0" xfId="0" quotePrefix="1" applyFont="1" applyProtection="1">
      <protection hidden="1"/>
    </xf>
    <xf numFmtId="0" fontId="29" fillId="0" borderId="0" xfId="0" quotePrefix="1" applyFont="1"/>
    <xf numFmtId="0" fontId="16" fillId="0" borderId="0" xfId="0" applyFont="1" applyProtection="1">
      <protection hidden="1"/>
    </xf>
    <xf numFmtId="0" fontId="16" fillId="0" borderId="0" xfId="0" quotePrefix="1" applyFont="1" applyProtection="1">
      <protection hidden="1"/>
    </xf>
    <xf numFmtId="164" fontId="16" fillId="0" borderId="0" xfId="0" applyNumberFormat="1" applyFont="1" applyProtection="1">
      <protection hidden="1"/>
    </xf>
    <xf numFmtId="0" fontId="16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1" fontId="16" fillId="0" borderId="0" xfId="0" applyNumberFormat="1" applyFont="1" applyProtection="1">
      <protection hidden="1"/>
    </xf>
    <xf numFmtId="2" fontId="16" fillId="0" borderId="0" xfId="0" applyNumberFormat="1" applyFont="1" applyProtection="1">
      <protection hidden="1"/>
    </xf>
    <xf numFmtId="0" fontId="0" fillId="23" borderId="1" xfId="0" applyFill="1" applyBorder="1"/>
    <xf numFmtId="0" fontId="16" fillId="0" borderId="0" xfId="0" applyFont="1"/>
    <xf numFmtId="164" fontId="35" fillId="7" borderId="1" xfId="0" applyNumberFormat="1" applyFont="1" applyFill="1" applyBorder="1" applyAlignment="1" applyProtection="1">
      <alignment horizontal="center"/>
      <protection locked="0" hidden="1"/>
    </xf>
    <xf numFmtId="0" fontId="35" fillId="7" borderId="1" xfId="0" applyFont="1" applyFill="1" applyBorder="1" applyAlignment="1" applyProtection="1">
      <alignment horizontal="center"/>
      <protection locked="0" hidden="1"/>
    </xf>
    <xf numFmtId="0" fontId="1" fillId="7" borderId="1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6" xfId="0" applyFont="1" applyFill="1" applyBorder="1"/>
    <xf numFmtId="0" fontId="11" fillId="20" borderId="20" xfId="0" applyFont="1" applyFill="1" applyBorder="1" applyProtection="1">
      <protection locked="0"/>
    </xf>
    <xf numFmtId="0" fontId="17" fillId="5" borderId="21" xfId="0" applyFont="1" applyFill="1" applyBorder="1" applyAlignment="1" applyProtection="1">
      <alignment horizontal="center" vertical="center"/>
      <protection hidden="1"/>
    </xf>
    <xf numFmtId="0" fontId="2" fillId="10" borderId="1" xfId="1" applyFill="1" applyBorder="1" applyProtection="1"/>
    <xf numFmtId="0" fontId="16" fillId="10" borderId="1" xfId="0" applyFont="1" applyFill="1" applyBorder="1" applyProtection="1">
      <protection locked="0" hidden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6" fillId="4" borderId="1" xfId="0" applyFont="1" applyFill="1" applyBorder="1" applyAlignment="1" applyProtection="1">
      <alignment vertical="center"/>
      <protection hidden="1"/>
    </xf>
    <xf numFmtId="0" fontId="16" fillId="4" borderId="1" xfId="0" applyFont="1" applyFill="1" applyBorder="1" applyProtection="1">
      <protection hidden="1"/>
    </xf>
    <xf numFmtId="0" fontId="13" fillId="0" borderId="1" xfId="0" applyFont="1" applyBorder="1" applyAlignment="1" applyProtection="1">
      <alignment vertical="center"/>
      <protection hidden="1"/>
    </xf>
    <xf numFmtId="0" fontId="13" fillId="0" borderId="1" xfId="0" quotePrefix="1" applyFont="1" applyBorder="1" applyAlignment="1" applyProtection="1">
      <alignment vertical="center"/>
      <protection hidden="1"/>
    </xf>
    <xf numFmtId="164" fontId="13" fillId="0" borderId="1" xfId="0" applyNumberFormat="1" applyFont="1" applyBorder="1" applyAlignment="1" applyProtection="1">
      <alignment horizontal="center" vertical="center"/>
      <protection hidden="1"/>
    </xf>
    <xf numFmtId="0" fontId="13" fillId="0" borderId="1" xfId="0" applyFont="1" applyBorder="1" applyAlignment="1" applyProtection="1">
      <alignment horizontal="right" vertical="center"/>
      <protection hidden="1"/>
    </xf>
    <xf numFmtId="0" fontId="13" fillId="0" borderId="1" xfId="0" quotePrefix="1" applyFont="1" applyBorder="1" applyAlignment="1" applyProtection="1">
      <alignment horizontal="center" vertical="center"/>
      <protection hidden="1"/>
    </xf>
    <xf numFmtId="0" fontId="29" fillId="0" borderId="0" xfId="0" applyFont="1" applyProtection="1">
      <protection hidden="1"/>
    </xf>
    <xf numFmtId="0" fontId="29" fillId="0" borderId="0" xfId="0" applyFont="1"/>
    <xf numFmtId="14" fontId="13" fillId="0" borderId="0" xfId="0" applyNumberFormat="1" applyFont="1" applyAlignment="1" applyProtection="1">
      <alignment horizontal="center"/>
      <protection hidden="1"/>
    </xf>
    <xf numFmtId="2" fontId="13" fillId="0" borderId="1" xfId="0" applyNumberFormat="1" applyFont="1" applyBorder="1" applyAlignment="1" applyProtection="1">
      <alignment horizontal="right" vertical="center"/>
      <protection hidden="1"/>
    </xf>
    <xf numFmtId="0" fontId="36" fillId="24" borderId="1" xfId="0" applyFont="1" applyFill="1" applyBorder="1" applyAlignment="1">
      <alignment horizontal="center" vertical="center" wrapText="1"/>
    </xf>
    <xf numFmtId="0" fontId="36" fillId="25" borderId="1" xfId="0" applyFont="1" applyFill="1" applyBorder="1" applyAlignment="1">
      <alignment horizontal="center" vertical="center" wrapText="1"/>
    </xf>
    <xf numFmtId="0" fontId="36" fillId="26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13" fillId="0" borderId="1" xfId="0" applyFont="1" applyBorder="1" applyProtection="1">
      <protection hidden="1"/>
    </xf>
    <xf numFmtId="164" fontId="13" fillId="0" borderId="1" xfId="0" applyNumberFormat="1" applyFont="1" applyBorder="1" applyAlignment="1" applyProtection="1">
      <alignment horizontal="center"/>
      <protection hidden="1"/>
    </xf>
    <xf numFmtId="0" fontId="13" fillId="0" borderId="1" xfId="0" applyFont="1" applyBorder="1" applyAlignment="1" applyProtection="1">
      <alignment horizontal="center"/>
      <protection hidden="1"/>
    </xf>
    <xf numFmtId="0" fontId="10" fillId="27" borderId="23" xfId="0" applyFont="1" applyFill="1" applyBorder="1" applyAlignment="1" applyProtection="1">
      <alignment horizontal="center" vertical="center"/>
      <protection locked="0"/>
    </xf>
    <xf numFmtId="0" fontId="10" fillId="27" borderId="24" xfId="0" applyFont="1" applyFill="1" applyBorder="1" applyAlignment="1" applyProtection="1">
      <alignment horizontal="center" vertical="center"/>
      <protection locked="0"/>
    </xf>
    <xf numFmtId="0" fontId="11" fillId="27" borderId="25" xfId="0" applyFont="1" applyFill="1" applyBorder="1" applyAlignment="1" applyProtection="1">
      <alignment horizontal="center" vertical="center"/>
      <protection hidden="1"/>
    </xf>
    <xf numFmtId="0" fontId="11" fillId="27" borderId="22" xfId="0" applyFont="1" applyFill="1" applyBorder="1" applyAlignment="1" applyProtection="1">
      <alignment horizontal="center" vertical="center"/>
      <protection hidden="1"/>
    </xf>
    <xf numFmtId="0" fontId="3" fillId="20" borderId="1" xfId="0" applyFont="1" applyFill="1" applyBorder="1" applyAlignment="1">
      <alignment vertical="center"/>
    </xf>
    <xf numFmtId="0" fontId="0" fillId="20" borderId="10" xfId="0" applyFill="1" applyBorder="1"/>
    <xf numFmtId="0" fontId="3" fillId="20" borderId="28" xfId="0" applyFont="1" applyFill="1" applyBorder="1" applyAlignment="1">
      <alignment vertical="center"/>
    </xf>
    <xf numFmtId="0" fontId="0" fillId="20" borderId="29" xfId="0" applyFill="1" applyBorder="1"/>
    <xf numFmtId="0" fontId="0" fillId="7" borderId="4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28" borderId="1" xfId="0" applyFill="1" applyBorder="1" applyProtection="1">
      <protection locked="0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3" fillId="20" borderId="26" xfId="0" applyFont="1" applyFill="1" applyBorder="1" applyAlignment="1">
      <alignment horizontal="center" vertical="center"/>
    </xf>
    <xf numFmtId="0" fontId="3" fillId="20" borderId="8" xfId="0" applyFont="1" applyFill="1" applyBorder="1" applyAlignment="1">
      <alignment horizontal="center" vertical="center"/>
    </xf>
    <xf numFmtId="0" fontId="2" fillId="11" borderId="7" xfId="1" applyFill="1" applyBorder="1" applyProtection="1"/>
    <xf numFmtId="0" fontId="0" fillId="29" borderId="9" xfId="0" applyFill="1" applyBorder="1" applyAlignment="1">
      <alignment horizontal="center"/>
    </xf>
    <xf numFmtId="0" fontId="0" fillId="29" borderId="10" xfId="0" applyFill="1" applyBorder="1" applyAlignment="1">
      <alignment horizontal="center"/>
    </xf>
    <xf numFmtId="0" fontId="0" fillId="29" borderId="27" xfId="0" applyFill="1" applyBorder="1" applyAlignment="1">
      <alignment horizontal="center"/>
    </xf>
    <xf numFmtId="0" fontId="0" fillId="29" borderId="29" xfId="0" applyFill="1" applyBorder="1" applyAlignment="1">
      <alignment horizontal="center"/>
    </xf>
    <xf numFmtId="0" fontId="30" fillId="29" borderId="4" xfId="0" applyFont="1" applyFill="1" applyBorder="1" applyAlignment="1">
      <alignment horizontal="center" vertical="center"/>
    </xf>
    <xf numFmtId="0" fontId="30" fillId="29" borderId="6" xfId="0" applyFont="1" applyFill="1" applyBorder="1" applyAlignment="1">
      <alignment horizontal="center" vertical="center"/>
    </xf>
    <xf numFmtId="0" fontId="13" fillId="0" borderId="0" xfId="0" applyFont="1"/>
    <xf numFmtId="1" fontId="13" fillId="0" borderId="0" xfId="0" applyNumberFormat="1" applyFont="1" applyAlignment="1" applyProtection="1">
      <alignment horizontal="center"/>
      <protection hidden="1"/>
    </xf>
    <xf numFmtId="0" fontId="30" fillId="20" borderId="30" xfId="0" applyFont="1" applyFill="1" applyBorder="1" applyAlignment="1">
      <alignment horizontal="center" vertical="center"/>
    </xf>
    <xf numFmtId="0" fontId="30" fillId="20" borderId="5" xfId="0" applyFont="1" applyFill="1" applyBorder="1" applyAlignment="1">
      <alignment horizontal="center" vertical="center"/>
    </xf>
    <xf numFmtId="0" fontId="38" fillId="20" borderId="5" xfId="0" applyFont="1" applyFill="1" applyBorder="1" applyAlignment="1">
      <alignment horizontal="center" vertical="center"/>
    </xf>
    <xf numFmtId="0" fontId="38" fillId="20" borderId="6" xfId="0" applyFont="1" applyFill="1" applyBorder="1" applyAlignment="1">
      <alignment horizontal="center" vertical="center"/>
    </xf>
    <xf numFmtId="0" fontId="2" fillId="2" borderId="31" xfId="1" applyFill="1" applyBorder="1" applyProtection="1"/>
    <xf numFmtId="0" fontId="0" fillId="2" borderId="0" xfId="0" applyFill="1"/>
    <xf numFmtId="0" fontId="0" fillId="2" borderId="32" xfId="0" applyFill="1" applyBorder="1"/>
    <xf numFmtId="0" fontId="2" fillId="10" borderId="28" xfId="1" applyFill="1" applyBorder="1" applyProtection="1"/>
    <xf numFmtId="0" fontId="2" fillId="11" borderId="25" xfId="1" applyFill="1" applyBorder="1" applyProtection="1"/>
    <xf numFmtId="0" fontId="30" fillId="17" borderId="4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1" fillId="5" borderId="4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0" fontId="13" fillId="0" borderId="0" xfId="0" quotePrefix="1" applyFont="1" applyAlignment="1" applyProtection="1">
      <alignment horizontal="center"/>
      <protection locked="0" hidden="1"/>
    </xf>
    <xf numFmtId="2" fontId="13" fillId="0" borderId="0" xfId="0" quotePrefix="1" applyNumberFormat="1" applyFont="1" applyProtection="1">
      <protection hidden="1"/>
    </xf>
    <xf numFmtId="14" fontId="0" fillId="0" borderId="0" xfId="0" applyNumberFormat="1" applyProtection="1">
      <protection locked="0"/>
    </xf>
    <xf numFmtId="0" fontId="13" fillId="0" borderId="0" xfId="0" quotePrefix="1" applyFont="1" applyAlignment="1" applyProtection="1">
      <alignment horizontal="center"/>
      <protection hidden="1"/>
    </xf>
    <xf numFmtId="0" fontId="39" fillId="7" borderId="4" xfId="0" applyFont="1" applyFill="1" applyBorder="1"/>
    <xf numFmtId="0" fontId="39" fillId="7" borderId="5" xfId="0" applyFont="1" applyFill="1" applyBorder="1"/>
    <xf numFmtId="0" fontId="39" fillId="7" borderId="6" xfId="0" applyFont="1" applyFill="1" applyBorder="1"/>
    <xf numFmtId="0" fontId="0" fillId="30" borderId="4" xfId="0" applyFill="1" applyBorder="1" applyAlignment="1">
      <alignment horizontal="center" vertical="center"/>
    </xf>
    <xf numFmtId="0" fontId="0" fillId="30" borderId="5" xfId="0" applyFill="1" applyBorder="1" applyAlignment="1">
      <alignment horizontal="center" vertical="center"/>
    </xf>
    <xf numFmtId="0" fontId="0" fillId="10" borderId="1" xfId="0" applyFill="1" applyBorder="1" applyProtection="1">
      <protection locked="0"/>
    </xf>
    <xf numFmtId="0" fontId="1" fillId="21" borderId="1" xfId="0" applyFont="1" applyFill="1" applyBorder="1" applyAlignment="1" applyProtection="1">
      <alignment horizontal="center"/>
      <protection locked="0"/>
    </xf>
    <xf numFmtId="0" fontId="35" fillId="7" borderId="1" xfId="0" quotePrefix="1" applyFont="1" applyFill="1" applyBorder="1" applyAlignment="1" applyProtection="1">
      <alignment horizontal="center"/>
      <protection locked="0" hidden="1"/>
    </xf>
    <xf numFmtId="0" fontId="1" fillId="27" borderId="24" xfId="0" applyFont="1" applyFill="1" applyBorder="1" applyAlignment="1" applyProtection="1">
      <alignment horizontal="center"/>
      <protection locked="0"/>
    </xf>
    <xf numFmtId="0" fontId="0" fillId="27" borderId="22" xfId="0" applyFill="1" applyBorder="1" applyAlignment="1" applyProtection="1">
      <alignment horizontal="center"/>
      <protection locked="0"/>
    </xf>
    <xf numFmtId="0" fontId="10" fillId="9" borderId="36" xfId="0" applyFont="1" applyFill="1" applyBorder="1" applyAlignment="1" applyProtection="1">
      <alignment horizontal="center" vertical="center"/>
      <protection hidden="1"/>
    </xf>
    <xf numFmtId="0" fontId="10" fillId="11" borderId="36" xfId="0" applyFont="1" applyFill="1" applyBorder="1" applyAlignment="1" applyProtection="1">
      <alignment horizontal="center" vertical="center"/>
      <protection hidden="1"/>
    </xf>
    <xf numFmtId="0" fontId="10" fillId="14" borderId="36" xfId="0" applyFont="1" applyFill="1" applyBorder="1" applyAlignment="1" applyProtection="1">
      <alignment horizontal="center" vertical="center"/>
      <protection hidden="1"/>
    </xf>
    <xf numFmtId="0" fontId="10" fillId="14" borderId="37" xfId="0" applyFont="1" applyFill="1" applyBorder="1" applyAlignment="1" applyProtection="1">
      <alignment horizontal="center" vertical="center"/>
      <protection hidden="1"/>
    </xf>
    <xf numFmtId="0" fontId="11" fillId="10" borderId="12" xfId="0" applyFont="1" applyFill="1" applyBorder="1" applyAlignment="1" applyProtection="1">
      <alignment horizontal="center" vertical="center"/>
      <protection hidden="1"/>
    </xf>
    <xf numFmtId="0" fontId="11" fillId="2" borderId="12" xfId="0" applyFont="1" applyFill="1" applyBorder="1" applyAlignment="1" applyProtection="1">
      <alignment horizontal="center" vertical="center"/>
      <protection hidden="1"/>
    </xf>
    <xf numFmtId="2" fontId="15" fillId="18" borderId="12" xfId="0" applyNumberFormat="1" applyFont="1" applyFill="1" applyBorder="1" applyAlignment="1" applyProtection="1">
      <alignment horizontal="right" vertical="center"/>
      <protection hidden="1"/>
    </xf>
    <xf numFmtId="1" fontId="15" fillId="18" borderId="12" xfId="0" applyNumberFormat="1" applyFont="1" applyFill="1" applyBorder="1" applyAlignment="1" applyProtection="1">
      <alignment horizontal="center" vertical="center"/>
      <protection hidden="1"/>
    </xf>
    <xf numFmtId="164" fontId="13" fillId="0" borderId="0" xfId="0" applyNumberFormat="1" applyFont="1" applyAlignment="1" applyProtection="1">
      <alignment horizontal="center"/>
      <protection locked="0" hidden="1"/>
    </xf>
    <xf numFmtId="0" fontId="36" fillId="7" borderId="4" xfId="0" applyFont="1" applyFill="1" applyBorder="1"/>
    <xf numFmtId="0" fontId="36" fillId="7" borderId="5" xfId="0" applyFont="1" applyFill="1" applyBorder="1"/>
    <xf numFmtId="0" fontId="36" fillId="7" borderId="6" xfId="0" applyFont="1" applyFill="1" applyBorder="1"/>
    <xf numFmtId="0" fontId="2" fillId="10" borderId="1" xfId="1" applyFill="1" applyBorder="1" applyProtection="1">
      <protection locked="0"/>
    </xf>
    <xf numFmtId="0" fontId="2" fillId="11" borderId="7" xfId="1" applyFill="1" applyBorder="1" applyProtection="1">
      <protection locked="0"/>
    </xf>
    <xf numFmtId="0" fontId="0" fillId="29" borderId="9" xfId="0" applyFill="1" applyBorder="1" applyAlignment="1" applyProtection="1">
      <alignment horizontal="center"/>
      <protection locked="0"/>
    </xf>
    <xf numFmtId="0" fontId="0" fillId="29" borderId="10" xfId="0" applyFill="1" applyBorder="1" applyAlignment="1" applyProtection="1">
      <alignment horizontal="center"/>
      <protection locked="0"/>
    </xf>
    <xf numFmtId="0" fontId="3" fillId="20" borderId="8" xfId="0" applyFont="1" applyFill="1" applyBorder="1" applyAlignment="1" applyProtection="1">
      <alignment horizontal="center" vertical="center"/>
      <protection locked="0"/>
    </xf>
    <xf numFmtId="0" fontId="3" fillId="20" borderId="1" xfId="0" applyFont="1" applyFill="1" applyBorder="1" applyAlignment="1" applyProtection="1">
      <alignment vertical="center"/>
      <protection locked="0"/>
    </xf>
    <xf numFmtId="0" fontId="0" fillId="20" borderId="10" xfId="0" applyFill="1" applyBorder="1" applyProtection="1">
      <protection locked="0"/>
    </xf>
    <xf numFmtId="0" fontId="0" fillId="2" borderId="31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2" borderId="32" xfId="0" applyFill="1" applyBorder="1" applyProtection="1">
      <protection locked="0"/>
    </xf>
    <xf numFmtId="0" fontId="13" fillId="0" borderId="1" xfId="0" applyFont="1" applyBorder="1" applyAlignment="1" applyProtection="1">
      <alignment vertical="center"/>
      <protection locked="0" hidden="1"/>
    </xf>
    <xf numFmtId="0" fontId="13" fillId="0" borderId="1" xfId="0" quotePrefix="1" applyFont="1" applyBorder="1" applyAlignment="1" applyProtection="1">
      <alignment vertical="center"/>
      <protection locked="0" hidden="1"/>
    </xf>
    <xf numFmtId="164" fontId="13" fillId="0" borderId="1" xfId="0" applyNumberFormat="1" applyFont="1" applyBorder="1" applyAlignment="1" applyProtection="1">
      <alignment horizontal="center" vertical="center"/>
      <protection locked="0" hidden="1"/>
    </xf>
    <xf numFmtId="0" fontId="13" fillId="0" borderId="1" xfId="0" applyFont="1" applyBorder="1" applyAlignment="1" applyProtection="1">
      <alignment horizontal="right" vertical="center"/>
      <protection locked="0" hidden="1"/>
    </xf>
    <xf numFmtId="0" fontId="13" fillId="0" borderId="1" xfId="0" quotePrefix="1" applyFont="1" applyBorder="1" applyAlignment="1" applyProtection="1">
      <alignment horizontal="center" vertical="center"/>
      <protection locked="0" hidden="1"/>
    </xf>
    <xf numFmtId="2" fontId="13" fillId="0" borderId="1" xfId="0" applyNumberFormat="1" applyFont="1" applyBorder="1" applyAlignment="1" applyProtection="1">
      <alignment horizontal="right" vertical="center"/>
      <protection locked="0" hidden="1"/>
    </xf>
    <xf numFmtId="0" fontId="0" fillId="29" borderId="11" xfId="0" applyFill="1" applyBorder="1" applyAlignment="1" applyProtection="1">
      <alignment horizontal="center"/>
      <protection locked="0"/>
    </xf>
    <xf numFmtId="0" fontId="0" fillId="29" borderId="16" xfId="0" applyFill="1" applyBorder="1" applyAlignment="1" applyProtection="1">
      <alignment horizontal="center"/>
      <protection locked="0"/>
    </xf>
    <xf numFmtId="0" fontId="2" fillId="11" borderId="1" xfId="1" applyFill="1" applyBorder="1" applyProtection="1">
      <protection locked="0"/>
    </xf>
    <xf numFmtId="0" fontId="0" fillId="0" borderId="28" xfId="0" applyBorder="1" applyAlignment="1" applyProtection="1">
      <alignment horizontal="center"/>
      <protection locked="0"/>
    </xf>
    <xf numFmtId="0" fontId="3" fillId="20" borderId="9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2" fillId="2" borderId="31" xfId="1" applyFill="1" applyBorder="1" applyProtection="1">
      <protection locked="0"/>
    </xf>
    <xf numFmtId="0" fontId="0" fillId="20" borderId="9" xfId="0" applyFill="1" applyBorder="1" applyAlignment="1" applyProtection="1">
      <alignment horizontal="center"/>
      <protection locked="0"/>
    </xf>
    <xf numFmtId="0" fontId="2" fillId="20" borderId="1" xfId="1" applyFill="1" applyBorder="1" applyProtection="1">
      <protection locked="0"/>
    </xf>
    <xf numFmtId="0" fontId="0" fillId="20" borderId="1" xfId="0" applyFill="1" applyBorder="1" applyProtection="1">
      <protection locked="0"/>
    </xf>
    <xf numFmtId="0" fontId="0" fillId="20" borderId="11" xfId="0" applyFill="1" applyBorder="1" applyAlignment="1" applyProtection="1">
      <alignment horizontal="center"/>
      <protection locked="0"/>
    </xf>
    <xf numFmtId="0" fontId="0" fillId="20" borderId="12" xfId="0" applyFill="1" applyBorder="1" applyProtection="1">
      <protection locked="0"/>
    </xf>
    <xf numFmtId="0" fontId="0" fillId="20" borderId="16" xfId="0" applyFill="1" applyBorder="1" applyProtection="1">
      <protection locked="0"/>
    </xf>
    <xf numFmtId="0" fontId="2" fillId="2" borderId="15" xfId="1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4" fillId="0" borderId="0" xfId="1" applyFont="1" applyFill="1" applyProtection="1">
      <protection locked="0"/>
    </xf>
    <xf numFmtId="0" fontId="2" fillId="0" borderId="0" xfId="1" applyFill="1" applyProtection="1">
      <protection locked="0"/>
    </xf>
    <xf numFmtId="0" fontId="2" fillId="10" borderId="1" xfId="2" applyFill="1" applyBorder="1" applyProtection="1">
      <protection locked="0"/>
    </xf>
    <xf numFmtId="0" fontId="3" fillId="10" borderId="1" xfId="0" applyFont="1" applyFill="1" applyBorder="1" applyAlignment="1" applyProtection="1">
      <alignment vertical="center"/>
      <protection locked="0"/>
    </xf>
    <xf numFmtId="0" fontId="3" fillId="11" borderId="1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locked="0"/>
    </xf>
    <xf numFmtId="0" fontId="1" fillId="0" borderId="0" xfId="0" applyFont="1" applyAlignment="1" applyProtection="1">
      <alignment horizontal="center"/>
      <protection hidden="1"/>
    </xf>
    <xf numFmtId="0" fontId="1" fillId="10" borderId="38" xfId="0" applyFont="1" applyFill="1" applyBorder="1" applyAlignment="1" applyProtection="1">
      <alignment horizontal="right" vertical="center"/>
      <protection hidden="1"/>
    </xf>
    <xf numFmtId="2" fontId="15" fillId="6" borderId="39" xfId="0" applyNumberFormat="1" applyFont="1" applyFill="1" applyBorder="1" applyAlignment="1" applyProtection="1">
      <alignment horizontal="right" vertical="center"/>
      <protection hidden="1"/>
    </xf>
    <xf numFmtId="0" fontId="10" fillId="14" borderId="35" xfId="0" applyFont="1" applyFill="1" applyBorder="1" applyAlignment="1" applyProtection="1">
      <alignment horizontal="center" vertical="center"/>
      <protection hidden="1"/>
    </xf>
    <xf numFmtId="0" fontId="11" fillId="16" borderId="11" xfId="0" applyFont="1" applyFill="1" applyBorder="1" applyAlignment="1" applyProtection="1">
      <alignment horizontal="center" vertical="center"/>
      <protection hidden="1"/>
    </xf>
    <xf numFmtId="10" fontId="0" fillId="16" borderId="12" xfId="13" applyNumberFormat="1" applyFont="1" applyFill="1" applyBorder="1" applyAlignment="1" applyProtection="1">
      <alignment horizontal="center"/>
      <protection hidden="1"/>
    </xf>
    <xf numFmtId="1" fontId="0" fillId="13" borderId="16" xfId="13" applyNumberFormat="1" applyFont="1" applyFill="1" applyBorder="1" applyAlignment="1" applyProtection="1">
      <alignment horizontal="center" vertical="center"/>
      <protection locked="0"/>
    </xf>
    <xf numFmtId="0" fontId="41" fillId="31" borderId="1" xfId="0" applyFont="1" applyFill="1" applyBorder="1" applyAlignment="1">
      <alignment horizontal="center" vertical="center" wrapText="1"/>
    </xf>
    <xf numFmtId="0" fontId="29" fillId="0" borderId="0" xfId="0" applyFont="1" applyAlignment="1" applyProtection="1">
      <alignment horizontal="center"/>
      <protection hidden="1"/>
    </xf>
    <xf numFmtId="0" fontId="29" fillId="0" borderId="0" xfId="0" quotePrefix="1" applyFont="1" applyAlignment="1" applyProtection="1">
      <alignment horizontal="center"/>
      <protection hidden="1"/>
    </xf>
    <xf numFmtId="0" fontId="38" fillId="7" borderId="1" xfId="0" applyFont="1" applyFill="1" applyBorder="1" applyAlignment="1">
      <alignment horizontal="center"/>
    </xf>
    <xf numFmtId="0" fontId="38" fillId="7" borderId="1" xfId="0" quotePrefix="1" applyFont="1" applyFill="1" applyBorder="1" applyAlignment="1">
      <alignment horizontal="center"/>
    </xf>
    <xf numFmtId="0" fontId="0" fillId="30" borderId="1" xfId="0" applyFill="1" applyBorder="1" applyAlignment="1">
      <alignment horizontal="center" vertical="center"/>
    </xf>
    <xf numFmtId="0" fontId="13" fillId="0" borderId="0" xfId="0" applyFont="1" applyAlignment="1" applyProtection="1">
      <alignment horizontal="left"/>
      <protection hidden="1"/>
    </xf>
    <xf numFmtId="0" fontId="29" fillId="19" borderId="1" xfId="0" applyFont="1" applyFill="1" applyBorder="1" applyAlignment="1">
      <alignment horizontal="center"/>
    </xf>
    <xf numFmtId="2" fontId="29" fillId="0" borderId="0" xfId="0" applyNumberFormat="1" applyFont="1" applyAlignment="1" applyProtection="1">
      <alignment horizontal="center"/>
      <protection hidden="1"/>
    </xf>
    <xf numFmtId="0" fontId="4" fillId="20" borderId="0" xfId="0" quotePrefix="1" applyFont="1" applyFill="1" applyAlignment="1" applyProtection="1">
      <alignment horizontal="center"/>
      <protection locked="0"/>
    </xf>
    <xf numFmtId="0" fontId="42" fillId="20" borderId="40" xfId="0" applyFont="1" applyFill="1" applyBorder="1" applyAlignment="1">
      <alignment horizontal="center" vertical="center"/>
    </xf>
    <xf numFmtId="0" fontId="15" fillId="20" borderId="41" xfId="0" applyFont="1" applyFill="1" applyBorder="1" applyAlignment="1" applyProtection="1">
      <alignment horizontal="center" vertical="center"/>
      <protection locked="0"/>
    </xf>
    <xf numFmtId="0" fontId="0" fillId="20" borderId="41" xfId="0" applyFill="1" applyBorder="1" applyAlignment="1">
      <alignment horizontal="right" vertical="center"/>
    </xf>
    <xf numFmtId="0" fontId="0" fillId="20" borderId="42" xfId="0" applyFill="1" applyBorder="1" applyAlignment="1" applyProtection="1">
      <alignment horizontal="center" vertical="center"/>
      <protection locked="0"/>
    </xf>
    <xf numFmtId="0" fontId="1" fillId="12" borderId="35" xfId="0" applyFont="1" applyFill="1" applyBorder="1" applyAlignment="1" applyProtection="1">
      <alignment horizontal="center" vertical="center"/>
      <protection hidden="1"/>
    </xf>
    <xf numFmtId="0" fontId="1" fillId="13" borderId="36" xfId="0" applyFont="1" applyFill="1" applyBorder="1" applyAlignment="1" applyProtection="1">
      <alignment horizontal="center" vertical="center"/>
      <protection hidden="1"/>
    </xf>
    <xf numFmtId="0" fontId="1" fillId="11" borderId="36" xfId="0" applyFont="1" applyFill="1" applyBorder="1" applyAlignment="1" applyProtection="1">
      <alignment horizontal="center" vertical="center"/>
      <protection hidden="1"/>
    </xf>
    <xf numFmtId="0" fontId="1" fillId="7" borderId="36" xfId="0" applyFont="1" applyFill="1" applyBorder="1" applyAlignment="1" applyProtection="1">
      <alignment horizontal="center" vertical="center"/>
      <protection hidden="1"/>
    </xf>
    <xf numFmtId="0" fontId="1" fillId="23" borderId="36" xfId="0" applyFont="1" applyFill="1" applyBorder="1" applyAlignment="1" applyProtection="1">
      <alignment horizontal="center" vertical="center"/>
      <protection hidden="1"/>
    </xf>
    <xf numFmtId="0" fontId="1" fillId="14" borderId="36" xfId="0" applyFont="1" applyFill="1" applyBorder="1" applyAlignment="1" applyProtection="1">
      <alignment horizontal="center" vertical="center"/>
      <protection hidden="1"/>
    </xf>
    <xf numFmtId="0" fontId="1" fillId="10" borderId="36" xfId="0" applyFont="1" applyFill="1" applyBorder="1" applyAlignment="1" applyProtection="1">
      <alignment horizontal="center" vertical="center"/>
      <protection hidden="1"/>
    </xf>
    <xf numFmtId="0" fontId="1" fillId="14" borderId="37" xfId="0" applyFont="1" applyFill="1" applyBorder="1" applyAlignment="1" applyProtection="1">
      <alignment horizontal="center" vertical="center" wrapText="1"/>
      <protection hidden="1"/>
    </xf>
    <xf numFmtId="0" fontId="4" fillId="20" borderId="31" xfId="0" quotePrefix="1" applyFont="1" applyFill="1" applyBorder="1" applyAlignment="1" applyProtection="1">
      <alignment horizontal="center"/>
      <protection locked="0"/>
    </xf>
    <xf numFmtId="0" fontId="4" fillId="20" borderId="32" xfId="0" quotePrefix="1" applyFont="1" applyFill="1" applyBorder="1" applyAlignment="1" applyProtection="1">
      <alignment horizontal="center"/>
      <protection locked="0"/>
    </xf>
    <xf numFmtId="0" fontId="15" fillId="9" borderId="43" xfId="0" applyFont="1" applyFill="1" applyBorder="1" applyAlignment="1" applyProtection="1">
      <alignment horizontal="center" vertical="center"/>
      <protection hidden="1"/>
    </xf>
    <xf numFmtId="0" fontId="15" fillId="3" borderId="3" xfId="0" applyFont="1" applyFill="1" applyBorder="1" applyAlignment="1" applyProtection="1">
      <alignment horizontal="center" vertical="center"/>
      <protection hidden="1"/>
    </xf>
    <xf numFmtId="0" fontId="15" fillId="2" borderId="3" xfId="0" applyFont="1" applyFill="1" applyBorder="1" applyAlignment="1" applyProtection="1">
      <alignment horizontal="center" vertical="center"/>
      <protection hidden="1"/>
    </xf>
    <xf numFmtId="0" fontId="15" fillId="20" borderId="3" xfId="0" applyFont="1" applyFill="1" applyBorder="1" applyAlignment="1" applyProtection="1">
      <alignment horizontal="center" vertical="center"/>
      <protection hidden="1"/>
    </xf>
    <xf numFmtId="0" fontId="15" fillId="27" borderId="3" xfId="0" applyFont="1" applyFill="1" applyBorder="1" applyAlignment="1" applyProtection="1">
      <alignment horizontal="center" vertical="center"/>
      <protection hidden="1"/>
    </xf>
    <xf numFmtId="0" fontId="15" fillId="15" borderId="3" xfId="0" applyFont="1" applyFill="1" applyBorder="1" applyAlignment="1" applyProtection="1">
      <alignment horizontal="center" vertical="center"/>
      <protection hidden="1"/>
    </xf>
    <xf numFmtId="0" fontId="15" fillId="6" borderId="3" xfId="0" applyFont="1" applyFill="1" applyBorder="1" applyAlignment="1" applyProtection="1">
      <alignment horizontal="center" vertical="center"/>
      <protection hidden="1"/>
    </xf>
    <xf numFmtId="0" fontId="15" fillId="15" borderId="44" xfId="0" applyFont="1" applyFill="1" applyBorder="1" applyAlignment="1" applyProtection="1">
      <alignment horizontal="center" vertical="center"/>
      <protection hidden="1"/>
    </xf>
    <xf numFmtId="0" fontId="41" fillId="31" borderId="28" xfId="0" applyFont="1" applyFill="1" applyBorder="1" applyAlignment="1">
      <alignment horizontal="center" vertical="center" wrapText="1"/>
    </xf>
    <xf numFmtId="0" fontId="0" fillId="6" borderId="33" xfId="0" applyFill="1" applyBorder="1"/>
    <xf numFmtId="0" fontId="0" fillId="6" borderId="33" xfId="0" quotePrefix="1" applyFill="1" applyBorder="1" applyProtection="1">
      <protection locked="0"/>
    </xf>
    <xf numFmtId="0" fontId="0" fillId="0" borderId="42" xfId="0" applyBorder="1" applyAlignment="1">
      <alignment horizontal="center" vertical="center"/>
    </xf>
    <xf numFmtId="0" fontId="4" fillId="5" borderId="45" xfId="0" quotePrefix="1" applyFont="1" applyFill="1" applyBorder="1" applyAlignment="1" applyProtection="1">
      <alignment horizontal="center"/>
      <protection locked="0"/>
    </xf>
    <xf numFmtId="0" fontId="19" fillId="0" borderId="13" xfId="0" applyFont="1" applyBorder="1" applyAlignment="1" applyProtection="1">
      <alignment horizontal="center" vertical="center"/>
      <protection hidden="1"/>
    </xf>
    <xf numFmtId="0" fontId="0" fillId="9" borderId="1" xfId="0" applyFill="1" applyBorder="1" applyProtection="1">
      <protection locked="0" hidden="1"/>
    </xf>
    <xf numFmtId="0" fontId="0" fillId="9" borderId="1" xfId="0" applyFill="1" applyBorder="1" applyAlignment="1" applyProtection="1">
      <alignment horizontal="center"/>
      <protection locked="0" hidden="1"/>
    </xf>
    <xf numFmtId="14" fontId="0" fillId="9" borderId="1" xfId="0" applyNumberFormat="1" applyFill="1" applyBorder="1" applyAlignment="1" applyProtection="1">
      <alignment horizontal="center"/>
      <protection locked="0" hidden="1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11" borderId="31" xfId="0" applyFill="1" applyBorder="1" applyProtection="1">
      <protection locked="0"/>
    </xf>
    <xf numFmtId="0" fontId="0" fillId="11" borderId="32" xfId="0" applyFill="1" applyBorder="1"/>
    <xf numFmtId="0" fontId="0" fillId="11" borderId="32" xfId="0" applyFill="1" applyBorder="1" applyProtection="1">
      <protection locked="0"/>
    </xf>
    <xf numFmtId="0" fontId="0" fillId="0" borderId="0" xfId="0" applyProtection="1">
      <protection locked="0" hidden="1"/>
    </xf>
    <xf numFmtId="0" fontId="0" fillId="9" borderId="9" xfId="0" applyFill="1" applyBorder="1" applyAlignment="1" applyProtection="1">
      <alignment vertical="center"/>
      <protection locked="0" hidden="1"/>
    </xf>
    <xf numFmtId="0" fontId="0" fillId="29" borderId="10" xfId="0" applyFill="1" applyBorder="1" applyAlignment="1" applyProtection="1">
      <alignment horizontal="center" vertical="center"/>
      <protection locked="0"/>
    </xf>
    <xf numFmtId="14" fontId="0" fillId="29" borderId="10" xfId="0" applyNumberFormat="1" applyFill="1" applyBorder="1" applyAlignment="1" applyProtection="1">
      <alignment horizontal="center" vertical="center"/>
      <protection locked="0"/>
    </xf>
    <xf numFmtId="0" fontId="0" fillId="9" borderId="11" xfId="0" applyFill="1" applyBorder="1" applyAlignment="1" applyProtection="1">
      <alignment vertical="center"/>
      <protection locked="0" hidden="1"/>
    </xf>
    <xf numFmtId="0" fontId="15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 hidden="1"/>
    </xf>
    <xf numFmtId="14" fontId="0" fillId="29" borderId="16" xfId="0" applyNumberFormat="1" applyFill="1" applyBorder="1" applyAlignment="1" applyProtection="1">
      <alignment horizontal="center" vertical="center"/>
      <protection locked="0"/>
    </xf>
    <xf numFmtId="2" fontId="0" fillId="0" borderId="1" xfId="0" quotePrefix="1" applyNumberFormat="1" applyBorder="1" applyProtection="1">
      <protection hidden="1"/>
    </xf>
    <xf numFmtId="2" fontId="0" fillId="0" borderId="0" xfId="0" applyNumberFormat="1" applyProtection="1">
      <protection locked="0"/>
    </xf>
    <xf numFmtId="2" fontId="1" fillId="21" borderId="1" xfId="0" applyNumberFormat="1" applyFont="1" applyFill="1" applyBorder="1" applyAlignment="1" applyProtection="1">
      <alignment horizontal="center"/>
      <protection locked="0"/>
    </xf>
    <xf numFmtId="14" fontId="1" fillId="21" borderId="1" xfId="0" applyNumberFormat="1" applyFont="1" applyFill="1" applyBorder="1" applyAlignment="1" applyProtection="1">
      <alignment horizontal="center"/>
      <protection locked="0"/>
    </xf>
    <xf numFmtId="0" fontId="10" fillId="8" borderId="46" xfId="0" applyFont="1" applyFill="1" applyBorder="1" applyAlignment="1" applyProtection="1">
      <alignment horizontal="center" vertical="center"/>
      <protection hidden="1"/>
    </xf>
    <xf numFmtId="0" fontId="11" fillId="7" borderId="47" xfId="0" applyFont="1" applyFill="1" applyBorder="1" applyAlignment="1" applyProtection="1">
      <alignment horizontal="center" vertical="center"/>
      <protection hidden="1"/>
    </xf>
    <xf numFmtId="0" fontId="10" fillId="8" borderId="40" xfId="0" applyFont="1" applyFill="1" applyBorder="1" applyAlignment="1" applyProtection="1">
      <alignment horizontal="center" vertical="center"/>
      <protection locked="0"/>
    </xf>
    <xf numFmtId="0" fontId="10" fillId="0" borderId="41" xfId="0" applyFont="1" applyBorder="1" applyAlignment="1" applyProtection="1">
      <alignment vertical="center"/>
      <protection locked="0"/>
    </xf>
    <xf numFmtId="0" fontId="11" fillId="0" borderId="42" xfId="0" applyFont="1" applyBorder="1" applyProtection="1">
      <protection locked="0"/>
    </xf>
    <xf numFmtId="0" fontId="11" fillId="7" borderId="15" xfId="0" applyFont="1" applyFill="1" applyBorder="1" applyAlignment="1" applyProtection="1">
      <alignment horizontal="center" vertical="center"/>
      <protection locked="0"/>
    </xf>
    <xf numFmtId="0" fontId="11" fillId="0" borderId="18" xfId="0" applyFont="1" applyBorder="1" applyAlignment="1" applyProtection="1">
      <alignment vertical="center"/>
      <protection locked="0"/>
    </xf>
    <xf numFmtId="0" fontId="11" fillId="0" borderId="19" xfId="0" applyFont="1" applyBorder="1" applyProtection="1">
      <protection locked="0"/>
    </xf>
    <xf numFmtId="0" fontId="10" fillId="4" borderId="48" xfId="0" applyFont="1" applyFill="1" applyBorder="1" applyAlignment="1" applyProtection="1">
      <alignment horizontal="center" vertical="center"/>
      <protection locked="0"/>
    </xf>
    <xf numFmtId="0" fontId="11" fillId="4" borderId="49" xfId="0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left"/>
      <protection hidden="1"/>
    </xf>
    <xf numFmtId="0" fontId="1" fillId="6" borderId="33" xfId="0" applyFont="1" applyFill="1" applyBorder="1"/>
    <xf numFmtId="0" fontId="1" fillId="6" borderId="13" xfId="0" applyFont="1" applyFill="1" applyBorder="1" applyProtection="1">
      <protection locked="0"/>
    </xf>
    <xf numFmtId="0" fontId="0" fillId="6" borderId="33" xfId="0" applyFill="1" applyBorder="1" applyAlignment="1" applyProtection="1">
      <alignment horizontal="left" vertical="center"/>
      <protection locked="0"/>
    </xf>
    <xf numFmtId="0" fontId="0" fillId="6" borderId="33" xfId="0" applyFill="1" applyBorder="1" applyAlignment="1">
      <alignment horizontal="left"/>
    </xf>
    <xf numFmtId="0" fontId="0" fillId="6" borderId="14" xfId="0" applyFill="1" applyBorder="1" applyAlignment="1">
      <alignment horizontal="center" vertical="center"/>
    </xf>
    <xf numFmtId="0" fontId="46" fillId="6" borderId="33" xfId="0" applyFont="1" applyFill="1" applyBorder="1" applyAlignment="1">
      <alignment horizontal="center" vertical="center"/>
    </xf>
    <xf numFmtId="0" fontId="46" fillId="6" borderId="33" xfId="0" applyFont="1" applyFill="1" applyBorder="1" applyAlignment="1">
      <alignment horizontal="left" vertical="center"/>
    </xf>
    <xf numFmtId="0" fontId="45" fillId="6" borderId="13" xfId="0" applyFont="1" applyFill="1" applyBorder="1" applyAlignment="1">
      <alignment horizontal="right" vertical="center"/>
    </xf>
    <xf numFmtId="0" fontId="45" fillId="6" borderId="13" xfId="0" applyFont="1" applyFill="1" applyBorder="1" applyAlignment="1" applyProtection="1">
      <alignment horizontal="right" vertical="center"/>
      <protection locked="0"/>
    </xf>
    <xf numFmtId="0" fontId="16" fillId="0" borderId="0" xfId="0" quotePrefix="1" applyFont="1" applyAlignment="1" applyProtection="1">
      <alignment horizontal="center"/>
      <protection hidden="1"/>
    </xf>
    <xf numFmtId="1" fontId="16" fillId="0" borderId="0" xfId="0" applyNumberFormat="1" applyFont="1" applyAlignment="1" applyProtection="1">
      <alignment horizontal="center"/>
      <protection hidden="1"/>
    </xf>
    <xf numFmtId="164" fontId="16" fillId="0" borderId="0" xfId="0" applyNumberFormat="1" applyFont="1" applyAlignment="1" applyProtection="1">
      <alignment horizontal="center"/>
      <protection hidden="1"/>
    </xf>
    <xf numFmtId="0" fontId="13" fillId="8" borderId="0" xfId="0" applyFont="1" applyFill="1"/>
    <xf numFmtId="2" fontId="13" fillId="4" borderId="0" xfId="0" applyNumberFormat="1" applyFont="1" applyFill="1" applyAlignment="1" applyProtection="1">
      <alignment horizontal="right"/>
      <protection locked="0" hidden="1"/>
    </xf>
    <xf numFmtId="0" fontId="11" fillId="27" borderId="22" xfId="0" applyFont="1" applyFill="1" applyBorder="1" applyAlignment="1" applyProtection="1">
      <alignment horizontal="left" vertical="center"/>
      <protection hidden="1"/>
    </xf>
    <xf numFmtId="0" fontId="0" fillId="27" borderId="1" xfId="0" applyFill="1" applyBorder="1"/>
    <xf numFmtId="0" fontId="29" fillId="0" borderId="0" xfId="0" quotePrefix="1" applyFont="1" applyAlignment="1">
      <alignment horizontal="center"/>
    </xf>
    <xf numFmtId="0" fontId="38" fillId="7" borderId="1" xfId="0" applyFont="1" applyFill="1" applyBorder="1" applyAlignment="1">
      <alignment horizontal="center" vertical="center"/>
    </xf>
    <xf numFmtId="0" fontId="38" fillId="7" borderId="1" xfId="0" applyFont="1" applyFill="1" applyBorder="1" applyAlignment="1">
      <alignment vertical="center"/>
    </xf>
    <xf numFmtId="0" fontId="38" fillId="7" borderId="1" xfId="0" quotePrefix="1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 applyProtection="1">
      <alignment horizontal="center" vertical="center"/>
      <protection locked="0" hidden="1"/>
    </xf>
    <xf numFmtId="164" fontId="13" fillId="0" borderId="0" xfId="0" applyNumberFormat="1" applyFont="1" applyAlignment="1" applyProtection="1">
      <alignment horizontal="center" vertical="center"/>
      <protection hidden="1"/>
    </xf>
    <xf numFmtId="1" fontId="13" fillId="0" borderId="0" xfId="0" applyNumberFormat="1" applyFont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14" fontId="0" fillId="0" borderId="1" xfId="0" applyNumberFormat="1" applyBorder="1" applyAlignment="1" applyProtection="1">
      <alignment horizontal="center" vertical="center"/>
      <protection hidden="1"/>
    </xf>
    <xf numFmtId="0" fontId="0" fillId="6" borderId="3" xfId="0" applyFill="1" applyBorder="1" applyProtection="1">
      <protection hidden="1"/>
    </xf>
    <xf numFmtId="14" fontId="10" fillId="27" borderId="24" xfId="0" applyNumberFormat="1" applyFont="1" applyFill="1" applyBorder="1" applyAlignment="1" applyProtection="1">
      <alignment horizontal="center" vertical="center"/>
      <protection locked="0"/>
    </xf>
    <xf numFmtId="14" fontId="11" fillId="27" borderId="22" xfId="0" applyNumberFormat="1" applyFont="1" applyFill="1" applyBorder="1" applyAlignment="1" applyProtection="1">
      <alignment horizontal="center" vertical="center"/>
      <protection hidden="1"/>
    </xf>
    <xf numFmtId="14" fontId="17" fillId="13" borderId="21" xfId="0" applyNumberFormat="1" applyFont="1" applyFill="1" applyBorder="1" applyAlignment="1" applyProtection="1">
      <alignment horizontal="center" vertical="center"/>
      <protection hidden="1"/>
    </xf>
    <xf numFmtId="14" fontId="35" fillId="7" borderId="1" xfId="0" applyNumberFormat="1" applyFont="1" applyFill="1" applyBorder="1" applyAlignment="1" applyProtection="1">
      <alignment horizontal="center"/>
      <protection locked="0" hidden="1"/>
    </xf>
    <xf numFmtId="14" fontId="23" fillId="0" borderId="0" xfId="0" applyNumberFormat="1" applyFont="1" applyAlignment="1" applyProtection="1">
      <alignment wrapText="1"/>
      <protection hidden="1"/>
    </xf>
    <xf numFmtId="0" fontId="32" fillId="21" borderId="2" xfId="0" applyFont="1" applyFill="1" applyBorder="1" applyAlignment="1" applyProtection="1">
      <alignment horizontal="center" vertical="center"/>
      <protection hidden="1"/>
    </xf>
    <xf numFmtId="0" fontId="31" fillId="20" borderId="2" xfId="0" applyFont="1" applyFill="1" applyBorder="1" applyAlignment="1" applyProtection="1">
      <alignment horizontal="center" vertical="center"/>
      <protection hidden="1"/>
    </xf>
    <xf numFmtId="0" fontId="28" fillId="5" borderId="59" xfId="0" applyFont="1" applyFill="1" applyBorder="1" applyAlignment="1" applyProtection="1">
      <alignment horizontal="center" vertical="center"/>
      <protection hidden="1"/>
    </xf>
    <xf numFmtId="0" fontId="28" fillId="5" borderId="34" xfId="0" applyFont="1" applyFill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/>
    </xf>
    <xf numFmtId="2" fontId="13" fillId="0" borderId="0" xfId="0" quotePrefix="1" applyNumberFormat="1" applyFont="1"/>
    <xf numFmtId="0" fontId="0" fillId="0" borderId="0" xfId="0" applyAlignment="1">
      <alignment vertical="top" wrapText="1"/>
    </xf>
    <xf numFmtId="164" fontId="0" fillId="5" borderId="1" xfId="0" applyNumberFormat="1" applyFill="1" applyBorder="1"/>
    <xf numFmtId="0" fontId="1" fillId="5" borderId="35" xfId="0" applyFont="1" applyFill="1" applyBorder="1" applyAlignment="1" applyProtection="1">
      <alignment horizontal="center"/>
      <protection locked="0"/>
    </xf>
    <xf numFmtId="0" fontId="1" fillId="5" borderId="37" xfId="0" applyFont="1" applyFill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0" fillId="0" borderId="10" xfId="0" applyBorder="1" applyAlignment="1" applyProtection="1">
      <alignment horizontal="left"/>
      <protection locked="0"/>
    </xf>
    <xf numFmtId="0" fontId="0" fillId="0" borderId="9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6" xfId="0" applyBorder="1" applyAlignment="1" applyProtection="1">
      <alignment horizontal="left"/>
      <protection locked="0"/>
    </xf>
    <xf numFmtId="0" fontId="46" fillId="6" borderId="33" xfId="0" applyFont="1" applyFill="1" applyBorder="1" applyAlignment="1" applyProtection="1">
      <alignment horizontal="center" vertical="center"/>
      <protection locked="0"/>
    </xf>
    <xf numFmtId="0" fontId="46" fillId="6" borderId="33" xfId="0" applyFont="1" applyFill="1" applyBorder="1" applyAlignment="1" applyProtection="1">
      <alignment horizontal="left" vertical="center"/>
      <protection locked="0"/>
    </xf>
    <xf numFmtId="0" fontId="0" fillId="7" borderId="1" xfId="0" applyFill="1" applyBorder="1"/>
    <xf numFmtId="0" fontId="0" fillId="7" borderId="1" xfId="0" applyFill="1" applyBorder="1" applyAlignment="1">
      <alignment vertical="center"/>
    </xf>
    <xf numFmtId="2" fontId="13" fillId="0" borderId="0" xfId="0" applyNumberFormat="1" applyFont="1" applyAlignment="1" applyProtection="1">
      <alignment horizontal="center"/>
      <protection hidden="1"/>
    </xf>
    <xf numFmtId="2" fontId="13" fillId="4" borderId="0" xfId="0" applyNumberFormat="1" applyFont="1" applyFill="1" applyAlignment="1" applyProtection="1">
      <alignment horizontal="center"/>
      <protection locked="0" hidden="1"/>
    </xf>
    <xf numFmtId="0" fontId="63" fillId="2" borderId="32" xfId="0" applyFont="1" applyFill="1" applyBorder="1"/>
    <xf numFmtId="0" fontId="63" fillId="2" borderId="0" xfId="0" applyFont="1" applyFill="1"/>
    <xf numFmtId="164" fontId="0" fillId="0" borderId="0" xfId="0" applyNumberFormat="1" applyAlignment="1" applyProtection="1">
      <alignment wrapText="1"/>
      <protection hidden="1"/>
    </xf>
    <xf numFmtId="2" fontId="13" fillId="0" borderId="0" xfId="0" applyNumberFormat="1" applyFont="1" applyAlignment="1" applyProtection="1">
      <alignment horizontal="right"/>
      <protection locked="0" hidden="1"/>
    </xf>
    <xf numFmtId="164" fontId="16" fillId="0" borderId="0" xfId="0" quotePrefix="1" applyNumberFormat="1" applyFont="1"/>
    <xf numFmtId="0" fontId="16" fillId="17" borderId="1" xfId="3" applyFont="1" applyFill="1" applyBorder="1" applyAlignment="1">
      <alignment horizontal="center" vertical="center"/>
    </xf>
    <xf numFmtId="2" fontId="13" fillId="0" borderId="0" xfId="0" applyNumberFormat="1" applyFont="1" applyProtection="1">
      <protection locked="0"/>
    </xf>
    <xf numFmtId="0" fontId="18" fillId="0" borderId="13" xfId="0" applyFont="1" applyBorder="1" applyAlignment="1" applyProtection="1">
      <alignment horizontal="center" vertical="center"/>
      <protection hidden="1"/>
    </xf>
    <xf numFmtId="0" fontId="18" fillId="0" borderId="14" xfId="0" applyFont="1" applyBorder="1" applyAlignment="1" applyProtection="1">
      <alignment horizontal="center" vertical="center"/>
      <protection hidden="1"/>
    </xf>
    <xf numFmtId="0" fontId="20" fillId="2" borderId="13" xfId="0" applyFont="1" applyFill="1" applyBorder="1" applyAlignment="1">
      <alignment horizontal="center"/>
    </xf>
    <xf numFmtId="0" fontId="20" fillId="2" borderId="33" xfId="0" applyFont="1" applyFill="1" applyBorder="1" applyAlignment="1">
      <alignment horizontal="center"/>
    </xf>
    <xf numFmtId="0" fontId="20" fillId="2" borderId="14" xfId="0" applyFont="1" applyFill="1" applyBorder="1" applyAlignment="1">
      <alignment horizontal="center"/>
    </xf>
    <xf numFmtId="0" fontId="44" fillId="11" borderId="40" xfId="0" applyFont="1" applyFill="1" applyBorder="1" applyAlignment="1" applyProtection="1">
      <alignment horizontal="center" vertical="center"/>
      <protection locked="0"/>
    </xf>
    <xf numFmtId="0" fontId="44" fillId="11" borderId="42" xfId="0" applyFont="1" applyFill="1" applyBorder="1" applyAlignment="1" applyProtection="1">
      <alignment horizontal="center" vertical="center"/>
      <protection locked="0"/>
    </xf>
  </cellXfs>
  <cellStyles count="67">
    <cellStyle name="20% - Accent1" xfId="36" builtinId="30" customBuiltin="1"/>
    <cellStyle name="20% - Accent2" xfId="40" builtinId="34" customBuiltin="1"/>
    <cellStyle name="20% - Accent3" xfId="44" builtinId="38" customBuiltin="1"/>
    <cellStyle name="20% - Accent4" xfId="48" builtinId="42" customBuiltin="1"/>
    <cellStyle name="20% - Accent5" xfId="52" builtinId="46" customBuiltin="1"/>
    <cellStyle name="20% - Accent6" xfId="56" builtinId="50" customBuiltin="1"/>
    <cellStyle name="40% - Accent1" xfId="37" builtinId="31" customBuiltin="1"/>
    <cellStyle name="40% - Accent2" xfId="41" builtinId="35" customBuiltin="1"/>
    <cellStyle name="40% - Accent3" xfId="45" builtinId="39" customBuiltin="1"/>
    <cellStyle name="40% - Accent4" xfId="49" builtinId="43" customBuiltin="1"/>
    <cellStyle name="40% - Accent5" xfId="53" builtinId="47" customBuiltin="1"/>
    <cellStyle name="40% - Accent6" xfId="57" builtinId="51" customBuiltin="1"/>
    <cellStyle name="60% - Accent1" xfId="38" builtinId="32" customBuiltin="1"/>
    <cellStyle name="60% - Accent1 2" xfId="61" xr:uid="{A754D7A8-56A6-4A40-AE7B-1313415ABC7C}"/>
    <cellStyle name="60% - Accent2" xfId="42" builtinId="36" customBuiltin="1"/>
    <cellStyle name="60% - Accent2 2" xfId="62" xr:uid="{A9F928A4-324E-4252-BF5C-1C2A04C80E2F}"/>
    <cellStyle name="60% - Accent3" xfId="46" builtinId="40" customBuiltin="1"/>
    <cellStyle name="60% - Accent3 2" xfId="63" xr:uid="{4A5CC60D-B93E-48BD-988E-C49FF5BEBB2C}"/>
    <cellStyle name="60% - Accent4" xfId="50" builtinId="44" customBuiltin="1"/>
    <cellStyle name="60% - Accent4 2" xfId="64" xr:uid="{C5C192C0-D615-46B9-9055-F83738FFA269}"/>
    <cellStyle name="60% - Accent5" xfId="54" builtinId="48" customBuiltin="1"/>
    <cellStyle name="60% - Accent5 2" xfId="65" xr:uid="{2C4E6A00-A736-4524-A757-83ADD5E95197}"/>
    <cellStyle name="60% - Accent6" xfId="58" builtinId="52" customBuiltin="1"/>
    <cellStyle name="60% - Accent6 2" xfId="66" xr:uid="{49FDFA7F-33BB-4647-BA53-B11D4F124298}"/>
    <cellStyle name="Accent1" xfId="35" builtinId="29" customBuiltin="1"/>
    <cellStyle name="Accent2" xfId="39" builtinId="33" customBuiltin="1"/>
    <cellStyle name="Accent3" xfId="43" builtinId="37" customBuiltin="1"/>
    <cellStyle name="Accent4" xfId="47" builtinId="41" customBuiltin="1"/>
    <cellStyle name="Accent5" xfId="51" builtinId="45" customBuiltin="1"/>
    <cellStyle name="Accent6" xfId="55" builtinId="49" customBuiltin="1"/>
    <cellStyle name="Bad" xfId="24" builtinId="27" customBuiltin="1"/>
    <cellStyle name="Calculation" xfId="28" builtinId="22" customBuiltin="1"/>
    <cellStyle name="Check Cell" xfId="30" builtinId="23" customBuiltin="1"/>
    <cellStyle name="Explanatory Text" xfId="33" builtinId="53" customBuiltin="1"/>
    <cellStyle name="Good" xfId="23" builtinId="26" customBuiltin="1"/>
    <cellStyle name="Heading 1" xfId="19" builtinId="16" customBuiltin="1"/>
    <cellStyle name="Heading 2" xfId="20" builtinId="17" customBuiltin="1"/>
    <cellStyle name="Heading 3" xfId="21" builtinId="18" customBuiltin="1"/>
    <cellStyle name="Heading 4" xfId="22" builtinId="19" customBuiltin="1"/>
    <cellStyle name="Input" xfId="26" builtinId="20" customBuiltin="1"/>
    <cellStyle name="Linked Cell" xfId="29" builtinId="24" customBuiltin="1"/>
    <cellStyle name="Neutral" xfId="25" builtinId="28" customBuiltin="1"/>
    <cellStyle name="Neutral 2" xfId="60" xr:uid="{2B2C6904-3CA0-4FC8-AABA-2D98C8A779F2}"/>
    <cellStyle name="Normal" xfId="0" builtinId="0"/>
    <cellStyle name="Normal 10" xfId="14" xr:uid="{00000000-0005-0000-0000-000001000000}"/>
    <cellStyle name="Normal 11" xfId="15" xr:uid="{00000000-0005-0000-0000-000002000000}"/>
    <cellStyle name="Normal 12" xfId="16" xr:uid="{00000000-0005-0000-0000-000003000000}"/>
    <cellStyle name="Normal 13" xfId="17" xr:uid="{1C140225-72E4-406D-9CF6-8FEBEE9322E3}"/>
    <cellStyle name="Normal 2" xfId="2" xr:uid="{00000000-0005-0000-0000-000004000000}"/>
    <cellStyle name="Normal 3" xfId="1" xr:uid="{00000000-0005-0000-0000-000005000000}"/>
    <cellStyle name="Normal 4" xfId="3" xr:uid="{00000000-0005-0000-0000-000006000000}"/>
    <cellStyle name="Normal 5" xfId="4" xr:uid="{00000000-0005-0000-0000-000007000000}"/>
    <cellStyle name="Normal 5 2" xfId="9" xr:uid="{00000000-0005-0000-0000-000008000000}"/>
    <cellStyle name="Normal 6" xfId="5" xr:uid="{00000000-0005-0000-0000-000009000000}"/>
    <cellStyle name="Normal 7" xfId="6" xr:uid="{00000000-0005-0000-0000-00000A000000}"/>
    <cellStyle name="Normal 7 2" xfId="10" xr:uid="{00000000-0005-0000-0000-00000B000000}"/>
    <cellStyle name="Normal 8" xfId="7" xr:uid="{00000000-0005-0000-0000-00000C000000}"/>
    <cellStyle name="Normal 8 2" xfId="11" xr:uid="{00000000-0005-0000-0000-00000D000000}"/>
    <cellStyle name="Normal 9" xfId="8" xr:uid="{00000000-0005-0000-0000-00000E000000}"/>
    <cellStyle name="Normal 9 2" xfId="12" xr:uid="{00000000-0005-0000-0000-00000F000000}"/>
    <cellStyle name="Note" xfId="32" builtinId="10" customBuiltin="1"/>
    <cellStyle name="Output" xfId="27" builtinId="21" customBuiltin="1"/>
    <cellStyle name="Percent" xfId="13" builtinId="5"/>
    <cellStyle name="Title" xfId="18" builtinId="15" customBuiltin="1"/>
    <cellStyle name="Title 2" xfId="59" xr:uid="{91CAF05C-3136-4190-97F4-2D0059297412}"/>
    <cellStyle name="Total" xfId="34" builtinId="25" customBuiltin="1"/>
    <cellStyle name="Warning Text" xfId="31" builtinId="11" customBuiltin="1"/>
  </cellStyles>
  <dxfs count="30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sheetMetadata" Target="metadata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CheckBox" fmlaLink="M9" lockText="1" noThreeD="1"/>
</file>

<file path=xl/ctrlProps/ctrlProp2.xml><?xml version="1.0" encoding="utf-8"?>
<formControlPr xmlns="http://schemas.microsoft.com/office/spreadsheetml/2009/9/main" objectType="CheckBox" fmlaLink="M10" lockText="1" noThreeD="1"/>
</file>

<file path=xl/ctrlProps/ctrlProp3.xml><?xml version="1.0" encoding="utf-8"?>
<formControlPr xmlns="http://schemas.microsoft.com/office/spreadsheetml/2009/9/main" objectType="CheckBox" checked="Checked" fmlaLink="M11" lockText="1" noThreeD="1"/>
</file>

<file path=xl/ctrlProps/ctrlProp4.xml><?xml version="1.0" encoding="utf-8"?>
<formControlPr xmlns="http://schemas.microsoft.com/office/spreadsheetml/2009/9/main" objectType="CheckBox" checked="Checked" fmlaLink="M12" lockText="1" noThreeD="1"/>
</file>

<file path=xl/ctrlProps/ctrlProp5.xml><?xml version="1.0" encoding="utf-8"?>
<formControlPr xmlns="http://schemas.microsoft.com/office/spreadsheetml/2009/9/main" objectType="CheckBox" fmlaLink="M13" lockText="1" noThreeD="1"/>
</file>

<file path=xl/ctrlProps/ctrlProp6.xml><?xml version="1.0" encoding="utf-8"?>
<formControlPr xmlns="http://schemas.microsoft.com/office/spreadsheetml/2009/9/main" objectType="CheckBox" checked="Checked" fmlaLink="M14" lockText="1" noThreeD="1"/>
</file>

<file path=xl/ctrlProps/ctrlProp7.xml><?xml version="1.0" encoding="utf-8"?>
<formControlPr xmlns="http://schemas.microsoft.com/office/spreadsheetml/2009/9/main" objectType="CheckBox" checked="Checked" fmlaLink="M15" lockText="1" noThreeD="1"/>
</file>

<file path=xl/ctrlProps/ctrlProp8.xml><?xml version="1.0" encoding="utf-8"?>
<formControlPr xmlns="http://schemas.microsoft.com/office/spreadsheetml/2009/9/main" objectType="CheckBox" checked="Checked" fmlaLink="M16" lockText="1" noThreeD="1"/>
</file>

<file path=xl/ctrlProps/ctrlProp9.xml><?xml version="1.0" encoding="utf-8"?>
<formControlPr xmlns="http://schemas.microsoft.com/office/spreadsheetml/2009/9/main" objectType="CheckBox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fmlaLink="M28" lockText="1" noThreeD="1"/>
</file>

<file path=xl/ctrlProps/ctrlProp21.xml><?xml version="1.0" encoding="utf-8"?>
<formControlPr xmlns="http://schemas.microsoft.com/office/spreadsheetml/2009/9/main" objectType="CheckBox" fmlaLink="M29" lockText="1" noThreeD="1"/>
</file>

<file path=xl/ctrlProps/ctrlProp22.xml><?xml version="1.0" encoding="utf-8"?>
<formControlPr xmlns="http://schemas.microsoft.com/office/spreadsheetml/2009/9/main" objectType="CheckBox" fmlaLink="M30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62249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363825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562224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4249400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562224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4249400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85726</xdr:rowOff>
    </xdr:from>
    <xdr:to>
      <xdr:col>2</xdr:col>
      <xdr:colOff>1095375</xdr:colOff>
      <xdr:row>0</xdr:row>
      <xdr:rowOff>409576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619375" y="85726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114300</xdr:colOff>
      <xdr:row>0</xdr:row>
      <xdr:rowOff>85725</xdr:rowOff>
    </xdr:from>
    <xdr:to>
      <xdr:col>3</xdr:col>
      <xdr:colOff>1095375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686175" y="85725"/>
          <a:ext cx="9810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85725</xdr:rowOff>
    </xdr:from>
    <xdr:to>
      <xdr:col>3</xdr:col>
      <xdr:colOff>1133475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61950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95250</xdr:rowOff>
    </xdr:from>
    <xdr:to>
      <xdr:col>3</xdr:col>
      <xdr:colOff>1104900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356235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390675</xdr:rowOff>
    </xdr:to>
    <xdr:sp macro="[0]!_xludf.clear" textlink="">
      <xdr:nvSpPr>
        <xdr:cNvPr id="2" name="Rounded Rectangle 3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>
          <a:spLocks/>
        </xdr:cNvSpPr>
      </xdr:nvSpPr>
      <xdr:spPr>
        <a:xfrm>
          <a:off x="2428875" y="542925"/>
          <a:ext cx="1008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381150</xdr:rowOff>
    </xdr:to>
    <xdr:sp macro="[0]!PurchaseTrnferExportAndCreateFiles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>
          <a:spLocks/>
        </xdr:cNvSpPr>
      </xdr:nvSpPr>
      <xdr:spPr>
        <a:xfrm>
          <a:off x="1247775" y="533400"/>
          <a:ext cx="1008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Export</a:t>
          </a: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390675</xdr:rowOff>
    </xdr:to>
    <xdr:sp macro="[0]!Get_Data_From_File" textlink="">
      <xdr:nvSpPr>
        <xdr:cNvPr id="6" name="Rounded Rectangle 1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>
          <a:spLocks/>
        </xdr:cNvSpPr>
      </xdr:nvSpPr>
      <xdr:spPr>
        <a:xfrm>
          <a:off x="1257300" y="66675"/>
          <a:ext cx="1008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</a:t>
          </a:r>
          <a:r>
            <a:rPr lang="en-US" sz="1100" b="1" baseline="0">
              <a:solidFill>
                <a:schemeClr val="tx1"/>
              </a:solidFill>
            </a:rPr>
            <a:t> Import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400200</xdr:rowOff>
    </xdr:to>
    <xdr:sp macro="[0]!Data" textlink="">
      <xdr:nvSpPr>
        <xdr:cNvPr id="7" name="Rounded Rectangle 1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SpPr>
          <a:spLocks/>
        </xdr:cNvSpPr>
      </xdr:nvSpPr>
      <xdr:spPr>
        <a:xfrm>
          <a:off x="2438400" y="76200"/>
          <a:ext cx="1008000" cy="324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355035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>
          <a:spLocks/>
        </xdr:cNvSpPr>
      </xdr:nvSpPr>
      <xdr:spPr>
        <a:xfrm>
          <a:off x="2428875" y="542925"/>
          <a:ext cx="1008000" cy="28836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345510</xdr:rowOff>
    </xdr:to>
    <xdr:sp macro="[0]!export_Sepratesheeet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>
          <a:spLocks/>
        </xdr:cNvSpPr>
      </xdr:nvSpPr>
      <xdr:spPr>
        <a:xfrm>
          <a:off x="1247775" y="533400"/>
          <a:ext cx="1008000" cy="28836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 Export</a:t>
          </a:r>
        </a:p>
      </xdr:txBody>
    </xdr:sp>
    <xdr:clientData/>
  </xdr:twoCellAnchor>
  <xdr:twoCellAnchor>
    <xdr:from>
      <xdr:col>3</xdr:col>
      <xdr:colOff>114300</xdr:colOff>
      <xdr:row>0</xdr:row>
      <xdr:rowOff>295275</xdr:rowOff>
    </xdr:from>
    <xdr:to>
      <xdr:col>3</xdr:col>
      <xdr:colOff>1122300</xdr:colOff>
      <xdr:row>1</xdr:row>
      <xdr:rowOff>107385</xdr:rowOff>
    </xdr:to>
    <xdr:sp macro="[0]!VouTypeUpdate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>
          <a:spLocks/>
        </xdr:cNvSpPr>
      </xdr:nvSpPr>
      <xdr:spPr>
        <a:xfrm>
          <a:off x="3629025" y="295275"/>
          <a:ext cx="1008000" cy="28836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Vou Type</a:t>
          </a:r>
        </a:p>
      </xdr:txBody>
    </xdr:sp>
    <xdr:clientData/>
  </xdr:twoCellAnchor>
  <xdr:twoCellAnchor>
    <xdr:from>
      <xdr:col>0</xdr:col>
      <xdr:colOff>95250</xdr:colOff>
      <xdr:row>0</xdr:row>
      <xdr:rowOff>76200</xdr:rowOff>
    </xdr:from>
    <xdr:to>
      <xdr:col>0</xdr:col>
      <xdr:colOff>1103250</xdr:colOff>
      <xdr:row>0</xdr:row>
      <xdr:rowOff>364560</xdr:rowOff>
    </xdr:to>
    <xdr:sp macro="[0]!OpenCompListBtn_Click" textlink="">
      <xdr:nvSpPr>
        <xdr:cNvPr id="7" name="Rounded Rectangle 1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>
          <a:spLocks/>
        </xdr:cNvSpPr>
      </xdr:nvSpPr>
      <xdr:spPr>
        <a:xfrm>
          <a:off x="95250" y="762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Company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List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355035</xdr:rowOff>
    </xdr:to>
    <xdr:sp macro="[0]!ImportGSTR2BDATA" textlink="">
      <xdr:nvSpPr>
        <xdr:cNvPr id="8" name="Rounded Rectangle 1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>
          <a:spLocks/>
        </xdr:cNvSpPr>
      </xdr:nvSpPr>
      <xdr:spPr>
        <a:xfrm>
          <a:off x="1257300" y="66675"/>
          <a:ext cx="1008000" cy="28836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Import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364560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>
          <a:spLocks/>
        </xdr:cNvSpPr>
      </xdr:nvSpPr>
      <xdr:spPr>
        <a:xfrm>
          <a:off x="2438400" y="76200"/>
          <a:ext cx="1008000" cy="28836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Process</a:t>
          </a:r>
        </a:p>
      </xdr:txBody>
    </xdr:sp>
    <xdr:clientData/>
  </xdr:twoCellAnchor>
  <xdr:twoCellAnchor>
    <xdr:from>
      <xdr:col>0</xdr:col>
      <xdr:colOff>104775</xdr:colOff>
      <xdr:row>1</xdr:row>
      <xdr:rowOff>57150</xdr:rowOff>
    </xdr:from>
    <xdr:to>
      <xdr:col>0</xdr:col>
      <xdr:colOff>1112775</xdr:colOff>
      <xdr:row>1</xdr:row>
      <xdr:rowOff>345510</xdr:rowOff>
    </xdr:to>
    <xdr:sp macro="[0]!AddAccount" textlink="">
      <xdr:nvSpPr>
        <xdr:cNvPr id="6" name="Rounded Rectangle 1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>
          <a:spLocks/>
        </xdr:cNvSpPr>
      </xdr:nvSpPr>
      <xdr:spPr>
        <a:xfrm>
          <a:off x="104775" y="5334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Account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Add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704849</xdr:colOff>
      <xdr:row>5</xdr:row>
      <xdr:rowOff>209550</xdr:rowOff>
    </xdr:from>
    <xdr:to>
      <xdr:col>9</xdr:col>
      <xdr:colOff>409574</xdr:colOff>
      <xdr:row>7</xdr:row>
      <xdr:rowOff>38100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12706349" y="1390650"/>
          <a:ext cx="1247775" cy="27622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lvl="0" algn="ctr"/>
          <a:r>
            <a:rPr lang="en-IN" sz="11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CheckMacIDOnOpen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>
          <a:spLocks/>
        </xdr:cNvSpPr>
      </xdr:nvSpPr>
      <xdr:spPr>
        <a:xfrm>
          <a:off x="1706880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723900</xdr:colOff>
      <xdr:row>3</xdr:row>
      <xdr:rowOff>95250</xdr:rowOff>
    </xdr:from>
    <xdr:to>
      <xdr:col>9</xdr:col>
      <xdr:colOff>438150</xdr:colOff>
      <xdr:row>4</xdr:row>
      <xdr:rowOff>200175</xdr:rowOff>
    </xdr:to>
    <xdr:sp macro="[0]!patchsetform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>
          <a:spLocks/>
        </xdr:cNvSpPr>
      </xdr:nvSpPr>
      <xdr:spPr>
        <a:xfrm>
          <a:off x="12725400" y="83820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Path</a:t>
          </a:r>
          <a:r>
            <a:rPr lang="en-US" sz="1100" b="1" baseline="0">
              <a:solidFill>
                <a:schemeClr val="tx1"/>
              </a:solidFill>
            </a:rPr>
            <a:t> Set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714375</xdr:colOff>
      <xdr:row>1</xdr:row>
      <xdr:rowOff>85725</xdr:rowOff>
    </xdr:from>
    <xdr:to>
      <xdr:col>9</xdr:col>
      <xdr:colOff>428625</xdr:colOff>
      <xdr:row>2</xdr:row>
      <xdr:rowOff>190650</xdr:rowOff>
    </xdr:to>
    <xdr:sp macro="[0]!OpenCompListBtn_Click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>
          <a:spLocks/>
        </xdr:cNvSpPr>
      </xdr:nvSpPr>
      <xdr:spPr>
        <a:xfrm>
          <a:off x="12715875" y="390525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Compay</a:t>
          </a:r>
          <a:r>
            <a:rPr lang="en-US" sz="1100" b="1" baseline="0">
              <a:solidFill>
                <a:schemeClr val="tx1"/>
              </a:solidFill>
            </a:rPr>
            <a:t> List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8</xdr:row>
          <xdr:rowOff>0</xdr:rowOff>
        </xdr:from>
        <xdr:to>
          <xdr:col>9</xdr:col>
          <xdr:colOff>419100</xdr:colOff>
          <xdr:row>8</xdr:row>
          <xdr:rowOff>209550</xdr:rowOff>
        </xdr:to>
        <xdr:sp macro="" textlink="">
          <xdr:nvSpPr>
            <xdr:cNvPr id="25836" name="MSH_CheckBox" hidden="1">
              <a:extLst>
                <a:ext uri="{63B3BB69-23CF-44E3-9099-C40C66FF867C}">
                  <a14:compatExt spid="_x0000_s25836"/>
                </a:ext>
                <a:ext uri="{FF2B5EF4-FFF2-40B4-BE49-F238E27FC236}">
                  <a16:creationId xmlns:a16="http://schemas.microsoft.com/office/drawing/2014/main" id="{00000000-0008-0000-1600-0000E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9</xdr:row>
          <xdr:rowOff>0</xdr:rowOff>
        </xdr:from>
        <xdr:to>
          <xdr:col>9</xdr:col>
          <xdr:colOff>419100</xdr:colOff>
          <xdr:row>9</xdr:row>
          <xdr:rowOff>209550</xdr:rowOff>
        </xdr:to>
        <xdr:sp macro="" textlink="">
          <xdr:nvSpPr>
            <xdr:cNvPr id="25837" name="MSH (2)_CheckBox" hidden="1">
              <a:extLst>
                <a:ext uri="{63B3BB69-23CF-44E3-9099-C40C66FF867C}">
                  <a14:compatExt spid="_x0000_s25837"/>
                </a:ext>
                <a:ext uri="{FF2B5EF4-FFF2-40B4-BE49-F238E27FC236}">
                  <a16:creationId xmlns:a16="http://schemas.microsoft.com/office/drawing/2014/main" id="{00000000-0008-0000-1600-0000E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10</xdr:row>
          <xdr:rowOff>0</xdr:rowOff>
        </xdr:from>
        <xdr:to>
          <xdr:col>9</xdr:col>
          <xdr:colOff>419100</xdr:colOff>
          <xdr:row>10</xdr:row>
          <xdr:rowOff>209550</xdr:rowOff>
        </xdr:to>
        <xdr:sp macro="" textlink="">
          <xdr:nvSpPr>
            <xdr:cNvPr id="25838" name="MSH (3)_CheckBox" hidden="1">
              <a:extLst>
                <a:ext uri="{63B3BB69-23CF-44E3-9099-C40C66FF867C}">
                  <a14:compatExt spid="_x0000_s25838"/>
                </a:ext>
                <a:ext uri="{FF2B5EF4-FFF2-40B4-BE49-F238E27FC236}">
                  <a16:creationId xmlns:a16="http://schemas.microsoft.com/office/drawing/2014/main" id="{00000000-0008-0000-1600-0000E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11</xdr:row>
          <xdr:rowOff>0</xdr:rowOff>
        </xdr:from>
        <xdr:to>
          <xdr:col>9</xdr:col>
          <xdr:colOff>419100</xdr:colOff>
          <xdr:row>11</xdr:row>
          <xdr:rowOff>209550</xdr:rowOff>
        </xdr:to>
        <xdr:sp macro="" textlink="">
          <xdr:nvSpPr>
            <xdr:cNvPr id="25839" name="AMZ_CheckBox" hidden="1">
              <a:extLst>
                <a:ext uri="{63B3BB69-23CF-44E3-9099-C40C66FF867C}">
                  <a14:compatExt spid="_x0000_s25839"/>
                </a:ext>
                <a:ext uri="{FF2B5EF4-FFF2-40B4-BE49-F238E27FC236}">
                  <a16:creationId xmlns:a16="http://schemas.microsoft.com/office/drawing/2014/main" id="{00000000-0008-0000-1600-0000E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12</xdr:row>
          <xdr:rowOff>0</xdr:rowOff>
        </xdr:from>
        <xdr:to>
          <xdr:col>9</xdr:col>
          <xdr:colOff>419100</xdr:colOff>
          <xdr:row>12</xdr:row>
          <xdr:rowOff>209550</xdr:rowOff>
        </xdr:to>
        <xdr:sp macro="" textlink="">
          <xdr:nvSpPr>
            <xdr:cNvPr id="25840" name="AMZ (2)_CheckBox" hidden="1">
              <a:extLst>
                <a:ext uri="{63B3BB69-23CF-44E3-9099-C40C66FF867C}">
                  <a14:compatExt spid="_x0000_s25840"/>
                </a:ext>
                <a:ext uri="{FF2B5EF4-FFF2-40B4-BE49-F238E27FC236}">
                  <a16:creationId xmlns:a16="http://schemas.microsoft.com/office/drawing/2014/main" id="{00000000-0008-0000-1600-0000F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13</xdr:row>
          <xdr:rowOff>0</xdr:rowOff>
        </xdr:from>
        <xdr:to>
          <xdr:col>9</xdr:col>
          <xdr:colOff>419100</xdr:colOff>
          <xdr:row>13</xdr:row>
          <xdr:rowOff>209550</xdr:rowOff>
        </xdr:to>
        <xdr:sp macro="" textlink="">
          <xdr:nvSpPr>
            <xdr:cNvPr id="25841" name="FLC_CheckBox" hidden="1">
              <a:extLst>
                <a:ext uri="{63B3BB69-23CF-44E3-9099-C40C66FF867C}">
                  <a14:compatExt spid="_x0000_s25841"/>
                </a:ext>
                <a:ext uri="{FF2B5EF4-FFF2-40B4-BE49-F238E27FC236}">
                  <a16:creationId xmlns:a16="http://schemas.microsoft.com/office/drawing/2014/main" id="{00000000-0008-0000-1600-0000F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14</xdr:row>
          <xdr:rowOff>0</xdr:rowOff>
        </xdr:from>
        <xdr:to>
          <xdr:col>9</xdr:col>
          <xdr:colOff>419100</xdr:colOff>
          <xdr:row>14</xdr:row>
          <xdr:rowOff>209550</xdr:rowOff>
        </xdr:to>
        <xdr:sp macro="" textlink="">
          <xdr:nvSpPr>
            <xdr:cNvPr id="25842" name="FLC (C)_CheckBox" hidden="1">
              <a:extLst>
                <a:ext uri="{63B3BB69-23CF-44E3-9099-C40C66FF867C}">
                  <a14:compatExt spid="_x0000_s25842"/>
                </a:ext>
                <a:ext uri="{FF2B5EF4-FFF2-40B4-BE49-F238E27FC236}">
                  <a16:creationId xmlns:a16="http://schemas.microsoft.com/office/drawing/2014/main" id="{00000000-0008-0000-1600-0000F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 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15</xdr:row>
          <xdr:rowOff>0</xdr:rowOff>
        </xdr:from>
        <xdr:to>
          <xdr:col>9</xdr:col>
          <xdr:colOff>419100</xdr:colOff>
          <xdr:row>15</xdr:row>
          <xdr:rowOff>209550</xdr:rowOff>
        </xdr:to>
        <xdr:sp macro="" textlink="">
          <xdr:nvSpPr>
            <xdr:cNvPr id="25843" name="SND_CheckBox" hidden="1">
              <a:extLst>
                <a:ext uri="{63B3BB69-23CF-44E3-9099-C40C66FF867C}">
                  <a14:compatExt spid="_x0000_s25843"/>
                </a:ext>
                <a:ext uri="{FF2B5EF4-FFF2-40B4-BE49-F238E27FC236}">
                  <a16:creationId xmlns:a16="http://schemas.microsoft.com/office/drawing/2014/main" id="{00000000-0008-0000-1600-0000F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16</xdr:row>
          <xdr:rowOff>0</xdr:rowOff>
        </xdr:from>
        <xdr:to>
          <xdr:col>9</xdr:col>
          <xdr:colOff>419100</xdr:colOff>
          <xdr:row>16</xdr:row>
          <xdr:rowOff>209550</xdr:rowOff>
        </xdr:to>
        <xdr:sp macro="" textlink="">
          <xdr:nvSpPr>
            <xdr:cNvPr id="25844" name="JIO_CheckBox" hidden="1">
              <a:extLst>
                <a:ext uri="{63B3BB69-23CF-44E3-9099-C40C66FF867C}">
                  <a14:compatExt spid="_x0000_s25844"/>
                </a:ext>
                <a:ext uri="{FF2B5EF4-FFF2-40B4-BE49-F238E27FC236}">
                  <a16:creationId xmlns:a16="http://schemas.microsoft.com/office/drawing/2014/main" id="{00000000-0008-0000-1600-0000F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17</xdr:row>
          <xdr:rowOff>0</xdr:rowOff>
        </xdr:from>
        <xdr:to>
          <xdr:col>9</xdr:col>
          <xdr:colOff>419100</xdr:colOff>
          <xdr:row>17</xdr:row>
          <xdr:rowOff>209550</xdr:rowOff>
        </xdr:to>
        <xdr:sp macro="" textlink="">
          <xdr:nvSpPr>
            <xdr:cNvPr id="25845" name="AJIO_CheckBox" hidden="1">
              <a:extLst>
                <a:ext uri="{63B3BB69-23CF-44E3-9099-C40C66FF867C}">
                  <a14:compatExt spid="_x0000_s25845"/>
                </a:ext>
                <a:ext uri="{FF2B5EF4-FFF2-40B4-BE49-F238E27FC236}">
                  <a16:creationId xmlns:a16="http://schemas.microsoft.com/office/drawing/2014/main" id="{00000000-0008-0000-1600-0000F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18</xdr:row>
          <xdr:rowOff>0</xdr:rowOff>
        </xdr:from>
        <xdr:to>
          <xdr:col>9</xdr:col>
          <xdr:colOff>419100</xdr:colOff>
          <xdr:row>18</xdr:row>
          <xdr:rowOff>209550</xdr:rowOff>
        </xdr:to>
        <xdr:sp macro="" textlink="">
          <xdr:nvSpPr>
            <xdr:cNvPr id="25846" name="GLR_CheckBox" hidden="1">
              <a:extLst>
                <a:ext uri="{63B3BB69-23CF-44E3-9099-C40C66FF867C}">
                  <a14:compatExt spid="_x0000_s25846"/>
                </a:ext>
                <a:ext uri="{FF2B5EF4-FFF2-40B4-BE49-F238E27FC236}">
                  <a16:creationId xmlns:a16="http://schemas.microsoft.com/office/drawing/2014/main" id="{00000000-0008-0000-1600-0000F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19</xdr:row>
          <xdr:rowOff>0</xdr:rowOff>
        </xdr:from>
        <xdr:to>
          <xdr:col>9</xdr:col>
          <xdr:colOff>419100</xdr:colOff>
          <xdr:row>19</xdr:row>
          <xdr:rowOff>209550</xdr:rowOff>
        </xdr:to>
        <xdr:sp macro="" textlink="">
          <xdr:nvSpPr>
            <xdr:cNvPr id="25847" name="MYR_CheckBox" hidden="1">
              <a:extLst>
                <a:ext uri="{63B3BB69-23CF-44E3-9099-C40C66FF867C}">
                  <a14:compatExt spid="_x0000_s25847"/>
                </a:ext>
                <a:ext uri="{FF2B5EF4-FFF2-40B4-BE49-F238E27FC236}">
                  <a16:creationId xmlns:a16="http://schemas.microsoft.com/office/drawing/2014/main" id="{00000000-0008-0000-1600-0000F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20</xdr:row>
          <xdr:rowOff>0</xdr:rowOff>
        </xdr:from>
        <xdr:to>
          <xdr:col>9</xdr:col>
          <xdr:colOff>419100</xdr:colOff>
          <xdr:row>20</xdr:row>
          <xdr:rowOff>209550</xdr:rowOff>
        </xdr:to>
        <xdr:sp macro="" textlink="">
          <xdr:nvSpPr>
            <xdr:cNvPr id="25848" name="MYR (2)_CheckBox" hidden="1">
              <a:extLst>
                <a:ext uri="{63B3BB69-23CF-44E3-9099-C40C66FF867C}">
                  <a14:compatExt spid="_x0000_s25848"/>
                </a:ext>
                <a:ext uri="{FF2B5EF4-FFF2-40B4-BE49-F238E27FC236}">
                  <a16:creationId xmlns:a16="http://schemas.microsoft.com/office/drawing/2014/main" id="{00000000-0008-0000-1600-0000F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21</xdr:row>
          <xdr:rowOff>0</xdr:rowOff>
        </xdr:from>
        <xdr:to>
          <xdr:col>9</xdr:col>
          <xdr:colOff>419100</xdr:colOff>
          <xdr:row>21</xdr:row>
          <xdr:rowOff>209550</xdr:rowOff>
        </xdr:to>
        <xdr:sp macro="" textlink="">
          <xdr:nvSpPr>
            <xdr:cNvPr id="25849" name="NPTL_CheckBox" hidden="1">
              <a:extLst>
                <a:ext uri="{63B3BB69-23CF-44E3-9099-C40C66FF867C}">
                  <a14:compatExt spid="_x0000_s25849"/>
                </a:ext>
                <a:ext uri="{FF2B5EF4-FFF2-40B4-BE49-F238E27FC236}">
                  <a16:creationId xmlns:a16="http://schemas.microsoft.com/office/drawing/2014/main" id="{00000000-0008-0000-1600-0000F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NPTL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22</xdr:row>
          <xdr:rowOff>0</xdr:rowOff>
        </xdr:from>
        <xdr:to>
          <xdr:col>9</xdr:col>
          <xdr:colOff>419100</xdr:colOff>
          <xdr:row>22</xdr:row>
          <xdr:rowOff>209550</xdr:rowOff>
        </xdr:to>
        <xdr:sp macro="" textlink="">
          <xdr:nvSpPr>
            <xdr:cNvPr id="25850" name="MRW_CheckBox" hidden="1">
              <a:extLst>
                <a:ext uri="{63B3BB69-23CF-44E3-9099-C40C66FF867C}">
                  <a14:compatExt spid="_x0000_s25850"/>
                </a:ext>
                <a:ext uri="{FF2B5EF4-FFF2-40B4-BE49-F238E27FC236}">
                  <a16:creationId xmlns:a16="http://schemas.microsoft.com/office/drawing/2014/main" id="{00000000-0008-0000-1600-0000F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MRW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23</xdr:row>
          <xdr:rowOff>0</xdr:rowOff>
        </xdr:from>
        <xdr:to>
          <xdr:col>9</xdr:col>
          <xdr:colOff>419100</xdr:colOff>
          <xdr:row>23</xdr:row>
          <xdr:rowOff>209550</xdr:rowOff>
        </xdr:to>
        <xdr:sp macro="" textlink="">
          <xdr:nvSpPr>
            <xdr:cNvPr id="25851" name="S101_CheckBox" hidden="1">
              <a:extLst>
                <a:ext uri="{63B3BB69-23CF-44E3-9099-C40C66FF867C}">
                  <a14:compatExt spid="_x0000_s25851"/>
                </a:ext>
                <a:ext uri="{FF2B5EF4-FFF2-40B4-BE49-F238E27FC236}">
                  <a16:creationId xmlns:a16="http://schemas.microsoft.com/office/drawing/2014/main" id="{00000000-0008-0000-1600-0000F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24</xdr:row>
          <xdr:rowOff>0</xdr:rowOff>
        </xdr:from>
        <xdr:to>
          <xdr:col>9</xdr:col>
          <xdr:colOff>419100</xdr:colOff>
          <xdr:row>24</xdr:row>
          <xdr:rowOff>209550</xdr:rowOff>
        </xdr:to>
        <xdr:sp macro="" textlink="">
          <xdr:nvSpPr>
            <xdr:cNvPr id="25852" name="S101 (2)_CheckBox" hidden="1">
              <a:extLst>
                <a:ext uri="{63B3BB69-23CF-44E3-9099-C40C66FF867C}">
                  <a14:compatExt spid="_x0000_s25852"/>
                </a:ext>
                <a:ext uri="{FF2B5EF4-FFF2-40B4-BE49-F238E27FC236}">
                  <a16:creationId xmlns:a16="http://schemas.microsoft.com/office/drawing/2014/main" id="{00000000-0008-0000-1600-0000F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25</xdr:row>
          <xdr:rowOff>0</xdr:rowOff>
        </xdr:from>
        <xdr:to>
          <xdr:col>9</xdr:col>
          <xdr:colOff>419100</xdr:colOff>
          <xdr:row>25</xdr:row>
          <xdr:rowOff>209550</xdr:rowOff>
        </xdr:to>
        <xdr:sp macro="" textlink="">
          <xdr:nvSpPr>
            <xdr:cNvPr id="25853" name="S101 (3)_CheckBox" hidden="1">
              <a:extLst>
                <a:ext uri="{63B3BB69-23CF-44E3-9099-C40C66FF867C}">
                  <a14:compatExt spid="_x0000_s25853"/>
                </a:ext>
                <a:ext uri="{FF2B5EF4-FFF2-40B4-BE49-F238E27FC236}">
                  <a16:creationId xmlns:a16="http://schemas.microsoft.com/office/drawing/2014/main" id="{00000000-0008-0000-1600-0000F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26</xdr:row>
          <xdr:rowOff>0</xdr:rowOff>
        </xdr:from>
        <xdr:to>
          <xdr:col>9</xdr:col>
          <xdr:colOff>419100</xdr:colOff>
          <xdr:row>26</xdr:row>
          <xdr:rowOff>209550</xdr:rowOff>
        </xdr:to>
        <xdr:sp macro="" textlink="">
          <xdr:nvSpPr>
            <xdr:cNvPr id="25854" name="VMT_CheckBox" hidden="1">
              <a:extLst>
                <a:ext uri="{63B3BB69-23CF-44E3-9099-C40C66FF867C}">
                  <a14:compatExt spid="_x0000_s25854"/>
                </a:ext>
                <a:ext uri="{FF2B5EF4-FFF2-40B4-BE49-F238E27FC236}">
                  <a16:creationId xmlns:a16="http://schemas.microsoft.com/office/drawing/2014/main" id="{00000000-0008-0000-1600-0000F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VMT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27</xdr:row>
          <xdr:rowOff>0</xdr:rowOff>
        </xdr:from>
        <xdr:to>
          <xdr:col>9</xdr:col>
          <xdr:colOff>419100</xdr:colOff>
          <xdr:row>27</xdr:row>
          <xdr:rowOff>209550</xdr:rowOff>
        </xdr:to>
        <xdr:sp macro="" textlink="">
          <xdr:nvSpPr>
            <xdr:cNvPr id="25855" name="UNI_CheckBox" hidden="1">
              <a:extLst>
                <a:ext uri="{63B3BB69-23CF-44E3-9099-C40C66FF867C}">
                  <a14:compatExt spid="_x0000_s25855"/>
                </a:ext>
                <a:ext uri="{FF2B5EF4-FFF2-40B4-BE49-F238E27FC236}">
                  <a16:creationId xmlns:a16="http://schemas.microsoft.com/office/drawing/2014/main" id="{00000000-0008-0000-1600-0000F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28</xdr:row>
          <xdr:rowOff>0</xdr:rowOff>
        </xdr:from>
        <xdr:to>
          <xdr:col>9</xdr:col>
          <xdr:colOff>419100</xdr:colOff>
          <xdr:row>28</xdr:row>
          <xdr:rowOff>209550</xdr:rowOff>
        </xdr:to>
        <xdr:sp macro="" textlink="">
          <xdr:nvSpPr>
            <xdr:cNvPr id="25856" name="AMZ TR_CheckBox" hidden="1">
              <a:extLst>
                <a:ext uri="{63B3BB69-23CF-44E3-9099-C40C66FF867C}">
                  <a14:compatExt spid="_x0000_s25856"/>
                </a:ext>
                <a:ext uri="{FF2B5EF4-FFF2-40B4-BE49-F238E27FC236}">
                  <a16:creationId xmlns:a16="http://schemas.microsoft.com/office/drawing/2014/main" id="{00000000-0008-0000-1600-0000006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TR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29</xdr:row>
          <xdr:rowOff>0</xdr:rowOff>
        </xdr:from>
        <xdr:to>
          <xdr:col>9</xdr:col>
          <xdr:colOff>419100</xdr:colOff>
          <xdr:row>29</xdr:row>
          <xdr:rowOff>209550</xdr:rowOff>
        </xdr:to>
        <xdr:sp macro="" textlink="">
          <xdr:nvSpPr>
            <xdr:cNvPr id="25857" name="GSTR2B_CheckBox" hidden="1">
              <a:extLst>
                <a:ext uri="{63B3BB69-23CF-44E3-9099-C40C66FF867C}">
                  <a14:compatExt spid="_x0000_s25857"/>
                </a:ext>
                <a:ext uri="{FF2B5EF4-FFF2-40B4-BE49-F238E27FC236}">
                  <a16:creationId xmlns:a16="http://schemas.microsoft.com/office/drawing/2014/main" id="{00000000-0008-0000-1600-0000016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GSTR2B</a:t>
              </a:r>
            </a:p>
          </xdr:txBody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0</xdr:row>
      <xdr:rowOff>47625</xdr:rowOff>
    </xdr:from>
    <xdr:to>
      <xdr:col>12</xdr:col>
      <xdr:colOff>1228725</xdr:colOff>
      <xdr:row>1</xdr:row>
      <xdr:rowOff>142874</xdr:rowOff>
    </xdr:to>
    <xdr:sp macro="[0]!MasterMonth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14458950" y="47625"/>
          <a:ext cx="1171575" cy="2857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Import All Data</a:t>
          </a:r>
        </a:p>
      </xdr:txBody>
    </xdr:sp>
    <xdr:clientData/>
  </xdr:twoCellAnchor>
  <xdr:twoCellAnchor>
    <xdr:from>
      <xdr:col>12</xdr:col>
      <xdr:colOff>123825</xdr:colOff>
      <xdr:row>2</xdr:row>
      <xdr:rowOff>66675</xdr:rowOff>
    </xdr:from>
    <xdr:to>
      <xdr:col>12</xdr:col>
      <xdr:colOff>1143000</xdr:colOff>
      <xdr:row>2</xdr:row>
      <xdr:rowOff>352424</xdr:rowOff>
    </xdr:to>
    <xdr:sp macro="[0]!clearmonthms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14268450" y="466725"/>
          <a:ext cx="1019175" cy="285749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Clear</a:t>
          </a:r>
        </a:p>
      </xdr:txBody>
    </xdr:sp>
    <xdr:clientData/>
  </xdr:twoCellAnchor>
  <xdr:twoCellAnchor>
    <xdr:from>
      <xdr:col>10</xdr:col>
      <xdr:colOff>47625</xdr:colOff>
      <xdr:row>2</xdr:row>
      <xdr:rowOff>47625</xdr:rowOff>
    </xdr:from>
    <xdr:to>
      <xdr:col>10</xdr:col>
      <xdr:colOff>1143000</xdr:colOff>
      <xdr:row>2</xdr:row>
      <xdr:rowOff>333374</xdr:rowOff>
    </xdr:to>
    <xdr:sp macro="[0]!Export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12049125" y="438150"/>
          <a:ext cx="1095375" cy="285749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Export</a:t>
          </a:r>
          <a:r>
            <a:rPr lang="en-US" sz="1100" baseline="0">
              <a:solidFill>
                <a:schemeClr val="tx1"/>
              </a:solidFill>
            </a:rPr>
            <a:t> Data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47625</xdr:colOff>
      <xdr:row>2</xdr:row>
      <xdr:rowOff>57150</xdr:rowOff>
    </xdr:from>
    <xdr:to>
      <xdr:col>11</xdr:col>
      <xdr:colOff>1171574</xdr:colOff>
      <xdr:row>2</xdr:row>
      <xdr:rowOff>342899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/>
      </xdr:nvSpPr>
      <xdr:spPr>
        <a:xfrm>
          <a:off x="12992100" y="457200"/>
          <a:ext cx="1123949" cy="28574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All</a:t>
          </a:r>
          <a:r>
            <a:rPr lang="en-US" sz="1100" b="1" baseline="0">
              <a:solidFill>
                <a:sysClr val="windowText" lastClr="000000"/>
              </a:solidFill>
            </a:rPr>
            <a:t> Data Clear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19050</xdr:colOff>
      <xdr:row>0</xdr:row>
      <xdr:rowOff>38100</xdr:rowOff>
    </xdr:from>
    <xdr:to>
      <xdr:col>11</xdr:col>
      <xdr:colOff>1190625</xdr:colOff>
      <xdr:row>1</xdr:row>
      <xdr:rowOff>133349</xdr:rowOff>
    </xdr:to>
    <xdr:sp macro="[0]!entrysummary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13154025" y="38100"/>
          <a:ext cx="1171575" cy="2857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Entry</a:t>
          </a:r>
          <a:r>
            <a:rPr lang="en-US" sz="1100" baseline="0">
              <a:solidFill>
                <a:schemeClr val="tx1"/>
              </a:solidFill>
            </a:rPr>
            <a:t> Summary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17</xdr:row>
      <xdr:rowOff>38100</xdr:rowOff>
    </xdr:from>
    <xdr:to>
      <xdr:col>1</xdr:col>
      <xdr:colOff>1762125</xdr:colOff>
      <xdr:row>18</xdr:row>
      <xdr:rowOff>171600</xdr:rowOff>
    </xdr:to>
    <xdr:sp macro="[0]!Registration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>
          <a:spLocks/>
        </xdr:cNvSpPr>
      </xdr:nvSpPr>
      <xdr:spPr>
        <a:xfrm>
          <a:off x="1343025" y="3276600"/>
          <a:ext cx="1638300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23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39997558519241921"/>
  </sheetPr>
  <dimension ref="A1:DO4"/>
  <sheetViews>
    <sheetView workbookViewId="0">
      <selection activeCell="B38" sqref="B38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79" t="s">
        <v>142</v>
      </c>
      <c r="B1" s="80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3" t="s">
        <v>245</v>
      </c>
      <c r="O1" s="404" t="s">
        <v>235</v>
      </c>
      <c r="P1" s="405"/>
      <c r="AB1" s="16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1">
        <f>+SUM(DL:DL)</f>
        <v>0</v>
      </c>
      <c r="J2" s="52">
        <f>+E2-H2</f>
        <v>0</v>
      </c>
      <c r="K2" s="30"/>
      <c r="L2" s="30"/>
      <c r="M2" s="31" t="s">
        <v>91</v>
      </c>
      <c r="N2" s="84">
        <f>+IF(O2=2,COUNTIF(DD:DE,"+++++++++")-2,(COUNTIF(DD:DE,"+++++++++")-1)+(COUNTIF(DL:DL,"Error in Amount")))</f>
        <v>0</v>
      </c>
      <c r="O2" s="93">
        <v>1</v>
      </c>
      <c r="P2" s="94" t="s">
        <v>296</v>
      </c>
      <c r="S2" s="2"/>
      <c r="AD2" s="85" t="s">
        <v>325</v>
      </c>
      <c r="AE2" s="85" t="s">
        <v>791</v>
      </c>
      <c r="AF2" s="85" t="s">
        <v>789</v>
      </c>
      <c r="AG2" s="85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0" t="s">
        <v>71</v>
      </c>
      <c r="DB2" s="90" t="s">
        <v>874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x14ac:dyDescent="0.25">
      <c r="A3" s="370"/>
      <c r="B3" s="63" t="s">
        <v>83</v>
      </c>
      <c r="C3" s="62"/>
      <c r="D3" s="62" t="s">
        <v>920</v>
      </c>
      <c r="E3" s="73"/>
      <c r="F3" s="62"/>
      <c r="G3" s="74"/>
      <c r="H3" s="75"/>
      <c r="I3" s="62"/>
      <c r="J3" s="62"/>
      <c r="K3" s="62"/>
      <c r="L3" s="62" t="s">
        <v>929</v>
      </c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6">
        <f>+IF(ISBLANK(AI3),J3,I3)</f>
        <v>0</v>
      </c>
      <c r="DB3" s="26" t="str">
        <f>+$B$3</f>
        <v>Meesho</v>
      </c>
      <c r="DC3" s="26">
        <f>IF(ISBLANK(AI3),G3,F3)</f>
        <v>0</v>
      </c>
      <c r="DD3" s="57" t="str">
        <f>+CONCATENATE(DJ3,"%",," ","(",DI3,")")</f>
        <v>0% ()</v>
      </c>
      <c r="DE3" s="26" t="str">
        <f>IFERROR(IF(ISBLANK(AI3),VLOOKUP(TRIM(AD3),Help!$A$2:$B$250,2,0),VLOOKUP(TRIM(AF3),Help!$A$2:$B$250,2,0)),"+++++++++")</f>
        <v>+++++++++</v>
      </c>
      <c r="DF3" s="27" t="s">
        <v>85</v>
      </c>
      <c r="DG3" s="78" t="e">
        <f>+VALUE(B3)</f>
        <v>#VALUE!</v>
      </c>
      <c r="DH3" s="26" t="str">
        <f>+D3</f>
        <v>\\ADITYA-TECH\All Sharing\Ecom Setup\Devlop\ecomm statment\ForwardReports.xlsx</v>
      </c>
      <c r="DI3" s="26" t="str">
        <f>IF(OR(ISBLANK(Q3), ISBLANK(N3)), "", IF(ISBLANK(AI3), Q3, N3))</f>
        <v/>
      </c>
      <c r="DJ3" s="26">
        <f>VALUE(IF(ISBLANK(AI3),S3,P3))</f>
        <v>0</v>
      </c>
      <c r="DK3" s="26">
        <f>VALUE(IF(ISBLANK(AI3),F3,X3))</f>
        <v>0</v>
      </c>
      <c r="DL3" s="354">
        <f>IFERROR(VALUE(IF($R$2="nullremove",IF(ISBLANK(AI3),IF(H3="null",0,AC3),IF(G3="null",0,-AE3)),IF(ISBLANK(AI3),AC3,-AE3))),"Error in Amount")</f>
        <v>0</v>
      </c>
      <c r="DM3" s="72">
        <f>+DL3*0.005</f>
        <v>0</v>
      </c>
      <c r="DN3" s="26" t="str">
        <f>CONCATENATE(IF(DE3="+++++++++","State",""),IF(DD3="+++++++++","PrctName",""),,IF(DL3="Error in Amount","Error in Amount",""))</f>
        <v>State</v>
      </c>
      <c r="DO3" s="26" t="str">
        <f>IF(DE3="+++++++++", IF(OR(ISBLANK(AD3), ISBLANK(AF3)), "", IF(ISBLANK(AI3), AD3, AF3)), "")</f>
        <v/>
      </c>
    </row>
    <row r="4" spans="1:119" s="114" customFormat="1" ht="26.25" customHeight="1" x14ac:dyDescent="0.25">
      <c r="A4" s="394" t="s">
        <v>111</v>
      </c>
      <c r="B4" s="394" t="s">
        <v>112</v>
      </c>
      <c r="C4" s="394" t="s">
        <v>113</v>
      </c>
      <c r="D4" s="394" t="s">
        <v>114</v>
      </c>
      <c r="E4" s="394" t="s">
        <v>115</v>
      </c>
      <c r="F4" s="394" t="s">
        <v>116</v>
      </c>
      <c r="G4" s="394" t="s">
        <v>117</v>
      </c>
      <c r="H4" s="394" t="s">
        <v>118</v>
      </c>
      <c r="I4" s="394" t="s">
        <v>119</v>
      </c>
      <c r="J4" s="394" t="s">
        <v>120</v>
      </c>
      <c r="K4" s="394" t="s">
        <v>121</v>
      </c>
      <c r="L4" s="394" t="s">
        <v>122</v>
      </c>
      <c r="M4" s="394" t="s">
        <v>123</v>
      </c>
      <c r="N4" s="394" t="s">
        <v>124</v>
      </c>
      <c r="O4" s="394" t="s">
        <v>125</v>
      </c>
      <c r="P4" s="394" t="s">
        <v>126</v>
      </c>
      <c r="Q4" s="394" t="s">
        <v>127</v>
      </c>
      <c r="R4" s="394" t="s">
        <v>128</v>
      </c>
      <c r="S4" s="394" t="s">
        <v>129</v>
      </c>
      <c r="T4" s="394" t="s">
        <v>130</v>
      </c>
      <c r="U4" s="394" t="s">
        <v>131</v>
      </c>
      <c r="V4" s="394" t="s">
        <v>132</v>
      </c>
      <c r="W4" s="394" t="s">
        <v>902</v>
      </c>
      <c r="X4" s="394" t="s">
        <v>903</v>
      </c>
      <c r="Y4" s="394" t="s">
        <v>904</v>
      </c>
      <c r="Z4" s="394" t="s">
        <v>905</v>
      </c>
      <c r="AA4" s="394" t="s">
        <v>133</v>
      </c>
      <c r="AB4" s="394" t="s">
        <v>134</v>
      </c>
      <c r="AC4" s="394" t="s">
        <v>135</v>
      </c>
      <c r="AD4" s="394" t="s">
        <v>136</v>
      </c>
      <c r="AE4" s="394" t="s">
        <v>137</v>
      </c>
      <c r="AF4" s="394" t="s">
        <v>138</v>
      </c>
      <c r="AG4" s="394" t="s">
        <v>906</v>
      </c>
      <c r="AH4" s="394" t="s">
        <v>139</v>
      </c>
      <c r="AI4" s="394" t="s">
        <v>140</v>
      </c>
      <c r="AJ4" s="394" t="s">
        <v>141</v>
      </c>
      <c r="AK4" s="18"/>
      <c r="AL4" s="18"/>
      <c r="AM4" s="18"/>
      <c r="AN4" s="18"/>
      <c r="AO4" s="112"/>
      <c r="AP4" s="112"/>
      <c r="AQ4" s="112"/>
      <c r="AR4" s="112"/>
      <c r="AS4" s="112"/>
      <c r="AT4" s="112"/>
      <c r="AU4" s="112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  <c r="BJ4" s="112"/>
      <c r="BK4" s="112"/>
      <c r="BL4" s="112"/>
      <c r="BM4" s="112"/>
      <c r="BN4" s="112"/>
      <c r="BO4" s="112"/>
      <c r="BP4" s="112"/>
      <c r="BQ4" s="112"/>
      <c r="BR4" s="112"/>
      <c r="BS4" s="112"/>
      <c r="BT4" s="112"/>
      <c r="BU4" s="112"/>
      <c r="BV4" s="112"/>
      <c r="BW4" s="112"/>
      <c r="BX4" s="112"/>
      <c r="BY4" s="112"/>
      <c r="BZ4" s="112"/>
      <c r="CA4" s="112"/>
      <c r="CB4" s="112"/>
      <c r="CC4" s="112"/>
      <c r="CD4" s="112"/>
      <c r="CE4" s="112"/>
      <c r="CF4" s="112"/>
      <c r="CG4" s="112"/>
      <c r="CH4" s="112"/>
      <c r="CI4" s="112"/>
      <c r="CJ4" s="112"/>
      <c r="CK4" s="112"/>
      <c r="CL4" s="112"/>
      <c r="CM4" s="112"/>
      <c r="CN4" s="16"/>
      <c r="CO4" s="112"/>
      <c r="CP4" s="112"/>
      <c r="CQ4" s="112"/>
      <c r="CR4" s="112"/>
      <c r="CS4" s="112"/>
      <c r="CT4" s="112"/>
      <c r="CU4" s="112"/>
      <c r="CV4" s="112"/>
      <c r="CW4" s="112"/>
      <c r="CX4" s="112"/>
      <c r="CY4" s="112"/>
      <c r="CZ4" s="112"/>
      <c r="DA4" s="113"/>
      <c r="DB4" s="113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7/13spweTYvV4GVYmfkIK07gSDIjBuqoNSkE3X+nA/UHCrHE6UpTpyI3AE0IIf3F3X08/n4D3y3Cyo8gQGz4ag==" saltValue="M1qMiyUa2Ii2J3B6aEQZ9w==" spinCount="100000" sheet="1" objects="1" scenarios="1"/>
  <protectedRanges>
    <protectedRange sqref="DN4:DO4 DO1" name="Range1"/>
    <protectedRange sqref="DA4:DM4" name="Range1_1"/>
    <protectedRange sqref="DO3" name="Range1_2"/>
    <protectedRange sqref="DE3:DJ3 DL3:DM3" name="Range1_1_2"/>
    <protectedRange sqref="DA3:DD3" name="Range1_1_1_1"/>
  </protectedRanges>
  <mergeCells count="1">
    <mergeCell ref="O1:P1"/>
  </mergeCells>
  <conditionalFormatting sqref="E2:E3 L2 F2:G2">
    <cfRule type="cellIs" dxfId="303" priority="17" operator="equal">
      <formula>#N/A</formula>
    </cfRule>
  </conditionalFormatting>
  <conditionalFormatting sqref="H1:H2">
    <cfRule type="cellIs" dxfId="302" priority="16" operator="equal">
      <formula>#N/A</formula>
    </cfRule>
  </conditionalFormatting>
  <conditionalFormatting sqref="E1">
    <cfRule type="cellIs" dxfId="301" priority="10" operator="equal">
      <formula>#N/A</formula>
    </cfRule>
  </conditionalFormatting>
  <conditionalFormatting sqref="I1:I2">
    <cfRule type="cellIs" dxfId="300" priority="9" operator="equal">
      <formula>#N/A</formula>
    </cfRule>
  </conditionalFormatting>
  <conditionalFormatting sqref="J1:J2">
    <cfRule type="cellIs" dxfId="299" priority="8" operator="equal">
      <formula>#N/A</formula>
    </cfRule>
  </conditionalFormatting>
  <conditionalFormatting sqref="J1">
    <cfRule type="containsText" dxfId="298" priority="6" operator="containsText" text="All Data Import Successfully">
      <formula>NOT(ISERROR(SEARCH("All Data Import Successfully",J1)))</formula>
    </cfRule>
    <cfRule type="containsText" dxfId="297" priority="7" operator="containsText" text="Difference Entry">
      <formula>NOT(ISERROR(SEARCH("Difference Entry",J1)))</formula>
    </cfRule>
  </conditionalFormatting>
  <conditionalFormatting sqref="J2">
    <cfRule type="cellIs" dxfId="296" priority="5" operator="equal">
      <formula>0</formula>
    </cfRule>
  </conditionalFormatting>
  <conditionalFormatting sqref="K2">
    <cfRule type="cellIs" dxfId="295" priority="4" operator="equal">
      <formula>#N/A</formula>
    </cfRule>
  </conditionalFormatting>
  <conditionalFormatting sqref="E4">
    <cfRule type="cellIs" dxfId="294" priority="1" operator="equal">
      <formula>#N/A</formula>
    </cfRule>
  </conditionalFormatting>
  <dataValidations count="2">
    <dataValidation type="list" allowBlank="1" showInputMessage="1" showErrorMessage="1" sqref="B1" xr:uid="{00000000-0002-0000-0000-000000000000}">
      <formula1>"1,2"</formula1>
    </dataValidation>
    <dataValidation type="list" allowBlank="1" showInputMessage="1" showErrorMessage="1" sqref="P2" xr:uid="{00000000-0002-0000-0000-000001000000}">
      <formula1>"HSN+%"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45045-39E2-4B7B-BA16-BDD2EE0500EF}">
  <sheetPr codeName="Sheet24">
    <tabColor theme="5" tint="0.39997558519241921"/>
  </sheetPr>
  <dimension ref="A1:DO4"/>
  <sheetViews>
    <sheetView workbookViewId="0">
      <selection activeCell="H13" sqref="H13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79" t="s">
        <v>142</v>
      </c>
      <c r="B1" s="80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3" t="s">
        <v>245</v>
      </c>
      <c r="O1" s="404" t="s">
        <v>235</v>
      </c>
      <c r="P1" s="405"/>
      <c r="AB1" s="16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1">
        <f>+SUM(DL:DL)</f>
        <v>0</v>
      </c>
      <c r="J2" s="52">
        <f>+E2-H2</f>
        <v>0</v>
      </c>
      <c r="K2" s="30"/>
      <c r="L2" s="30"/>
      <c r="M2" s="31" t="s">
        <v>91</v>
      </c>
      <c r="N2" s="84">
        <f>+(COUNTIF(DE:DE,"StateERROR"))+(COUNTIF(DD:DD,"ProductERROR")-1)+(COUNTIF(DL:DL,"AmountERROR"))</f>
        <v>0</v>
      </c>
      <c r="O2" s="93">
        <v>1</v>
      </c>
      <c r="P2" s="94" t="s">
        <v>296</v>
      </c>
      <c r="S2" s="2"/>
      <c r="AD2" s="85" t="s">
        <v>325</v>
      </c>
      <c r="AE2" s="85" t="s">
        <v>791</v>
      </c>
      <c r="AF2" s="85" t="s">
        <v>789</v>
      </c>
      <c r="AG2" s="85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0" t="s">
        <v>71</v>
      </c>
      <c r="DB2" s="90" t="s">
        <v>874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x14ac:dyDescent="0.25">
      <c r="A3" s="370"/>
      <c r="B3" s="63" t="s">
        <v>83</v>
      </c>
      <c r="C3" s="62"/>
      <c r="D3" s="62" t="s">
        <v>924</v>
      </c>
      <c r="E3" s="73"/>
      <c r="F3" s="62"/>
      <c r="G3" s="74"/>
      <c r="H3" s="75"/>
      <c r="I3" s="62"/>
      <c r="J3" s="62"/>
      <c r="K3" s="62"/>
      <c r="L3" s="62" t="s">
        <v>929</v>
      </c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9">
        <f>+IF(ISBLANK(AL3),J3,I3)</f>
        <v>0</v>
      </c>
      <c r="DB3" s="29" t="str">
        <f>+$B$3</f>
        <v>Meesho</v>
      </c>
      <c r="DC3" s="202" t="s">
        <v>85</v>
      </c>
      <c r="DD3" s="28" t="str">
        <f>+IFERROR(CONCATENATE(DJ3,"%",," ","(",DI3,")"),"ProductERROR")</f>
        <v>% ()</v>
      </c>
      <c r="DE3" s="29" t="str">
        <f>IFERROR(IF(ISBLANK(AL3),VLOOKUP(TRIM(AF3),Help!$A$2:$B$250,2,0),VLOOKUP(TRIM(AH3),Help!$A$2:$B$250,2,0)),"StateERROR")</f>
        <v>StateERROR</v>
      </c>
      <c r="DF3" s="202" t="s">
        <v>85</v>
      </c>
      <c r="DG3" s="28" t="e">
        <f>+VALUE(B3)</f>
        <v>#VALUE!</v>
      </c>
      <c r="DH3" s="29" t="str">
        <f>+D3</f>
        <v>D:\All Sharing\Ecom Setup\Devlop\ecomm statment\tcs_sales meesho.xlsx</v>
      </c>
      <c r="DI3" s="113" t="str">
        <f>IF(OR(ISBLANK(Q3), ISBLANK(N3)), "", IF(ISBLANK(AL3), Q3, N3))</f>
        <v/>
      </c>
      <c r="DJ3" s="29" t="str">
        <f>(IF(ISBLANK(AL3),IF(ISBLANK(S3),"",VALUE(S3)),IF(ISBLANK(P3),"",VALUE(P3))))</f>
        <v/>
      </c>
      <c r="DK3" s="29">
        <f>VALUE(IF(ISBLANK(AL3),F3,AC3))</f>
        <v>0</v>
      </c>
      <c r="DL3" s="396">
        <f>IFERROR(VALUE(IF($R$2="nullremove",IF(ISBLANK(AL3),IF(H3="null",0,AE3),IF(G3="null",0,-AG3)),IF(ISBLANK(AL3),AE3,-AG3))),"AmountERROR")</f>
        <v>0</v>
      </c>
      <c r="DM3" s="395">
        <f>+DL3*0.005</f>
        <v>0</v>
      </c>
      <c r="DN3" s="29" t="str">
        <f>CONCATENATE(IF(DE3="StateERROR","State",""),IF(DD3="ProductERROR","PrctName",""),,IF(DL3="AmountERROR","AmountERROR",""))</f>
        <v>State</v>
      </c>
      <c r="DO3" s="29" t="str">
        <f>IF(DE3="StateERROR", IF(OR(ISBLANK(AD3), ISBLANK(AF3)), "", IF(ISBLANK(AL3), AF3, AH3)), "")</f>
        <v/>
      </c>
    </row>
    <row r="4" spans="1:119" s="114" customFormat="1" ht="26.25" customHeight="1" x14ac:dyDescent="0.25">
      <c r="A4" s="394" t="s">
        <v>111</v>
      </c>
      <c r="B4" s="394" t="s">
        <v>112</v>
      </c>
      <c r="C4" s="394" t="s">
        <v>113</v>
      </c>
      <c r="D4" s="394" t="s">
        <v>114</v>
      </c>
      <c r="E4" s="394" t="s">
        <v>115</v>
      </c>
      <c r="F4" s="394" t="s">
        <v>116</v>
      </c>
      <c r="G4" s="394" t="s">
        <v>117</v>
      </c>
      <c r="H4" s="394" t="s">
        <v>118</v>
      </c>
      <c r="I4" s="394" t="s">
        <v>119</v>
      </c>
      <c r="J4" s="394" t="s">
        <v>120</v>
      </c>
      <c r="K4" s="394" t="s">
        <v>121</v>
      </c>
      <c r="L4" s="394" t="s">
        <v>122</v>
      </c>
      <c r="M4" s="394" t="s">
        <v>123</v>
      </c>
      <c r="N4" s="394" t="s">
        <v>124</v>
      </c>
      <c r="O4" s="394" t="s">
        <v>125</v>
      </c>
      <c r="P4" s="394" t="s">
        <v>126</v>
      </c>
      <c r="Q4" s="394" t="s">
        <v>127</v>
      </c>
      <c r="R4" s="394" t="s">
        <v>128</v>
      </c>
      <c r="S4" s="394" t="s">
        <v>129</v>
      </c>
      <c r="T4" s="394" t="s">
        <v>130</v>
      </c>
      <c r="U4" s="394" t="s">
        <v>131</v>
      </c>
      <c r="V4" s="394" t="s">
        <v>132</v>
      </c>
      <c r="W4" s="394" t="s">
        <v>902</v>
      </c>
      <c r="X4" s="394" t="s">
        <v>903</v>
      </c>
      <c r="Y4" s="394" t="s">
        <v>904</v>
      </c>
      <c r="Z4" s="394" t="s">
        <v>905</v>
      </c>
      <c r="AA4" s="394" t="s">
        <v>133</v>
      </c>
      <c r="AB4" s="394" t="s">
        <v>134</v>
      </c>
      <c r="AC4" s="394" t="s">
        <v>135</v>
      </c>
      <c r="AD4" s="394" t="s">
        <v>136</v>
      </c>
      <c r="AE4" s="394" t="s">
        <v>137</v>
      </c>
      <c r="AF4" s="394" t="s">
        <v>138</v>
      </c>
      <c r="AG4" s="394" t="s">
        <v>906</v>
      </c>
      <c r="AH4" s="394" t="s">
        <v>139</v>
      </c>
      <c r="AI4" s="394" t="s">
        <v>140</v>
      </c>
      <c r="AJ4" s="394" t="s">
        <v>141</v>
      </c>
      <c r="AK4" s="18"/>
      <c r="AL4" s="18"/>
      <c r="AM4" s="18"/>
      <c r="AN4" s="18"/>
      <c r="AO4" s="112"/>
      <c r="AP4" s="112"/>
      <c r="AQ4" s="112"/>
      <c r="AR4" s="112"/>
      <c r="AS4" s="112"/>
      <c r="AT4" s="112"/>
      <c r="AU4" s="112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  <c r="BJ4" s="112"/>
      <c r="BK4" s="112"/>
      <c r="BL4" s="112"/>
      <c r="BM4" s="112"/>
      <c r="BN4" s="112"/>
      <c r="BO4" s="112"/>
      <c r="BP4" s="112"/>
      <c r="BQ4" s="112"/>
      <c r="BR4" s="112"/>
      <c r="BS4" s="112"/>
      <c r="BT4" s="112"/>
      <c r="BU4" s="112"/>
      <c r="BV4" s="112"/>
      <c r="BW4" s="112"/>
      <c r="BX4" s="112"/>
      <c r="BY4" s="112"/>
      <c r="BZ4" s="112"/>
      <c r="CA4" s="112"/>
      <c r="CB4" s="112"/>
      <c r="CC4" s="112"/>
      <c r="CD4" s="112"/>
      <c r="CE4" s="112"/>
      <c r="CF4" s="112"/>
      <c r="CG4" s="112"/>
      <c r="CH4" s="112"/>
      <c r="CI4" s="112"/>
      <c r="CJ4" s="112"/>
      <c r="CK4" s="112"/>
      <c r="CL4" s="112"/>
      <c r="CM4" s="112"/>
      <c r="CN4" s="16"/>
      <c r="CO4" s="112"/>
      <c r="CP4" s="112"/>
      <c r="CQ4" s="112"/>
      <c r="CR4" s="112"/>
      <c r="CS4" s="112"/>
      <c r="CT4" s="112"/>
      <c r="CU4" s="112"/>
      <c r="CV4" s="112"/>
      <c r="CW4" s="112"/>
      <c r="CX4" s="112"/>
      <c r="CY4" s="112"/>
      <c r="CZ4" s="112"/>
      <c r="DA4" s="113"/>
      <c r="DB4" s="113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0ijFc4g4i355R/XYWe5b97AFSueHdt4Zi5ljHV3f6WJrIpcobMa2yI/4ieqZUr+OQxGNy2fE2K3+Q6Adeqzrpg==" saltValue="8EomHTigxtOzAz/Do6nIdw==" spinCount="100000" sheet="1" objects="1" scenarios="1"/>
  <protectedRanges>
    <protectedRange sqref="DN4:DO4 DO3 DO1" name="Range1"/>
    <protectedRange sqref="DA4:DM4 DE3:DJ3 DL3:DM3" name="Range1_1"/>
    <protectedRange sqref="DA3:DD3" name="Range1_1_1"/>
  </protectedRanges>
  <mergeCells count="1">
    <mergeCell ref="O1:P1"/>
  </mergeCells>
  <conditionalFormatting sqref="E2:E3 L2 F2:G2">
    <cfRule type="cellIs" dxfId="293" priority="10" operator="equal">
      <formula>#N/A</formula>
    </cfRule>
  </conditionalFormatting>
  <conditionalFormatting sqref="H1:H2">
    <cfRule type="cellIs" dxfId="292" priority="9" operator="equal">
      <formula>#N/A</formula>
    </cfRule>
  </conditionalFormatting>
  <conditionalFormatting sqref="E1">
    <cfRule type="cellIs" dxfId="291" priority="8" operator="equal">
      <formula>#N/A</formula>
    </cfRule>
  </conditionalFormatting>
  <conditionalFormatting sqref="I1:I2">
    <cfRule type="cellIs" dxfId="290" priority="7" operator="equal">
      <formula>#N/A</formula>
    </cfRule>
  </conditionalFormatting>
  <conditionalFormatting sqref="J1:J2">
    <cfRule type="cellIs" dxfId="289" priority="6" operator="equal">
      <formula>#N/A</formula>
    </cfRule>
  </conditionalFormatting>
  <conditionalFormatting sqref="J1">
    <cfRule type="containsText" dxfId="288" priority="4" operator="containsText" text="All Data Import Successfully">
      <formula>NOT(ISERROR(SEARCH("All Data Import Successfully",J1)))</formula>
    </cfRule>
    <cfRule type="containsText" dxfId="287" priority="5" operator="containsText" text="Difference Entry">
      <formula>NOT(ISERROR(SEARCH("Difference Entry",J1)))</formula>
    </cfRule>
  </conditionalFormatting>
  <conditionalFormatting sqref="J2">
    <cfRule type="cellIs" dxfId="286" priority="3" operator="equal">
      <formula>0</formula>
    </cfRule>
  </conditionalFormatting>
  <conditionalFormatting sqref="K2">
    <cfRule type="cellIs" dxfId="285" priority="2" operator="equal">
      <formula>#N/A</formula>
    </cfRule>
  </conditionalFormatting>
  <conditionalFormatting sqref="E4">
    <cfRule type="cellIs" dxfId="284" priority="1" operator="equal">
      <formula>#N/A</formula>
    </cfRule>
  </conditionalFormatting>
  <dataValidations count="2">
    <dataValidation type="list" allowBlank="1" showInputMessage="1" showErrorMessage="1" sqref="P2" xr:uid="{D6F44643-5E34-44CB-9E2A-E307F01B6EAD}">
      <formula1>"HSN+%"</formula1>
    </dataValidation>
    <dataValidation type="list" allowBlank="1" showInputMessage="1" showErrorMessage="1" sqref="B1" xr:uid="{BBF1A6A4-7C67-4019-B6A2-17ED77C81A52}">
      <formula1>"1,2"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04B9-E16B-4AC4-BB91-E32CC26A8B35}">
  <sheetPr codeName="Sheet25">
    <tabColor theme="5" tint="0.39997558519241921"/>
  </sheetPr>
  <dimension ref="A1:DO4"/>
  <sheetViews>
    <sheetView workbookViewId="0">
      <selection activeCell="A5" sqref="A5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4" width="9.140625" style="16"/>
    <col min="115" max="115" width="10.42578125" style="16" bestFit="1" customWidth="1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79" t="s">
        <v>142</v>
      </c>
      <c r="B1" s="80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3" t="s">
        <v>245</v>
      </c>
      <c r="O1" s="404" t="s">
        <v>235</v>
      </c>
      <c r="P1" s="405"/>
      <c r="AB1" s="16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1">
        <f>+SUM(DL:DL)</f>
        <v>0</v>
      </c>
      <c r="J2" s="52">
        <f>+E2-H2</f>
        <v>0</v>
      </c>
      <c r="K2" s="30"/>
      <c r="L2" s="30"/>
      <c r="M2" s="31" t="s">
        <v>91</v>
      </c>
      <c r="N2" s="84">
        <f>+IF(O2=2,COUNTIF(DD:DE,"+++++++++")-2,(COUNTIF(DD:DE,"+++++++++"))+(COUNTIF(DL:DL,"Error in Amount")))</f>
        <v>0</v>
      </c>
      <c r="O2" s="93">
        <v>1</v>
      </c>
      <c r="P2" s="94" t="s">
        <v>296</v>
      </c>
      <c r="S2" s="2"/>
      <c r="AD2" s="85" t="s">
        <v>325</v>
      </c>
      <c r="AE2" s="85" t="s">
        <v>791</v>
      </c>
      <c r="AF2" s="85" t="s">
        <v>789</v>
      </c>
      <c r="AG2" s="85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0" t="s">
        <v>71</v>
      </c>
      <c r="DB2" s="90" t="s">
        <v>874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x14ac:dyDescent="0.25">
      <c r="A3" s="370"/>
      <c r="B3" s="63" t="s">
        <v>83</v>
      </c>
      <c r="C3" s="62"/>
      <c r="D3" s="62" t="s">
        <v>928</v>
      </c>
      <c r="E3" s="73"/>
      <c r="F3" s="62"/>
      <c r="G3" s="74"/>
      <c r="H3" s="75"/>
      <c r="I3" s="62"/>
      <c r="J3" s="62"/>
      <c r="K3" s="62"/>
      <c r="L3" s="62" t="s">
        <v>929</v>
      </c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6" t="e">
        <f>VLOOKUP(VALUE(LEFT(C3,2)),Help!$E$2:$F$45,2,0)</f>
        <v>#VALUE!</v>
      </c>
      <c r="DB3" s="26" t="str">
        <f>+$B$3</f>
        <v>Meesho</v>
      </c>
      <c r="DC3" s="27" t="s">
        <v>85</v>
      </c>
      <c r="DD3" s="57" t="str">
        <f>+CONCATENATE(DJ3,"%",," ","(",DI3,")")</f>
        <v>0% (0)</v>
      </c>
      <c r="DE3" s="26" t="e">
        <f>VLOOKUP(TRIM(M3),Help!$A$2:$B$250,2,0)</f>
        <v>#N/A</v>
      </c>
      <c r="DF3" s="27" t="s">
        <v>85</v>
      </c>
      <c r="DG3" s="78">
        <f>+IF(ISBLANK(R3),VALUE(E3),TEXT(DATE(P3,Q3,1),"dd-mm-yyyy"))</f>
        <v>0</v>
      </c>
      <c r="DH3" s="26" t="str">
        <f>+D3</f>
        <v>C:\Users\AT\Desktop\tcs_sales_return.xlsx</v>
      </c>
      <c r="DI3" s="26">
        <f>+VALUE(F3)</f>
        <v>0</v>
      </c>
      <c r="DJ3" s="26">
        <f>+VALUE(H3)</f>
        <v>0</v>
      </c>
      <c r="DK3" s="59">
        <f>+VALUE(G3)</f>
        <v>0</v>
      </c>
      <c r="DL3" s="400">
        <f>IF(ISBLANK(R3),ROUND(I3, 2),ROUND(-I3, 2))</f>
        <v>0</v>
      </c>
      <c r="DM3" s="72">
        <f>+DL3*0.005</f>
        <v>0</v>
      </c>
      <c r="DN3" s="26" t="e">
        <f>CONCATENATE(IF(DE3="+++++++++","State",""),IF(DD3="+++++++++","PrctName",""),,IF(DL3="Error in Amount","Error in Amount",""))</f>
        <v>#N/A</v>
      </c>
      <c r="DO3" s="26" t="e">
        <f>IF(DE3="+++++++++", IF(OR(ISBLANK(AD3), ISBLANK(AF3)), "", IF(ISBLANK(AI3), AD3, AF3)), "")</f>
        <v>#N/A</v>
      </c>
    </row>
    <row r="4" spans="1:119" s="114" customFormat="1" ht="26.25" customHeight="1" x14ac:dyDescent="0.25">
      <c r="A4" s="402" t="s">
        <v>113</v>
      </c>
      <c r="B4" s="402" t="s">
        <v>119</v>
      </c>
      <c r="C4" s="402" t="s">
        <v>126</v>
      </c>
      <c r="D4" s="402" t="s">
        <v>115</v>
      </c>
      <c r="E4" s="402" t="s">
        <v>112</v>
      </c>
      <c r="F4" s="402" t="s">
        <v>127</v>
      </c>
      <c r="G4" s="402" t="s">
        <v>116</v>
      </c>
      <c r="H4" s="402" t="s">
        <v>129</v>
      </c>
      <c r="I4" s="402" t="s">
        <v>925</v>
      </c>
      <c r="J4" s="402" t="s">
        <v>574</v>
      </c>
      <c r="K4" s="402" t="s">
        <v>926</v>
      </c>
      <c r="L4" s="402" t="s">
        <v>134</v>
      </c>
      <c r="M4" s="402" t="s">
        <v>138</v>
      </c>
      <c r="N4" s="402" t="s">
        <v>906</v>
      </c>
      <c r="O4" s="402" t="s">
        <v>139</v>
      </c>
      <c r="P4" s="402" t="s">
        <v>140</v>
      </c>
      <c r="Q4" s="402" t="s">
        <v>141</v>
      </c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12"/>
      <c r="AP4" s="112"/>
      <c r="AQ4" s="112"/>
      <c r="AR4" s="112"/>
      <c r="AS4" s="112"/>
      <c r="AT4" s="112"/>
      <c r="AU4" s="112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  <c r="BJ4" s="112"/>
      <c r="BK4" s="112"/>
      <c r="BL4" s="112"/>
      <c r="BM4" s="112"/>
      <c r="BN4" s="112"/>
      <c r="BO4" s="112"/>
      <c r="BP4" s="112"/>
      <c r="BQ4" s="112"/>
      <c r="BR4" s="112"/>
      <c r="BS4" s="112"/>
      <c r="BT4" s="112"/>
      <c r="BU4" s="112"/>
      <c r="BV4" s="112"/>
      <c r="BW4" s="112"/>
      <c r="BX4" s="112"/>
      <c r="BY4" s="112"/>
      <c r="BZ4" s="112"/>
      <c r="CA4" s="112"/>
      <c r="CB4" s="112"/>
      <c r="CC4" s="112"/>
      <c r="CD4" s="112"/>
      <c r="CE4" s="112"/>
      <c r="CF4" s="112"/>
      <c r="CG4" s="112"/>
      <c r="CH4" s="112"/>
      <c r="CI4" s="112"/>
      <c r="CJ4" s="112"/>
      <c r="CK4" s="112"/>
      <c r="CL4" s="112"/>
      <c r="CM4" s="112"/>
      <c r="CN4" s="16"/>
      <c r="CO4" s="112"/>
      <c r="CP4" s="112"/>
      <c r="CQ4" s="112"/>
      <c r="CR4" s="112"/>
      <c r="CS4" s="112"/>
      <c r="CT4" s="112"/>
      <c r="CU4" s="112"/>
      <c r="CV4" s="112"/>
      <c r="CW4" s="112"/>
      <c r="CX4" s="112"/>
      <c r="CY4" s="112"/>
      <c r="CZ4" s="112"/>
      <c r="DA4" s="113"/>
      <c r="DB4" s="113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IVSzOeibChD/sJPaJyC7PjLKnSiFPEjSeoCMEVlgJv4R9p7iCmwp5P7Q1z0Rh4H6/X4WK/YJWi5zO8Lt7N8iUg==" saltValue="gi/AnA5bKhsinOV77Wk1+w==" spinCount="100000" sheet="1" objects="1" scenarios="1"/>
  <protectedRanges>
    <protectedRange sqref="DN4:DO4 DO1" name="Range1"/>
    <protectedRange sqref="DA4:DM4" name="Range1_1"/>
    <protectedRange sqref="DO3" name="Range1_2"/>
    <protectedRange sqref="DE3:DJ3 DL3:DM3" name="Range1_1_2"/>
    <protectedRange sqref="DA3:DD3" name="Range1_1_1_1"/>
  </protectedRanges>
  <mergeCells count="1">
    <mergeCell ref="O1:P1"/>
  </mergeCells>
  <conditionalFormatting sqref="E2:E3 L2 F2:G2">
    <cfRule type="cellIs" dxfId="283" priority="10" operator="equal">
      <formula>#N/A</formula>
    </cfRule>
  </conditionalFormatting>
  <conditionalFormatting sqref="H1:H2">
    <cfRule type="cellIs" dxfId="282" priority="9" operator="equal">
      <formula>#N/A</formula>
    </cfRule>
  </conditionalFormatting>
  <conditionalFormatting sqref="E1">
    <cfRule type="cellIs" dxfId="281" priority="8" operator="equal">
      <formula>#N/A</formula>
    </cfRule>
  </conditionalFormatting>
  <conditionalFormatting sqref="I1:I2">
    <cfRule type="cellIs" dxfId="280" priority="7" operator="equal">
      <formula>#N/A</formula>
    </cfRule>
  </conditionalFormatting>
  <conditionalFormatting sqref="J1:J2">
    <cfRule type="cellIs" dxfId="279" priority="6" operator="equal">
      <formula>#N/A</formula>
    </cfRule>
  </conditionalFormatting>
  <conditionalFormatting sqref="J1">
    <cfRule type="containsText" dxfId="278" priority="4" operator="containsText" text="All Data Import Successfully">
      <formula>NOT(ISERROR(SEARCH("All Data Import Successfully",J1)))</formula>
    </cfRule>
    <cfRule type="containsText" dxfId="277" priority="5" operator="containsText" text="Difference Entry">
      <formula>NOT(ISERROR(SEARCH("Difference Entry",J1)))</formula>
    </cfRule>
  </conditionalFormatting>
  <conditionalFormatting sqref="J2">
    <cfRule type="cellIs" dxfId="276" priority="3" operator="equal">
      <formula>0</formula>
    </cfRule>
  </conditionalFormatting>
  <conditionalFormatting sqref="K2">
    <cfRule type="cellIs" dxfId="275" priority="2" operator="equal">
      <formula>#N/A</formula>
    </cfRule>
  </conditionalFormatting>
  <conditionalFormatting sqref="E4">
    <cfRule type="cellIs" dxfId="274" priority="1" operator="equal">
      <formula>#N/A</formula>
    </cfRule>
  </conditionalFormatting>
  <dataValidations count="2">
    <dataValidation type="list" allowBlank="1" showInputMessage="1" showErrorMessage="1" sqref="P2" xr:uid="{96D8CBE4-CDA1-4604-8156-2A2E812D716D}">
      <formula1>"HSN+%"</formula1>
    </dataValidation>
    <dataValidation type="list" allowBlank="1" showInputMessage="1" showErrorMessage="1" sqref="B1" xr:uid="{CB40F3E2-62BE-41B5-A3D6-DC5AED00D820}">
      <formula1>"1,2"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42F64-296E-4137-8BE3-C9BBF12C24D8}">
  <sheetPr codeName="Sheet23">
    <tabColor theme="4" tint="0.39997558519241921"/>
  </sheetPr>
  <dimension ref="A1:DT4"/>
  <sheetViews>
    <sheetView showRuler="0" workbookViewId="0">
      <selection activeCell="D12" sqref="D12"/>
    </sheetView>
  </sheetViews>
  <sheetFormatPr defaultRowHeight="15" x14ac:dyDescent="0.25"/>
  <cols>
    <col min="1" max="2" width="17.5703125" style="16" customWidth="1"/>
    <col min="3" max="3" width="17.5703125" style="201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24.140625" style="18" customWidth="1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79" t="s">
        <v>662</v>
      </c>
      <c r="B1" s="80">
        <v>1</v>
      </c>
      <c r="C1" s="108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1"/>
      <c r="L1" s="18"/>
      <c r="M1" s="3"/>
      <c r="N1" s="83" t="s">
        <v>245</v>
      </c>
      <c r="O1" s="404" t="s">
        <v>235</v>
      </c>
      <c r="P1" s="405"/>
      <c r="AB1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5" t="str">
        <f>+IF(ISBLANK(DO3),TRIM(DN3),DO3)</f>
        <v>State</v>
      </c>
      <c r="AL1" s="5"/>
      <c r="BZ1" s="96"/>
      <c r="CJ1" s="105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1" t="s">
        <v>317</v>
      </c>
    </row>
    <row r="2" spans="1:124" customFormat="1" ht="21.75" thickBot="1" x14ac:dyDescent="0.4">
      <c r="A2" s="30" t="s">
        <v>85</v>
      </c>
      <c r="B2" s="30" t="s">
        <v>85</v>
      </c>
      <c r="C2" s="109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3</v>
      </c>
      <c r="P2" s="94" t="s">
        <v>792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791</v>
      </c>
      <c r="AF2" s="85" t="s">
        <v>789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7"/>
      <c r="CA2" s="2"/>
      <c r="CB2" s="2"/>
      <c r="CC2" s="2"/>
      <c r="CD2" s="2"/>
      <c r="CE2" s="2"/>
      <c r="CF2" s="2"/>
      <c r="CG2" s="2"/>
      <c r="CH2" s="2"/>
      <c r="CI2" s="2"/>
      <c r="CJ2" s="106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">
        <v>71</v>
      </c>
      <c r="DB2" s="90" t="s">
        <v>874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379" t="s">
        <v>244</v>
      </c>
      <c r="DP2" s="378" t="s">
        <v>297</v>
      </c>
    </row>
    <row r="3" spans="1:124" customFormat="1" x14ac:dyDescent="0.25">
      <c r="A3" s="370"/>
      <c r="B3" s="63" t="s">
        <v>86</v>
      </c>
      <c r="C3" s="110"/>
      <c r="D3" s="8" t="s">
        <v>901</v>
      </c>
      <c r="E3" s="8"/>
      <c r="F3" s="8"/>
      <c r="G3" s="8"/>
      <c r="H3" s="8"/>
      <c r="I3" s="8"/>
      <c r="J3" s="8"/>
      <c r="K3" s="8"/>
      <c r="L3" s="8" t="s">
        <v>929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6"/>
      <c r="CJ3" s="105"/>
      <c r="DA3" s="363" t="e">
        <f>VLOOKUP(VALUE(LEFT(A3,2)),Help!$E$2:$F$45,2,0)</f>
        <v>#VALUE!</v>
      </c>
      <c r="DB3" s="113" t="str">
        <f>+$B$3</f>
        <v>Amazon</v>
      </c>
      <c r="DC3" s="113">
        <f>+IF(ISBLANK(CE3),X3,CE3)</f>
        <v>0</v>
      </c>
      <c r="DD3" s="113" t="str">
        <f>IF($O$2=2,IFERROR(VLOOKUP(L3,Help!T$3:Z$50000,7,0),"+++++++++"),IF($O$2=3,L3,CONCATENATE(DJ3,"%",," ","(",DI3,")")))</f>
        <v>295 - KETAN JOGANI</v>
      </c>
      <c r="DE3" s="113" t="str">
        <f>IFERROR(VLOOKUP(Y3,Help!$A$2:$B$500,2,0),"+++++++++")</f>
        <v>+++++++++</v>
      </c>
      <c r="DF3" s="113" t="str">
        <f>+IF(ISBLANK(CC3),"",CC3)</f>
        <v/>
      </c>
      <c r="DG3" s="364">
        <f>VALUE((IF(D3="refund",IF(LEN(DF3)=15,LEFT(VALUE(CG3),10),VALUE(BZ3)),LEFT(VALUE(C3),10))))</f>
        <v>0</v>
      </c>
      <c r="DH3" s="113" t="str">
        <f>IF(D3="Refund",IF(ISBLANK(CF3),BY3,CF3),B3)</f>
        <v>Amazon</v>
      </c>
      <c r="DI3" s="113" t="str">
        <f>IFERROR(IF(ISBLANK($M3),"",$M3),"")</f>
        <v/>
      </c>
      <c r="DJ3" s="365">
        <f>VALUE(IF(AH3=0,SUM(AE3:AG3),AH3)*100)</f>
        <v>0</v>
      </c>
      <c r="DK3" s="113">
        <f>IF(J3=0,1,J3)</f>
        <v>1</v>
      </c>
      <c r="DL3" s="26">
        <f>+VALUE(AC3)</f>
        <v>0</v>
      </c>
      <c r="DM3" s="26">
        <f>+BU3+BS3+BQ3+BO3</f>
        <v>0</v>
      </c>
      <c r="DN3" s="26" t="str">
        <f>CONCATENATE(IF(DE3="+++++++++","State",""),IF(DD3="+++++++++","PrctName",""))</f>
        <v>State</v>
      </c>
      <c r="DO3" s="26" t="str">
        <f>CONCATENATE(IF(DE3="+++++++++",Y3,""),IF(DD3="+++++++++",L3,""))</f>
        <v>State</v>
      </c>
      <c r="DP3" s="27" t="s">
        <v>85</v>
      </c>
      <c r="DQ3" s="27" t="s">
        <v>85</v>
      </c>
      <c r="DR3" s="88" t="s">
        <v>85</v>
      </c>
      <c r="DS3" s="88" t="s">
        <v>85</v>
      </c>
      <c r="DT3" s="88" t="s">
        <v>85</v>
      </c>
    </row>
    <row r="4" spans="1:124" customFormat="1" x14ac:dyDescent="0.25">
      <c r="A4" s="81" t="s">
        <v>151</v>
      </c>
      <c r="B4" s="81" t="s">
        <v>152</v>
      </c>
      <c r="C4" s="107" t="s">
        <v>153</v>
      </c>
      <c r="D4" s="81" t="s">
        <v>154</v>
      </c>
      <c r="E4" s="81" t="s">
        <v>155</v>
      </c>
      <c r="F4" s="81" t="s">
        <v>156</v>
      </c>
      <c r="G4" s="81" t="s">
        <v>157</v>
      </c>
      <c r="H4" s="81" t="s">
        <v>158</v>
      </c>
      <c r="I4" s="81" t="s">
        <v>159</v>
      </c>
      <c r="J4" s="81" t="s">
        <v>160</v>
      </c>
      <c r="K4" s="81" t="s">
        <v>161</v>
      </c>
      <c r="L4" s="81" t="s">
        <v>162</v>
      </c>
      <c r="M4" s="81" t="s">
        <v>163</v>
      </c>
      <c r="N4" s="81" t="s">
        <v>164</v>
      </c>
      <c r="O4" s="81" t="s">
        <v>165</v>
      </c>
      <c r="P4" s="81" t="s">
        <v>166</v>
      </c>
      <c r="Q4" s="81" t="s">
        <v>167</v>
      </c>
      <c r="R4" s="81" t="s">
        <v>168</v>
      </c>
      <c r="S4" s="81" t="s">
        <v>169</v>
      </c>
      <c r="T4" s="81" t="s">
        <v>170</v>
      </c>
      <c r="U4" s="81" t="s">
        <v>171</v>
      </c>
      <c r="V4" s="81" t="s">
        <v>172</v>
      </c>
      <c r="W4" s="81" t="s">
        <v>173</v>
      </c>
      <c r="X4" s="81" t="s">
        <v>174</v>
      </c>
      <c r="Y4" s="81" t="s">
        <v>175</v>
      </c>
      <c r="Z4" s="81" t="s">
        <v>176</v>
      </c>
      <c r="AA4" s="81" t="s">
        <v>177</v>
      </c>
      <c r="AB4" s="81" t="s">
        <v>178</v>
      </c>
      <c r="AC4" s="81" t="s">
        <v>179</v>
      </c>
      <c r="AD4" s="81" t="s">
        <v>180</v>
      </c>
      <c r="AE4" s="81" t="s">
        <v>181</v>
      </c>
      <c r="AF4" s="81" t="s">
        <v>182</v>
      </c>
      <c r="AG4" s="81" t="s">
        <v>183</v>
      </c>
      <c r="AH4" s="81" t="s">
        <v>184</v>
      </c>
      <c r="AI4" s="81" t="s">
        <v>185</v>
      </c>
      <c r="AJ4" s="81" t="s">
        <v>186</v>
      </c>
      <c r="AK4" s="81" t="s">
        <v>187</v>
      </c>
      <c r="AL4" s="81" t="s">
        <v>188</v>
      </c>
      <c r="AM4" s="81" t="s">
        <v>189</v>
      </c>
      <c r="AN4" s="81" t="s">
        <v>190</v>
      </c>
      <c r="AO4" s="81" t="s">
        <v>191</v>
      </c>
      <c r="AP4" s="81" t="s">
        <v>192</v>
      </c>
      <c r="AQ4" s="81" t="s">
        <v>193</v>
      </c>
      <c r="AR4" s="81" t="s">
        <v>194</v>
      </c>
      <c r="AS4" s="81" t="s">
        <v>195</v>
      </c>
      <c r="AT4" s="81" t="s">
        <v>196</v>
      </c>
      <c r="AU4" s="81" t="s">
        <v>197</v>
      </c>
      <c r="AV4" s="81" t="s">
        <v>198</v>
      </c>
      <c r="AW4" s="81" t="s">
        <v>894</v>
      </c>
      <c r="AX4" s="81" t="s">
        <v>199</v>
      </c>
      <c r="AY4" s="81" t="s">
        <v>200</v>
      </c>
      <c r="AZ4" s="81" t="s">
        <v>201</v>
      </c>
      <c r="BA4" s="81" t="s">
        <v>202</v>
      </c>
      <c r="BB4" s="81" t="s">
        <v>203</v>
      </c>
      <c r="BC4" s="81" t="s">
        <v>204</v>
      </c>
      <c r="BD4" s="81" t="s">
        <v>205</v>
      </c>
      <c r="BE4" s="81" t="s">
        <v>206</v>
      </c>
      <c r="BF4" s="81" t="s">
        <v>207</v>
      </c>
      <c r="BG4" s="81" t="s">
        <v>891</v>
      </c>
      <c r="BH4" s="81" t="s">
        <v>208</v>
      </c>
      <c r="BI4" s="81" t="s">
        <v>209</v>
      </c>
      <c r="BJ4" s="81" t="s">
        <v>892</v>
      </c>
      <c r="BK4" s="81" t="s">
        <v>210</v>
      </c>
      <c r="BL4" s="81" t="s">
        <v>211</v>
      </c>
      <c r="BM4" s="81" t="s">
        <v>893</v>
      </c>
      <c r="BN4" s="81" t="s">
        <v>212</v>
      </c>
      <c r="BO4" s="81" t="s">
        <v>213</v>
      </c>
      <c r="BP4" s="81" t="s">
        <v>214</v>
      </c>
      <c r="BQ4" s="81" t="s">
        <v>215</v>
      </c>
      <c r="BR4" s="81" t="s">
        <v>216</v>
      </c>
      <c r="BS4" s="81" t="s">
        <v>217</v>
      </c>
      <c r="BT4" s="81" t="s">
        <v>218</v>
      </c>
      <c r="BU4" s="81" t="s">
        <v>219</v>
      </c>
      <c r="BV4" s="81" t="s">
        <v>220</v>
      </c>
      <c r="BW4" s="81" t="s">
        <v>221</v>
      </c>
      <c r="BX4" s="81" t="s">
        <v>222</v>
      </c>
      <c r="BY4" s="81" t="s">
        <v>223</v>
      </c>
      <c r="BZ4" s="383" t="s">
        <v>224</v>
      </c>
      <c r="CA4" s="81" t="s">
        <v>225</v>
      </c>
      <c r="CB4" s="81" t="s">
        <v>226</v>
      </c>
      <c r="CC4" s="81" t="s">
        <v>227</v>
      </c>
      <c r="CD4" s="81" t="s">
        <v>895</v>
      </c>
      <c r="CE4" s="81" t="s">
        <v>228</v>
      </c>
      <c r="CF4" s="81" t="s">
        <v>229</v>
      </c>
      <c r="CG4" s="81" t="s">
        <v>230</v>
      </c>
      <c r="CH4" s="81" t="s">
        <v>231</v>
      </c>
      <c r="CI4" s="81" t="s">
        <v>232</v>
      </c>
      <c r="CJ4" s="107" t="s">
        <v>233</v>
      </c>
      <c r="CK4" s="81" t="s">
        <v>234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3" t="e">
        <f>+DA3</f>
        <v>#VALUE!</v>
      </c>
      <c r="DB4" s="113" t="str">
        <f>+DB3</f>
        <v>Amazon</v>
      </c>
      <c r="DC4" s="113"/>
      <c r="DD4" s="113"/>
      <c r="DE4" s="113"/>
      <c r="DF4" s="113"/>
      <c r="DG4" s="113"/>
      <c r="DH4" s="113"/>
      <c r="DI4" s="113"/>
      <c r="DJ4" s="113"/>
      <c r="DK4" s="113"/>
      <c r="DL4" s="26"/>
      <c r="DM4" s="26"/>
    </row>
  </sheetData>
  <sheetProtection algorithmName="SHA-512" hashValue="G2QQHeNUMkackl3EBmD47hRhL6I3DmI2dyC1qiluFL04kFFiWcrGaf4xxNrhLgJC5ZLGzMGzMDKHcf8wPmQaDA==" saltValue="+F3sLMbPug9ca9EaE4cbFw==" spinCount="100000" sheet="1" objects="1" scenarios="1"/>
  <mergeCells count="1">
    <mergeCell ref="O1:P1"/>
  </mergeCells>
  <conditionalFormatting sqref="H1">
    <cfRule type="cellIs" dxfId="273" priority="12" operator="equal">
      <formula>#N/A</formula>
    </cfRule>
  </conditionalFormatting>
  <conditionalFormatting sqref="E1">
    <cfRule type="cellIs" dxfId="272" priority="11" operator="equal">
      <formula>#N/A</formula>
    </cfRule>
  </conditionalFormatting>
  <conditionalFormatting sqref="I1">
    <cfRule type="cellIs" dxfId="271" priority="10" operator="equal">
      <formula>#N/A</formula>
    </cfRule>
  </conditionalFormatting>
  <conditionalFormatting sqref="J1">
    <cfRule type="cellIs" dxfId="270" priority="9" operator="equal">
      <formula>#N/A</formula>
    </cfRule>
  </conditionalFormatting>
  <conditionalFormatting sqref="J1">
    <cfRule type="containsText" dxfId="269" priority="7" operator="containsText" text="All Data Import Successfully">
      <formula>NOT(ISERROR(SEARCH("All Data Import Successfully",J1)))</formula>
    </cfRule>
    <cfRule type="containsText" dxfId="268" priority="8" operator="containsText" text="Difference Entry">
      <formula>NOT(ISERROR(SEARCH("Difference Entry",J1)))</formula>
    </cfRule>
  </conditionalFormatting>
  <conditionalFormatting sqref="L2 E2:G2">
    <cfRule type="cellIs" dxfId="267" priority="6" operator="equal">
      <formula>#N/A</formula>
    </cfRule>
  </conditionalFormatting>
  <conditionalFormatting sqref="H2">
    <cfRule type="cellIs" dxfId="266" priority="5" operator="equal">
      <formula>#N/A</formula>
    </cfRule>
  </conditionalFormatting>
  <conditionalFormatting sqref="I2">
    <cfRule type="cellIs" dxfId="265" priority="4" operator="equal">
      <formula>#N/A</formula>
    </cfRule>
  </conditionalFormatting>
  <conditionalFormatting sqref="J2">
    <cfRule type="cellIs" dxfId="264" priority="3" operator="equal">
      <formula>#N/A</formula>
    </cfRule>
  </conditionalFormatting>
  <conditionalFormatting sqref="J2">
    <cfRule type="cellIs" dxfId="263" priority="2" operator="equal">
      <formula>0</formula>
    </cfRule>
  </conditionalFormatting>
  <conditionalFormatting sqref="K2">
    <cfRule type="cellIs" dxfId="262" priority="1" operator="equal">
      <formula>#N/A</formula>
    </cfRule>
  </conditionalFormatting>
  <dataValidations count="2">
    <dataValidation type="list" allowBlank="1" showInputMessage="1" showErrorMessage="1" sqref="P2" xr:uid="{998D92FC-3D51-4AE1-BF8A-CFFED5A6A83C}">
      <formula1>"HSN+%,Alias,Product"</formula1>
    </dataValidation>
    <dataValidation type="list" allowBlank="1" showInputMessage="1" showErrorMessage="1" sqref="B1" xr:uid="{1415A24B-2F99-4119-A0DE-8C8273F0D6CC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4" tint="0.39997558519241921"/>
  </sheetPr>
  <dimension ref="A1:DT4"/>
  <sheetViews>
    <sheetView workbookViewId="0">
      <selection activeCell="E30" sqref="E30"/>
    </sheetView>
  </sheetViews>
  <sheetFormatPr defaultRowHeight="15" x14ac:dyDescent="0.25"/>
  <cols>
    <col min="1" max="2" width="17.5703125" style="16" customWidth="1"/>
    <col min="3" max="3" width="17.5703125" style="201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9.140625" style="18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79" t="s">
        <v>662</v>
      </c>
      <c r="B1" s="80">
        <v>1</v>
      </c>
      <c r="C1" s="108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1"/>
      <c r="L1" s="18"/>
      <c r="M1" s="3"/>
      <c r="N1" s="83" t="s">
        <v>245</v>
      </c>
      <c r="O1" s="404" t="s">
        <v>235</v>
      </c>
      <c r="P1" s="405"/>
      <c r="AB1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5" t="str">
        <f>+IF(ISBLANK(DO3),TRIM(DN3),DO3)</f>
        <v/>
      </c>
      <c r="AL1" s="5"/>
      <c r="BZ1" s="96"/>
      <c r="CJ1" s="105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1" t="s">
        <v>317</v>
      </c>
    </row>
    <row r="2" spans="1:124" customFormat="1" ht="21.75" thickBot="1" x14ac:dyDescent="0.4">
      <c r="A2" s="30" t="s">
        <v>85</v>
      </c>
      <c r="B2" s="30" t="s">
        <v>85</v>
      </c>
      <c r="C2" s="109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791</v>
      </c>
      <c r="AF2" s="85" t="s">
        <v>789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7"/>
      <c r="CA2" s="2"/>
      <c r="CB2" s="2"/>
      <c r="CC2" s="2"/>
      <c r="CD2" s="2"/>
      <c r="CE2" s="2"/>
      <c r="CF2" s="2"/>
      <c r="CG2" s="2"/>
      <c r="CH2" s="2"/>
      <c r="CI2" s="2"/>
      <c r="CJ2" s="106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>
        <f>+A3</f>
        <v>0</v>
      </c>
      <c r="DB2" s="90" t="str">
        <f>+B3</f>
        <v>Amazon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379" t="s">
        <v>244</v>
      </c>
      <c r="DP2" s="378" t="s">
        <v>297</v>
      </c>
    </row>
    <row r="3" spans="1:124" customFormat="1" x14ac:dyDescent="0.25">
      <c r="A3" s="370"/>
      <c r="B3" s="63" t="s">
        <v>86</v>
      </c>
      <c r="C3" s="110"/>
      <c r="D3" s="8" t="s">
        <v>898</v>
      </c>
      <c r="E3" s="8"/>
      <c r="F3" s="8"/>
      <c r="G3" s="8"/>
      <c r="H3" s="8"/>
      <c r="I3" s="8"/>
      <c r="J3" s="8"/>
      <c r="K3" s="8"/>
      <c r="L3" s="8" t="s">
        <v>929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6"/>
      <c r="CJ3" s="105"/>
      <c r="DA3" s="363" t="e">
        <f>VLOOKUP(VALUE(LEFT(A3,2)),Help!$E$2:$F$45,2,0)</f>
        <v>#VALUE!</v>
      </c>
      <c r="DB3" s="113" t="str">
        <f>+DB2</f>
        <v>Amazon</v>
      </c>
      <c r="DC3" s="113" t="str">
        <f>+IF(LEFT(TRIM(DP3),3)="B2B",CK3,"")</f>
        <v/>
      </c>
      <c r="DD3" s="113" t="str">
        <f>IF($O$2=2,IFERROR(VLOOKUP(L3,Help!T$3:Z$50000,7,0),"+++++++++"),IF($O$2=3,L3,CONCATENATE(DJ3,"%",," ","(",DI3,")")))</f>
        <v>0% ()</v>
      </c>
      <c r="DE3" s="113" t="str">
        <f>IFERROR(VLOOKUP(Z3,Help!$A$2:$B$500,2,0),"+++++++++")</f>
        <v>+++++++++</v>
      </c>
      <c r="DF3" s="113" t="str">
        <f>+IF(ISBLANK(CJ3),"",CJ3)</f>
        <v/>
      </c>
      <c r="DG3" s="364">
        <f>VALUE((IF(RIGHT(DP3,2)="-R",LEFT(VALUE(CA3),10),LEFT(VALUE(C3),10))))</f>
        <v>0</v>
      </c>
      <c r="DH3" s="113" t="str">
        <f>(IF(RIGHT(DP3)="-R",BZ3,B3))</f>
        <v>Amazon</v>
      </c>
      <c r="DI3" s="113" t="str">
        <f>IFERROR(IF(ISBLANK($M3),"",$M3),"")</f>
        <v/>
      </c>
      <c r="DJ3" s="365">
        <f>VALUE(SUM(AF3:AI3)*100)</f>
        <v>0</v>
      </c>
      <c r="DK3" s="113">
        <f>IF(J3=0,1,J3)</f>
        <v>1</v>
      </c>
      <c r="DL3" s="26">
        <f>+VALUE(AD3)</f>
        <v>0</v>
      </c>
      <c r="DM3" s="26">
        <f>+BP3+BR3+BT3+BV3</f>
        <v>0</v>
      </c>
      <c r="DN3" s="26" t="str">
        <f>CONCATENATE(IF(DE3="+++++++++","State",""),IF(DD3="+++++++++","PrctName",""))</f>
        <v>State</v>
      </c>
      <c r="DO3" s="26" t="str">
        <f>CONCATENATE(IF(DE3="+++++++++",Z3,""),IF(DD3="+++++++++",L3,""))</f>
        <v/>
      </c>
      <c r="DP3" s="27" t="str">
        <f>(IF(D3="refund",IF(LEN(DF3)=15,"B2B-R","B2C-R"),IF(LEN(DF3)=15,"B2B","B2C")))</f>
        <v>B2C</v>
      </c>
      <c r="DQ3" s="117"/>
      <c r="DR3" s="118"/>
      <c r="DS3" s="118"/>
      <c r="DT3" s="118"/>
    </row>
    <row r="4" spans="1:124" customFormat="1" x14ac:dyDescent="0.25">
      <c r="A4" s="81" t="s">
        <v>151</v>
      </c>
      <c r="B4" s="81" t="s">
        <v>152</v>
      </c>
      <c r="C4" s="107" t="s">
        <v>153</v>
      </c>
      <c r="D4" s="81" t="s">
        <v>154</v>
      </c>
      <c r="E4" s="81" t="s">
        <v>155</v>
      </c>
      <c r="F4" s="81" t="s">
        <v>156</v>
      </c>
      <c r="G4" s="81" t="s">
        <v>157</v>
      </c>
      <c r="H4" s="81" t="s">
        <v>158</v>
      </c>
      <c r="I4" s="81" t="s">
        <v>159</v>
      </c>
      <c r="J4" s="81" t="s">
        <v>160</v>
      </c>
      <c r="K4" s="81" t="s">
        <v>161</v>
      </c>
      <c r="L4" s="81" t="s">
        <v>162</v>
      </c>
      <c r="M4" s="81" t="s">
        <v>163</v>
      </c>
      <c r="N4" s="81" t="s">
        <v>164</v>
      </c>
      <c r="O4" s="81" t="s">
        <v>877</v>
      </c>
      <c r="P4" s="81" t="s">
        <v>165</v>
      </c>
      <c r="Q4" s="81" t="s">
        <v>166</v>
      </c>
      <c r="R4" s="81" t="s">
        <v>167</v>
      </c>
      <c r="S4" s="81" t="s">
        <v>168</v>
      </c>
      <c r="T4" s="81" t="s">
        <v>169</v>
      </c>
      <c r="U4" s="81" t="s">
        <v>170</v>
      </c>
      <c r="V4" s="81" t="s">
        <v>171</v>
      </c>
      <c r="W4" s="81" t="s">
        <v>172</v>
      </c>
      <c r="X4" s="81" t="s">
        <v>173</v>
      </c>
      <c r="Y4" s="81" t="s">
        <v>174</v>
      </c>
      <c r="Z4" s="81" t="s">
        <v>175</v>
      </c>
      <c r="AA4" s="81" t="s">
        <v>176</v>
      </c>
      <c r="AB4" s="81" t="s">
        <v>177</v>
      </c>
      <c r="AC4" s="81" t="s">
        <v>178</v>
      </c>
      <c r="AD4" s="81" t="s">
        <v>179</v>
      </c>
      <c r="AE4" s="81" t="s">
        <v>180</v>
      </c>
      <c r="AF4" s="81" t="s">
        <v>181</v>
      </c>
      <c r="AG4" s="81" t="s">
        <v>182</v>
      </c>
      <c r="AH4" s="81" t="s">
        <v>183</v>
      </c>
      <c r="AI4" s="81" t="s">
        <v>184</v>
      </c>
      <c r="AJ4" s="81" t="s">
        <v>185</v>
      </c>
      <c r="AK4" s="81" t="s">
        <v>186</v>
      </c>
      <c r="AL4" s="81" t="s">
        <v>187</v>
      </c>
      <c r="AM4" s="81" t="s">
        <v>188</v>
      </c>
      <c r="AN4" s="81" t="s">
        <v>189</v>
      </c>
      <c r="AO4" s="81" t="s">
        <v>191</v>
      </c>
      <c r="AP4" s="81" t="s">
        <v>190</v>
      </c>
      <c r="AQ4" s="81" t="s">
        <v>192</v>
      </c>
      <c r="AR4" s="81" t="s">
        <v>193</v>
      </c>
      <c r="AS4" s="81" t="s">
        <v>194</v>
      </c>
      <c r="AT4" s="81" t="s">
        <v>195</v>
      </c>
      <c r="AU4" s="81" t="s">
        <v>196</v>
      </c>
      <c r="AV4" s="81" t="s">
        <v>197</v>
      </c>
      <c r="AW4" s="81" t="s">
        <v>198</v>
      </c>
      <c r="AX4" s="81" t="s">
        <v>878</v>
      </c>
      <c r="AY4" s="81" t="s">
        <v>199</v>
      </c>
      <c r="AZ4" s="81" t="s">
        <v>200</v>
      </c>
      <c r="BA4" s="81" t="s">
        <v>201</v>
      </c>
      <c r="BB4" s="81" t="s">
        <v>202</v>
      </c>
      <c r="BC4" s="81" t="s">
        <v>203</v>
      </c>
      <c r="BD4" s="81" t="s">
        <v>204</v>
      </c>
      <c r="BE4" s="81" t="s">
        <v>205</v>
      </c>
      <c r="BF4" s="81" t="s">
        <v>206</v>
      </c>
      <c r="BG4" s="81" t="s">
        <v>207</v>
      </c>
      <c r="BH4" s="81" t="s">
        <v>879</v>
      </c>
      <c r="BI4" s="81" t="s">
        <v>208</v>
      </c>
      <c r="BJ4" s="81" t="s">
        <v>209</v>
      </c>
      <c r="BK4" s="81" t="s">
        <v>880</v>
      </c>
      <c r="BL4" s="81" t="s">
        <v>210</v>
      </c>
      <c r="BM4" s="81" t="s">
        <v>211</v>
      </c>
      <c r="BN4" s="81" t="s">
        <v>881</v>
      </c>
      <c r="BO4" s="81" t="s">
        <v>212</v>
      </c>
      <c r="BP4" s="81" t="s">
        <v>213</v>
      </c>
      <c r="BQ4" s="81" t="s">
        <v>214</v>
      </c>
      <c r="BR4" s="81" t="s">
        <v>215</v>
      </c>
      <c r="BS4" s="81" t="s">
        <v>216</v>
      </c>
      <c r="BT4" s="81" t="s">
        <v>217</v>
      </c>
      <c r="BU4" s="81" t="s">
        <v>218</v>
      </c>
      <c r="BV4" s="81" t="s">
        <v>219</v>
      </c>
      <c r="BW4" s="81" t="s">
        <v>220</v>
      </c>
      <c r="BX4" s="81" t="s">
        <v>221</v>
      </c>
      <c r="BY4" s="81" t="s">
        <v>222</v>
      </c>
      <c r="BZ4" s="81" t="s">
        <v>229</v>
      </c>
      <c r="CA4" s="81" t="s">
        <v>230</v>
      </c>
      <c r="CB4" s="81" t="s">
        <v>231</v>
      </c>
      <c r="CC4" s="81" t="s">
        <v>232</v>
      </c>
      <c r="CD4" s="81" t="s">
        <v>233</v>
      </c>
      <c r="CE4" s="81" t="s">
        <v>234</v>
      </c>
      <c r="CF4" s="81" t="s">
        <v>223</v>
      </c>
      <c r="CG4" s="81" t="s">
        <v>224</v>
      </c>
      <c r="CH4" s="81" t="s">
        <v>225</v>
      </c>
      <c r="CI4" s="81" t="s">
        <v>226</v>
      </c>
      <c r="CJ4" s="81" t="s">
        <v>227</v>
      </c>
      <c r="CK4" s="81" t="s">
        <v>228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3" t="e">
        <f>+DA3</f>
        <v>#VALUE!</v>
      </c>
      <c r="DB4" s="113" t="str">
        <f>+DB3</f>
        <v>Amazon</v>
      </c>
      <c r="DC4" s="113"/>
      <c r="DD4" s="113"/>
      <c r="DE4" s="113"/>
      <c r="DF4" s="113"/>
      <c r="DG4" s="113"/>
      <c r="DH4" s="113"/>
      <c r="DI4" s="113"/>
      <c r="DJ4" s="113"/>
      <c r="DK4" s="113"/>
      <c r="DL4" s="26"/>
      <c r="DM4" s="26"/>
    </row>
  </sheetData>
  <sheetProtection algorithmName="SHA-512" hashValue="Bu8bbOAOkPKNGqRpHmLaid8ALPPvyclPigxbjS8ZeJOCJjNoPmmbnLL0ulRG8AtzJid9Hg0/GryNO280xLBujw==" saltValue="NZd7WD+SLMIWrftGEb6rJQ==" spinCount="100000" sheet="1" objects="1" scenarios="1"/>
  <mergeCells count="1">
    <mergeCell ref="O1:P1"/>
  </mergeCells>
  <conditionalFormatting sqref="H1">
    <cfRule type="cellIs" dxfId="261" priority="14" operator="equal">
      <formula>#N/A</formula>
    </cfRule>
  </conditionalFormatting>
  <conditionalFormatting sqref="E1">
    <cfRule type="cellIs" dxfId="260" priority="13" operator="equal">
      <formula>#N/A</formula>
    </cfRule>
  </conditionalFormatting>
  <conditionalFormatting sqref="I1">
    <cfRule type="cellIs" dxfId="259" priority="12" operator="equal">
      <formula>#N/A</formula>
    </cfRule>
  </conditionalFormatting>
  <conditionalFormatting sqref="J1">
    <cfRule type="cellIs" dxfId="258" priority="11" operator="equal">
      <formula>#N/A</formula>
    </cfRule>
  </conditionalFormatting>
  <conditionalFormatting sqref="J1">
    <cfRule type="containsText" dxfId="257" priority="9" operator="containsText" text="All Data Import Successfully">
      <formula>NOT(ISERROR(SEARCH("All Data Import Successfully",J1)))</formula>
    </cfRule>
    <cfRule type="containsText" dxfId="256" priority="10" operator="containsText" text="Difference Entry">
      <formula>NOT(ISERROR(SEARCH("Difference Entry",J1)))</formula>
    </cfRule>
  </conditionalFormatting>
  <conditionalFormatting sqref="L2 E2:G2">
    <cfRule type="cellIs" dxfId="255" priority="6" operator="equal">
      <formula>#N/A</formula>
    </cfRule>
  </conditionalFormatting>
  <conditionalFormatting sqref="H2">
    <cfRule type="cellIs" dxfId="254" priority="5" operator="equal">
      <formula>#N/A</formula>
    </cfRule>
  </conditionalFormatting>
  <conditionalFormatting sqref="I2">
    <cfRule type="cellIs" dxfId="253" priority="4" operator="equal">
      <formula>#N/A</formula>
    </cfRule>
  </conditionalFormatting>
  <conditionalFormatting sqref="J2">
    <cfRule type="cellIs" dxfId="252" priority="3" operator="equal">
      <formula>#N/A</formula>
    </cfRule>
  </conditionalFormatting>
  <conditionalFormatting sqref="J2">
    <cfRule type="cellIs" dxfId="251" priority="2" operator="equal">
      <formula>0</formula>
    </cfRule>
  </conditionalFormatting>
  <conditionalFormatting sqref="K2">
    <cfRule type="cellIs" dxfId="250" priority="1" operator="equal">
      <formula>#N/A</formula>
    </cfRule>
  </conditionalFormatting>
  <dataValidations count="2">
    <dataValidation type="list" allowBlank="1" showInputMessage="1" showErrorMessage="1" sqref="B1" xr:uid="{00000000-0002-0000-0100-000000000000}">
      <formula1>"1,2"</formula1>
    </dataValidation>
    <dataValidation type="list" allowBlank="1" showInputMessage="1" showErrorMessage="1" sqref="P2" xr:uid="{00000000-0002-0000-01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7" tint="0.39997558519241921"/>
  </sheetPr>
  <dimension ref="A1:DS4"/>
  <sheetViews>
    <sheetView tabSelected="1" workbookViewId="0">
      <selection activeCell="O2" sqref="O1:O1048576"/>
    </sheetView>
  </sheetViews>
  <sheetFormatPr defaultRowHeight="15" x14ac:dyDescent="0.25"/>
  <cols>
    <col min="1" max="13" width="17.85546875" style="16" customWidth="1"/>
    <col min="14" max="14" width="22.7109375" style="16" customWidth="1"/>
    <col min="15" max="15" width="13.85546875" style="16" customWidth="1"/>
    <col min="16" max="16" width="16.28515625" style="16" customWidth="1"/>
    <col min="17" max="17" width="20.140625" style="16" bestFit="1" customWidth="1"/>
    <col min="18" max="18" width="13.7109375" style="16" bestFit="1" customWidth="1"/>
    <col min="19" max="19" width="12" style="16" bestFit="1" customWidth="1"/>
    <col min="20" max="32" width="9.140625" style="16"/>
    <col min="33" max="33" width="12" style="16" customWidth="1"/>
    <col min="34" max="43" width="9.140625" style="16"/>
    <col min="44" max="44" width="18.28515625" style="16" bestFit="1" customWidth="1"/>
    <col min="45" max="45" width="19.42578125" style="16" bestFit="1" customWidth="1"/>
    <col min="46" max="46" width="21.42578125" style="16" bestFit="1" customWidth="1"/>
    <col min="47" max="47" width="25" style="16" bestFit="1" customWidth="1"/>
    <col min="48" max="48" width="24.85546875" style="16" bestFit="1" customWidth="1"/>
    <col min="49" max="49" width="34.140625" style="16" bestFit="1" customWidth="1"/>
    <col min="50" max="50" width="26.85546875" style="16" bestFit="1" customWidth="1"/>
    <col min="51" max="51" width="34.140625" style="16" bestFit="1" customWidth="1"/>
    <col min="52" max="53" width="15.85546875" style="16" bestFit="1" customWidth="1"/>
    <col min="54" max="55" width="11.85546875" style="16" bestFit="1" customWidth="1"/>
    <col min="56" max="104" width="9.140625" style="16"/>
    <col min="105" max="105" width="14.85546875" style="16" customWidth="1"/>
    <col min="106" max="106" width="9.140625" style="16"/>
    <col min="107" max="107" width="16.140625" style="16" customWidth="1"/>
    <col min="108" max="108" width="19.5703125" style="16" customWidth="1"/>
    <col min="109" max="109" width="16.85546875" style="16" bestFit="1" customWidth="1"/>
    <col min="110" max="110" width="17.140625" style="16" customWidth="1"/>
    <col min="111" max="111" width="14.140625" style="16" customWidth="1"/>
    <col min="112" max="112" width="18.85546875" style="16" bestFit="1" customWidth="1"/>
    <col min="113" max="113" width="19.85546875" style="16" customWidth="1"/>
    <col min="114" max="114" width="9.28515625" style="16" bestFit="1" customWidth="1"/>
    <col min="115" max="115" width="18.5703125" style="16" bestFit="1" customWidth="1"/>
    <col min="116" max="117" width="9.28515625" style="16" bestFit="1" customWidth="1"/>
    <col min="118" max="118" width="19.28515625" style="16" customWidth="1"/>
    <col min="119" max="119" width="29.85546875" style="16" bestFit="1" customWidth="1"/>
    <col min="120" max="120" width="10.7109375" style="16" bestFit="1" customWidth="1"/>
    <col min="121" max="16384" width="9.140625" style="16"/>
  </cols>
  <sheetData>
    <row r="1" spans="1:123" customFormat="1" ht="38.25" customHeight="1" thickBot="1" x14ac:dyDescent="0.3">
      <c r="A1" s="79" t="s">
        <v>142</v>
      </c>
      <c r="B1" s="80">
        <v>2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4"/>
      <c r="L1" s="56"/>
      <c r="M1" s="3"/>
      <c r="N1" s="83" t="s">
        <v>885</v>
      </c>
      <c r="O1" s="404" t="s">
        <v>235</v>
      </c>
      <c r="P1" s="405"/>
      <c r="Q1" s="2"/>
      <c r="R1" s="2"/>
      <c r="S1" s="2"/>
      <c r="AB1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5" t="str">
        <f>+IF(ISBLANK(DN3),TRIM(#REF!),DN3)</f>
        <v>State</v>
      </c>
      <c r="AL1" s="5"/>
      <c r="BZ1" s="6"/>
    </row>
    <row r="2" spans="1:123" s="2" customFormat="1" ht="21.75" thickBot="1" x14ac:dyDescent="0.4">
      <c r="A2" s="30" t="s">
        <v>85</v>
      </c>
      <c r="B2" s="30" t="s">
        <v>85</v>
      </c>
      <c r="C2" s="30"/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54"/>
      <c r="L2" s="54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AD2" s="85" t="s">
        <v>325</v>
      </c>
      <c r="AE2" s="85" t="s">
        <v>791</v>
      </c>
      <c r="AF2" s="85" t="s">
        <v>789</v>
      </c>
      <c r="AG2" s="85">
        <v>116</v>
      </c>
      <c r="AU2" s="11"/>
      <c r="AV2" s="11"/>
      <c r="AW2" s="11"/>
      <c r="AX2" s="11"/>
      <c r="AY2" s="11"/>
      <c r="AZ2" s="11"/>
      <c r="DA2" s="89" t="s">
        <v>865</v>
      </c>
      <c r="DB2" s="90" t="s">
        <v>931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3" customFormat="1" ht="15.75" thickBot="1" x14ac:dyDescent="0.3">
      <c r="A3" s="370"/>
      <c r="B3" s="63" t="s">
        <v>84</v>
      </c>
      <c r="C3" s="8"/>
      <c r="D3" s="8" t="s">
        <v>932</v>
      </c>
      <c r="E3" s="8"/>
      <c r="F3" s="8"/>
      <c r="G3" s="9"/>
      <c r="H3" s="10"/>
      <c r="I3" s="8"/>
      <c r="J3" s="8"/>
      <c r="K3" s="8"/>
      <c r="L3" s="8" t="s">
        <v>929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VLOOKUP(VALUE(LEFT(A3,2)),Help!$E$2:$F$45,2,0)</f>
        <v>#VALUE!</v>
      </c>
      <c r="DB3" s="26" t="str">
        <f>+$B$3</f>
        <v>Flipcart</v>
      </c>
      <c r="DC3" s="27" t="s">
        <v>85</v>
      </c>
      <c r="DD3" s="26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6" t="str">
        <f>IFERROR(VLOOKUP(AW3,Help!$A$2:C$170,2,0),"+++++++++")</f>
        <v>+++++++++</v>
      </c>
      <c r="DF3" s="27" t="s">
        <v>85</v>
      </c>
      <c r="DG3" s="28" t="e">
        <f>VALUE(SUBSTITUTE(LEFT(AT3,10),"-","/"))</f>
        <v>#VALUE!</v>
      </c>
      <c r="DH3" s="26">
        <f>+AS3</f>
        <v>0</v>
      </c>
      <c r="DI3" s="184" t="str">
        <f>+IF(ISBLANK(G3),"",G3)</f>
        <v/>
      </c>
      <c r="DJ3" s="26">
        <f>+AF3+AH3+AJ3</f>
        <v>0</v>
      </c>
      <c r="DK3" s="29" t="e">
        <f>VALUE(SUBSTITUTE(N3,"-",""))</f>
        <v>#VALUE!</v>
      </c>
      <c r="DL3" s="58">
        <f>ROUND(Y3,2)</f>
        <v>0</v>
      </c>
      <c r="DM3" s="26">
        <f>VALUE(AR3)</f>
        <v>0</v>
      </c>
      <c r="DN3" s="26" t="str">
        <f>+CONCATENATE(IF(DE3="+++++++++","State",""),"",IF(DD3="+++++++++","SKU Probliam",""))</f>
        <v>State</v>
      </c>
      <c r="DO3" s="26" t="str">
        <f>CONCATENATE(IF(DE3="+++++++++",AW3,""),IF(DD3="+++++++++",SUBSTITUTE(RIGHT(LEFT(F3,(LEN(F3)-3)),(LEN(LEFT(F3,(LEN(F3)-3)))-3)),"SKU:",""),""))</f>
        <v/>
      </c>
      <c r="DP3" s="401" t="str">
        <f>+DI3</f>
        <v/>
      </c>
      <c r="DQ3" s="12"/>
      <c r="DR3" s="12"/>
      <c r="DS3" s="12"/>
    </row>
    <row r="4" spans="1:123" s="131" customFormat="1" ht="15.75" thickBot="1" x14ac:dyDescent="0.3">
      <c r="A4" s="167" t="s">
        <v>246</v>
      </c>
      <c r="B4" s="168" t="s">
        <v>247</v>
      </c>
      <c r="C4" s="168" t="s">
        <v>248</v>
      </c>
      <c r="D4" s="168" t="s">
        <v>249</v>
      </c>
      <c r="E4" s="168" t="s">
        <v>250</v>
      </c>
      <c r="F4" s="168" t="s">
        <v>251</v>
      </c>
      <c r="G4" s="168" t="s">
        <v>55</v>
      </c>
      <c r="H4" s="168" t="s">
        <v>252</v>
      </c>
      <c r="I4" s="168" t="s">
        <v>253</v>
      </c>
      <c r="J4" s="168" t="s">
        <v>254</v>
      </c>
      <c r="K4" s="168" t="s">
        <v>255</v>
      </c>
      <c r="L4" s="168" t="s">
        <v>158</v>
      </c>
      <c r="M4" s="168" t="s">
        <v>256</v>
      </c>
      <c r="N4" s="168" t="s">
        <v>257</v>
      </c>
      <c r="O4" s="168" t="s">
        <v>258</v>
      </c>
      <c r="P4" s="168" t="s">
        <v>532</v>
      </c>
      <c r="Q4" s="168" t="s">
        <v>259</v>
      </c>
      <c r="R4" s="168" t="s">
        <v>260</v>
      </c>
      <c r="S4" s="168" t="s">
        <v>261</v>
      </c>
      <c r="T4" s="168" t="s">
        <v>262</v>
      </c>
      <c r="U4" s="168" t="s">
        <v>263</v>
      </c>
      <c r="V4" s="168" t="s">
        <v>264</v>
      </c>
      <c r="W4" s="168" t="s">
        <v>265</v>
      </c>
      <c r="X4" s="168" t="s">
        <v>266</v>
      </c>
      <c r="Y4" s="168" t="s">
        <v>267</v>
      </c>
      <c r="Z4" s="168" t="s">
        <v>295</v>
      </c>
      <c r="AA4" s="168" t="s">
        <v>268</v>
      </c>
      <c r="AB4" s="168" t="s">
        <v>269</v>
      </c>
      <c r="AC4" s="168" t="s">
        <v>270</v>
      </c>
      <c r="AD4" s="168" t="s">
        <v>271</v>
      </c>
      <c r="AE4" s="168" t="s">
        <v>272</v>
      </c>
      <c r="AF4" s="168" t="s">
        <v>273</v>
      </c>
      <c r="AG4" s="168" t="s">
        <v>274</v>
      </c>
      <c r="AH4" s="168" t="s">
        <v>275</v>
      </c>
      <c r="AI4" s="168" t="s">
        <v>276</v>
      </c>
      <c r="AJ4" s="168" t="s">
        <v>277</v>
      </c>
      <c r="AK4" s="168" t="s">
        <v>278</v>
      </c>
      <c r="AL4" s="168" t="s">
        <v>279</v>
      </c>
      <c r="AM4" s="168" t="s">
        <v>280</v>
      </c>
      <c r="AN4" s="168" t="s">
        <v>281</v>
      </c>
      <c r="AO4" s="168" t="s">
        <v>282</v>
      </c>
      <c r="AP4" s="168" t="s">
        <v>283</v>
      </c>
      <c r="AQ4" s="168" t="s">
        <v>284</v>
      </c>
      <c r="AR4" s="168" t="s">
        <v>285</v>
      </c>
      <c r="AS4" s="168" t="s">
        <v>286</v>
      </c>
      <c r="AT4" s="168" t="s">
        <v>287</v>
      </c>
      <c r="AU4" s="168" t="s">
        <v>288</v>
      </c>
      <c r="AV4" s="168" t="s">
        <v>289</v>
      </c>
      <c r="AW4" s="168" t="s">
        <v>290</v>
      </c>
      <c r="AX4" s="168" t="s">
        <v>291</v>
      </c>
      <c r="AY4" s="168" t="s">
        <v>292</v>
      </c>
      <c r="AZ4" s="168" t="s">
        <v>293</v>
      </c>
      <c r="BA4" s="168" t="s">
        <v>294</v>
      </c>
      <c r="BB4" s="168" t="s">
        <v>360</v>
      </c>
      <c r="BC4" s="169" t="s">
        <v>361</v>
      </c>
    </row>
  </sheetData>
  <sheetProtection algorithmName="SHA-512" hashValue="K5W9YKBn1zoDazGRMsjIdqpvJCBl7jcDA+czyYaUZgDJnYuEYbqqsUXi/5GOVLkIpncb5Rj6Ni4K/l5a5jzYZA==" saltValue="LpDUhRGQlVt8Nr/aiwzr4w==" spinCount="100000" sheet="1" objects="1" scenarios="1"/>
  <mergeCells count="1">
    <mergeCell ref="O1:P1"/>
  </mergeCells>
  <conditionalFormatting sqref="H1">
    <cfRule type="cellIs" dxfId="249" priority="14" operator="equal">
      <formula>#N/A</formula>
    </cfRule>
  </conditionalFormatting>
  <conditionalFormatting sqref="E1">
    <cfRule type="cellIs" dxfId="248" priority="13" operator="equal">
      <formula>#N/A</formula>
    </cfRule>
  </conditionalFormatting>
  <conditionalFormatting sqref="I1">
    <cfRule type="cellIs" dxfId="247" priority="12" operator="equal">
      <formula>#N/A</formula>
    </cfRule>
  </conditionalFormatting>
  <conditionalFormatting sqref="J1">
    <cfRule type="cellIs" dxfId="246" priority="11" operator="equal">
      <formula>#N/A</formula>
    </cfRule>
  </conditionalFormatting>
  <conditionalFormatting sqref="J1">
    <cfRule type="containsText" dxfId="245" priority="9" operator="containsText" text="All Data Import Successfully">
      <formula>NOT(ISERROR(SEARCH("All Data Import Successfully",J1)))</formula>
    </cfRule>
    <cfRule type="containsText" dxfId="244" priority="10" operator="containsText" text="Difference Entry">
      <formula>NOT(ISERROR(SEARCH("Difference Entry",J1)))</formula>
    </cfRule>
  </conditionalFormatting>
  <conditionalFormatting sqref="L2 E2:G2">
    <cfRule type="cellIs" dxfId="243" priority="6" operator="equal">
      <formula>#N/A</formula>
    </cfRule>
  </conditionalFormatting>
  <conditionalFormatting sqref="H2">
    <cfRule type="cellIs" dxfId="242" priority="5" operator="equal">
      <formula>#N/A</formula>
    </cfRule>
  </conditionalFormatting>
  <conditionalFormatting sqref="I2">
    <cfRule type="cellIs" dxfId="241" priority="4" operator="equal">
      <formula>#N/A</formula>
    </cfRule>
  </conditionalFormatting>
  <conditionalFormatting sqref="J2">
    <cfRule type="cellIs" dxfId="240" priority="3" operator="equal">
      <formula>#N/A</formula>
    </cfRule>
  </conditionalFormatting>
  <conditionalFormatting sqref="J2">
    <cfRule type="cellIs" dxfId="239" priority="2" operator="equal">
      <formula>0</formula>
    </cfRule>
  </conditionalFormatting>
  <conditionalFormatting sqref="K2">
    <cfRule type="cellIs" dxfId="238" priority="1" operator="equal">
      <formula>#N/A</formula>
    </cfRule>
  </conditionalFormatting>
  <dataValidations count="2">
    <dataValidation type="list" allowBlank="1" showInputMessage="1" showErrorMessage="1" sqref="B1" xr:uid="{00000000-0002-0000-0200-000000000000}">
      <formula1>"1,2"</formula1>
    </dataValidation>
    <dataValidation type="list" allowBlank="1" showInputMessage="1" showErrorMessage="1" sqref="P2" xr:uid="{00000000-0002-0000-02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7" tint="0.79998168889431442"/>
  </sheetPr>
  <dimension ref="A1:DO4"/>
  <sheetViews>
    <sheetView showRuler="0" workbookViewId="0">
      <selection activeCell="A5" sqref="A5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32" width="9.140625" style="16"/>
    <col min="33" max="33" width="11.5703125" style="16" bestFit="1" customWidth="1"/>
    <col min="34" max="104" width="9.140625" style="16"/>
    <col min="105" max="105" width="18.7109375" style="16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3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490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/>
      <c r="B2" s="30" t="s">
        <v>533</v>
      </c>
      <c r="C2" s="30"/>
      <c r="D2" s="31" t="s">
        <v>85</v>
      </c>
      <c r="E2" s="49">
        <f>+COUNTA(A:A)-2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/>
      <c r="N2" s="84">
        <f ca="1">+IF(O2=2,COUNTIF(DD:DE,"+++++++++")-2,COUNTIF(DD:DE,"+++++++++")-2)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791</v>
      </c>
      <c r="AF2" s="85" t="s">
        <v>789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">
        <v>5</v>
      </c>
      <c r="DB2" s="90" t="s">
        <v>84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x14ac:dyDescent="0.25">
      <c r="A3" s="24"/>
      <c r="B3" s="16" t="s">
        <v>84</v>
      </c>
      <c r="D3" s="16" t="s">
        <v>932</v>
      </c>
      <c r="L3" s="16" t="s">
        <v>929</v>
      </c>
      <c r="DA3" s="143" t="e">
        <f>VLOOKUP(VALUE(LEFT(A3,2)),Help!$E$2:$F$45,2,0)</f>
        <v>#VALUE!</v>
      </c>
      <c r="DB3" s="143" t="str">
        <f>+B$3</f>
        <v>Flipcart</v>
      </c>
      <c r="DC3" s="144" t="s">
        <v>85</v>
      </c>
      <c r="DD3" s="143" t="str">
        <f ca="1">IFERROR(CONCATENATE(DJ3,"%",," ","(",DI3,")"),"+++++++++")</f>
        <v>+++++++++</v>
      </c>
      <c r="DE3" s="143" t="str">
        <f>IFERROR(VLOOKUP(Y3,Help!$A$2:B$170,2,0),"+++++++++")</f>
        <v>+++++++++</v>
      </c>
      <c r="DF3" s="144" t="s">
        <v>85</v>
      </c>
      <c r="DG3" s="145" t="e">
        <f>VALUE(SUBSTITUTE(LEFT(H3,10),"-","/"))</f>
        <v>#VALUE!</v>
      </c>
      <c r="DH3" s="143">
        <f>+F3</f>
        <v>0</v>
      </c>
      <c r="DI3" s="146" t="str">
        <f ca="1">IFERROR(VLOOKUP(DJ3,INDIRECT("FLC!$DJ$5:$DP$75000"),7,FALSE),"")</f>
        <v/>
      </c>
      <c r="DJ3" s="143" t="e">
        <f>+L3+N3+P3</f>
        <v>#VALUE!</v>
      </c>
      <c r="DK3" s="147" t="s">
        <v>85</v>
      </c>
      <c r="DL3" s="151">
        <f>+VALUE(I3)</f>
        <v>0</v>
      </c>
      <c r="DM3" s="151">
        <f>+VALUE(X3)</f>
        <v>0</v>
      </c>
      <c r="DN3" s="143" t="str">
        <f ca="1">CONCATENATE(IF(DE3="+++++++++","State",""),IF(DD3="+++++++++","HSN CODE",""))</f>
        <v>StateHSN CODE</v>
      </c>
      <c r="DO3" s="143" t="str">
        <f ca="1">CONCATENATE(IF(DE3="+++++++++",Y3,""),IF(DD3="+++++++++","HSN Code Req.",""))</f>
        <v>HSN Code Req.</v>
      </c>
    </row>
    <row r="4" spans="1:119" x14ac:dyDescent="0.25">
      <c r="A4" s="170" t="s">
        <v>246</v>
      </c>
      <c r="B4" s="170" t="s">
        <v>247</v>
      </c>
      <c r="C4" s="170" t="s">
        <v>248</v>
      </c>
      <c r="D4" s="170" t="s">
        <v>534</v>
      </c>
      <c r="E4" s="170" t="s">
        <v>535</v>
      </c>
      <c r="F4" s="170" t="s">
        <v>536</v>
      </c>
      <c r="G4" s="170" t="s">
        <v>178</v>
      </c>
      <c r="H4" s="170" t="s">
        <v>153</v>
      </c>
      <c r="I4" s="170" t="s">
        <v>537</v>
      </c>
      <c r="J4" s="170" t="s">
        <v>271</v>
      </c>
      <c r="K4" s="170" t="s">
        <v>272</v>
      </c>
      <c r="L4" s="170" t="s">
        <v>273</v>
      </c>
      <c r="M4" s="170" t="s">
        <v>274</v>
      </c>
      <c r="N4" s="170" t="s">
        <v>275</v>
      </c>
      <c r="O4" s="170" t="s">
        <v>276</v>
      </c>
      <c r="P4" s="170" t="s">
        <v>277</v>
      </c>
      <c r="Q4" s="170" t="s">
        <v>278</v>
      </c>
      <c r="R4" s="170" t="s">
        <v>279</v>
      </c>
      <c r="S4" s="170" t="s">
        <v>280</v>
      </c>
      <c r="T4" s="170" t="s">
        <v>281</v>
      </c>
      <c r="U4" s="170" t="s">
        <v>282</v>
      </c>
      <c r="V4" s="170" t="s">
        <v>283</v>
      </c>
      <c r="W4" s="170" t="s">
        <v>284</v>
      </c>
      <c r="X4" s="170" t="s">
        <v>285</v>
      </c>
      <c r="Y4" s="170" t="s">
        <v>292</v>
      </c>
      <c r="Z4" s="170" t="s">
        <v>294</v>
      </c>
      <c r="AA4" s="170" t="s">
        <v>360</v>
      </c>
      <c r="AB4" s="170" t="s">
        <v>361</v>
      </c>
    </row>
  </sheetData>
  <sheetProtection algorithmName="SHA-512" hashValue="6inx/N54BNyJFGIOGOaZS5qIoRw9J1smDFr3i7ckLOfxaCrWcDEtQIK29/JiTt8J/lULxY58VTED2+cG5SCc3Q==" saltValue="op3ZUy78aREjzmeCWhGyog==" spinCount="100000" sheet="1" objects="1" scenarios="1"/>
  <protectedRanges>
    <protectedRange sqref="DO1" name="Range1"/>
  </protectedRanges>
  <mergeCells count="1">
    <mergeCell ref="O1:P1"/>
  </mergeCells>
  <conditionalFormatting sqref="H1">
    <cfRule type="cellIs" dxfId="237" priority="25" operator="equal">
      <formula>#N/A</formula>
    </cfRule>
  </conditionalFormatting>
  <conditionalFormatting sqref="E1">
    <cfRule type="cellIs" dxfId="236" priority="24" operator="equal">
      <formula>#N/A</formula>
    </cfRule>
  </conditionalFormatting>
  <conditionalFormatting sqref="I1">
    <cfRule type="cellIs" dxfId="235" priority="23" operator="equal">
      <formula>#N/A</formula>
    </cfRule>
  </conditionalFormatting>
  <conditionalFormatting sqref="J1">
    <cfRule type="cellIs" dxfId="234" priority="22" operator="equal">
      <formula>#N/A</formula>
    </cfRule>
  </conditionalFormatting>
  <conditionalFormatting sqref="J1">
    <cfRule type="containsText" dxfId="233" priority="20" operator="containsText" text="All Data Import Successfully">
      <formula>NOT(ISERROR(SEARCH("All Data Import Successfully",J1)))</formula>
    </cfRule>
    <cfRule type="containsText" dxfId="232" priority="21" operator="containsText" text="Difference Entry">
      <formula>NOT(ISERROR(SEARCH("Difference Entry",J1)))</formula>
    </cfRule>
  </conditionalFormatting>
  <conditionalFormatting sqref="L2 E2:G2">
    <cfRule type="cellIs" dxfId="231" priority="6" operator="equal">
      <formula>#N/A</formula>
    </cfRule>
  </conditionalFormatting>
  <conditionalFormatting sqref="H2">
    <cfRule type="cellIs" dxfId="230" priority="5" operator="equal">
      <formula>#N/A</formula>
    </cfRule>
  </conditionalFormatting>
  <conditionalFormatting sqref="I2">
    <cfRule type="cellIs" dxfId="229" priority="4" operator="equal">
      <formula>#N/A</formula>
    </cfRule>
  </conditionalFormatting>
  <conditionalFormatting sqref="J2">
    <cfRule type="cellIs" dxfId="228" priority="3" operator="equal">
      <formula>#N/A</formula>
    </cfRule>
  </conditionalFormatting>
  <conditionalFormatting sqref="J2">
    <cfRule type="cellIs" dxfId="227" priority="2" operator="equal">
      <formula>0</formula>
    </cfRule>
  </conditionalFormatting>
  <conditionalFormatting sqref="K2">
    <cfRule type="cellIs" dxfId="226" priority="1" operator="equal">
      <formula>#N/A</formula>
    </cfRule>
  </conditionalFormatting>
  <dataValidations count="2">
    <dataValidation type="list" allowBlank="1" showInputMessage="1" showErrorMessage="1" sqref="B1" xr:uid="{00000000-0002-0000-0300-000000000000}">
      <formula1>"1,2,3"</formula1>
    </dataValidation>
    <dataValidation type="list" allowBlank="1" showInputMessage="1" showErrorMessage="1" sqref="P2" xr:uid="{00000000-0002-0000-03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39997558519241921"/>
  </sheetPr>
  <dimension ref="A1:DO4"/>
  <sheetViews>
    <sheetView showRuler="0" workbookViewId="0">
      <selection activeCell="F15" sqref="F15"/>
    </sheetView>
  </sheetViews>
  <sheetFormatPr defaultRowHeight="15" x14ac:dyDescent="0.25"/>
  <cols>
    <col min="1" max="13" width="17.7109375" style="16" customWidth="1"/>
    <col min="14" max="14" width="28.140625" style="16" customWidth="1"/>
    <col min="15" max="15" width="16.85546875" style="16" customWidth="1"/>
    <col min="16" max="16" width="15.7109375" style="16" customWidth="1"/>
    <col min="17" max="105" width="9.140625" style="16"/>
    <col min="106" max="106" width="14.140625" style="16" customWidth="1"/>
    <col min="107" max="107" width="16.140625" style="16" customWidth="1"/>
    <col min="108" max="108" width="19.5703125" style="16" customWidth="1"/>
    <col min="109" max="109" width="21.85546875" style="16" customWidth="1"/>
    <col min="110" max="110" width="17.140625" style="16" customWidth="1"/>
    <col min="111" max="111" width="14.140625" style="16" customWidth="1"/>
    <col min="112" max="112" width="22.7109375" style="16" customWidth="1"/>
    <col min="113" max="113" width="19.85546875" style="16" customWidth="1"/>
    <col min="114" max="115" width="9.140625" style="16"/>
    <col min="116" max="116" width="10.5703125" style="16" bestFit="1" customWidth="1"/>
    <col min="117" max="117" width="9.140625" style="16"/>
    <col min="118" max="118" width="20" style="16" customWidth="1"/>
    <col min="119" max="119" width="20.140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791</v>
      </c>
      <c r="AF2" s="85" t="s">
        <v>789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Snepdeal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ht="15.75" thickBot="1" x14ac:dyDescent="0.3">
      <c r="A3" s="62" t="s">
        <v>5</v>
      </c>
      <c r="B3" s="63" t="s">
        <v>871</v>
      </c>
      <c r="C3" s="8"/>
      <c r="D3" s="8" t="s">
        <v>930</v>
      </c>
      <c r="E3" s="8"/>
      <c r="F3" s="8"/>
      <c r="G3" s="9"/>
      <c r="H3" s="10"/>
      <c r="I3" s="8"/>
      <c r="J3" s="8"/>
      <c r="K3" s="8"/>
      <c r="L3" s="8" t="s">
        <v>929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Snepdeal</v>
      </c>
      <c r="DC3" s="27" t="s">
        <v>85</v>
      </c>
      <c r="DD3" s="57" t="str">
        <f>+CONCATENATE(DJ3,"%",," ","(",DI3,")")</f>
        <v>0% ()</v>
      </c>
      <c r="DE3" s="29" t="str">
        <f>IFERROR(IF(ISNUMBER(VALUE(E3)),VLOOKUP(VALUE(E3),Help!$E$2:$F$200,2,0),VLOOKUP(E3,Help!$A$4:$B$207,2,0)),"+++++++++")</f>
        <v>+++++++++</v>
      </c>
      <c r="DF3" s="27" t="s">
        <v>85</v>
      </c>
      <c r="DG3" s="28" t="str">
        <f>+CONCATENATE(TEXT(A3,"DD"),"/",TEXT(A3,"MM"),"/",TEXT(A3,"YYYY"))</f>
        <v>Gujarat/Gujarat/Gujarat</v>
      </c>
      <c r="DH3" s="26" t="str">
        <f>+D3</f>
        <v>C:\Users\AT\Downloads\R.xlsx</v>
      </c>
      <c r="DI3" s="29" t="str">
        <f>+(IF(ISBLANK(G3),"",VALUE(G3)))</f>
        <v/>
      </c>
      <c r="DJ3" s="26">
        <f>+K3+M3+O3+Q3</f>
        <v>0</v>
      </c>
      <c r="DK3" s="26">
        <v>1</v>
      </c>
      <c r="DL3" s="72">
        <f>+ROUND(Y3,"0.00")</f>
        <v>0</v>
      </c>
      <c r="DM3" s="26">
        <f>+DL3*1/100</f>
        <v>0</v>
      </c>
      <c r="DN3" s="26" t="str">
        <f>+IF(DE3="+++++++++","State","")</f>
        <v>State</v>
      </c>
      <c r="DO3" t="str">
        <f>IF(DE3="+++++++++",IF(ISBLANK(E3),"",E3),"")</f>
        <v/>
      </c>
    </row>
    <row r="4" spans="1:119" ht="15.75" thickBot="1" x14ac:dyDescent="0.3">
      <c r="A4" s="222" t="s">
        <v>738</v>
      </c>
      <c r="B4" s="223" t="s">
        <v>154</v>
      </c>
      <c r="C4" s="223" t="s">
        <v>739</v>
      </c>
      <c r="D4" s="223" t="s">
        <v>152</v>
      </c>
      <c r="E4" s="223" t="s">
        <v>740</v>
      </c>
      <c r="F4" s="223" t="s">
        <v>741</v>
      </c>
      <c r="G4" s="223" t="s">
        <v>742</v>
      </c>
      <c r="H4" s="223" t="s">
        <v>743</v>
      </c>
      <c r="I4" s="223" t="s">
        <v>744</v>
      </c>
      <c r="J4" s="223" t="s">
        <v>745</v>
      </c>
      <c r="K4" s="223" t="s">
        <v>440</v>
      </c>
      <c r="L4" s="223" t="s">
        <v>410</v>
      </c>
      <c r="M4" s="223" t="s">
        <v>275</v>
      </c>
      <c r="N4" s="223" t="s">
        <v>409</v>
      </c>
      <c r="O4" s="223" t="s">
        <v>273</v>
      </c>
      <c r="P4" s="223" t="s">
        <v>412</v>
      </c>
      <c r="Q4" s="223" t="s">
        <v>441</v>
      </c>
      <c r="R4" s="223" t="s">
        <v>411</v>
      </c>
      <c r="S4" s="223" t="s">
        <v>746</v>
      </c>
      <c r="T4" s="223" t="s">
        <v>747</v>
      </c>
      <c r="U4" s="223" t="s">
        <v>748</v>
      </c>
      <c r="V4" s="223" t="s">
        <v>749</v>
      </c>
      <c r="W4" s="223" t="s">
        <v>750</v>
      </c>
      <c r="X4" s="223" t="s">
        <v>521</v>
      </c>
      <c r="Y4" s="223" t="s">
        <v>751</v>
      </c>
      <c r="Z4" s="224" t="s">
        <v>178</v>
      </c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60" t="str">
        <f>+DA3</f>
        <v>Gujarat</v>
      </c>
      <c r="DB4" s="60" t="str">
        <f>+DB3</f>
        <v>Snepdeal</v>
      </c>
      <c r="DC4" s="60"/>
      <c r="DD4" s="60"/>
      <c r="DE4" s="60"/>
      <c r="DF4" s="60"/>
      <c r="DG4" s="60"/>
      <c r="DH4" s="60"/>
      <c r="DI4" s="61"/>
      <c r="DJ4" s="60"/>
      <c r="DK4" s="60"/>
      <c r="DL4" s="403"/>
      <c r="DM4" s="60"/>
    </row>
  </sheetData>
  <sheetProtection algorithmName="SHA-512" hashValue="XwLV6SZdGRI/frgvTDWNhefWsQHrK7ayxrz/WUaDKT7aSKX98dPHbAEj/rjuK5xoNl4mlRsmFGFmHqR2jOV3Jw==" saltValue="CwYwq2d2sxrmBwvgsAiroQ==" spinCount="100000" sheet="1" objects="1" scenarios="1"/>
  <protectedRanges>
    <protectedRange sqref="DO1" name="Range1_1"/>
    <protectedRange sqref="DD3" name="Range1_1_1"/>
  </protectedRanges>
  <mergeCells count="1">
    <mergeCell ref="O1:P1"/>
  </mergeCells>
  <conditionalFormatting sqref="H1">
    <cfRule type="cellIs" dxfId="225" priority="14" operator="equal">
      <formula>#N/A</formula>
    </cfRule>
  </conditionalFormatting>
  <conditionalFormatting sqref="E1">
    <cfRule type="cellIs" dxfId="224" priority="13" operator="equal">
      <formula>#N/A</formula>
    </cfRule>
  </conditionalFormatting>
  <conditionalFormatting sqref="I1">
    <cfRule type="cellIs" dxfId="223" priority="12" operator="equal">
      <formula>#N/A</formula>
    </cfRule>
  </conditionalFormatting>
  <conditionalFormatting sqref="J1">
    <cfRule type="cellIs" dxfId="222" priority="11" operator="equal">
      <formula>#N/A</formula>
    </cfRule>
  </conditionalFormatting>
  <conditionalFormatting sqref="J1">
    <cfRule type="containsText" dxfId="221" priority="9" operator="containsText" text="All Data Import Successfully">
      <formula>NOT(ISERROR(SEARCH("All Data Import Successfully",J1)))</formula>
    </cfRule>
    <cfRule type="containsText" dxfId="220" priority="10" operator="containsText" text="Difference Entry">
      <formula>NOT(ISERROR(SEARCH("Difference Entry",J1)))</formula>
    </cfRule>
  </conditionalFormatting>
  <conditionalFormatting sqref="L2 E2:G2">
    <cfRule type="cellIs" dxfId="219" priority="6" operator="equal">
      <formula>#N/A</formula>
    </cfRule>
  </conditionalFormatting>
  <conditionalFormatting sqref="H2">
    <cfRule type="cellIs" dxfId="218" priority="5" operator="equal">
      <formula>#N/A</formula>
    </cfRule>
  </conditionalFormatting>
  <conditionalFormatting sqref="I2">
    <cfRule type="cellIs" dxfId="217" priority="4" operator="equal">
      <formula>#N/A</formula>
    </cfRule>
  </conditionalFormatting>
  <conditionalFormatting sqref="J2">
    <cfRule type="cellIs" dxfId="216" priority="3" operator="equal">
      <formula>#N/A</formula>
    </cfRule>
  </conditionalFormatting>
  <conditionalFormatting sqref="J2">
    <cfRule type="cellIs" dxfId="215" priority="2" operator="equal">
      <formula>0</formula>
    </cfRule>
  </conditionalFormatting>
  <conditionalFormatting sqref="K2">
    <cfRule type="cellIs" dxfId="214" priority="1" operator="equal">
      <formula>#N/A</formula>
    </cfRule>
  </conditionalFormatting>
  <dataValidations count="2">
    <dataValidation type="list" allowBlank="1" showInputMessage="1" showErrorMessage="1" sqref="B1" xr:uid="{00000000-0002-0000-0400-000000000000}">
      <formula1>"1,2"</formula1>
    </dataValidation>
    <dataValidation type="list" allowBlank="1" showInputMessage="1" showErrorMessage="1" sqref="P2" xr:uid="{00000000-0002-0000-0400-000001000000}">
      <formula1>"HSN+%"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9" tint="0.59999389629810485"/>
  </sheetPr>
  <dimension ref="A1:DT4"/>
  <sheetViews>
    <sheetView workbookViewId="0">
      <pane ySplit="4" topLeftCell="A5" activePane="bottomLeft" state="frozen"/>
      <selection activeCell="G24" sqref="G24"/>
      <selection pane="bottomLeft" activeCell="D17" sqref="D17"/>
    </sheetView>
  </sheetViews>
  <sheetFormatPr defaultRowHeight="15" x14ac:dyDescent="0.25"/>
  <cols>
    <col min="1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24" width="9.140625" style="16"/>
    <col min="25" max="25" width="28.5703125" style="16" bestFit="1" customWidth="1"/>
    <col min="26" max="26" width="24.85546875" style="16" bestFit="1" customWidth="1"/>
    <col min="27" max="31" width="9.140625" style="16"/>
    <col min="32" max="32" width="41.140625" style="16" bestFit="1" customWidth="1"/>
    <col min="33" max="33" width="23.7109375" style="16" customWidth="1"/>
    <col min="34" max="34" width="9.140625" style="16"/>
    <col min="35" max="35" width="19.5703125" style="16" bestFit="1" customWidth="1"/>
    <col min="36" max="36" width="19.42578125" style="16" bestFit="1" customWidth="1"/>
    <col min="37" max="37" width="21.42578125" style="16" bestFit="1" customWidth="1"/>
    <col min="38" max="38" width="24.85546875" style="16" bestFit="1" customWidth="1"/>
    <col min="39" max="39" width="22.28515625" style="16" bestFit="1" customWidth="1"/>
    <col min="40" max="40" width="26.85546875" style="16" bestFit="1" customWidth="1"/>
    <col min="41" max="41" width="24.140625" style="16" bestFit="1" customWidth="1"/>
    <col min="42" max="42" width="26.85546875" style="16" bestFit="1" customWidth="1"/>
    <col min="43" max="43" width="24.140625" style="16" bestFit="1" customWidth="1"/>
    <col min="44" max="44" width="13.7109375" style="16" bestFit="1" customWidth="1"/>
    <col min="45" max="45" width="16.85546875" style="16" bestFit="1" customWidth="1"/>
    <col min="46" max="47" width="9.140625" style="16"/>
    <col min="48" max="48" width="18.28515625" style="16" bestFit="1" customWidth="1"/>
    <col min="49" max="49" width="21.42578125" style="16" bestFit="1" customWidth="1"/>
    <col min="50" max="50" width="18.7109375" style="16" bestFit="1" customWidth="1"/>
    <col min="51" max="104" width="9.140625" style="16"/>
    <col min="105" max="106" width="17.42578125" style="16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7" width="9.140625" style="16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AB1">
        <v>1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5" t="str">
        <f>+IF(ISBLANK(DO3),TRIM(DN3),DO3)</f>
        <v/>
      </c>
      <c r="AL1" s="5"/>
      <c r="BZ1" s="6"/>
      <c r="DI1">
        <v>1818</v>
      </c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791</v>
      </c>
      <c r="AF2" s="85" t="s">
        <v>789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">
        <v>71</v>
      </c>
      <c r="DB2" s="90" t="s">
        <v>890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4" customFormat="1" x14ac:dyDescent="0.25">
      <c r="A3" s="62"/>
      <c r="B3" s="63" t="s">
        <v>239</v>
      </c>
      <c r="C3" s="8"/>
      <c r="D3" s="8" t="s">
        <v>899</v>
      </c>
      <c r="E3" s="8"/>
      <c r="F3" s="8"/>
      <c r="G3" s="8"/>
      <c r="H3" s="8"/>
      <c r="I3" s="8"/>
      <c r="J3" s="8"/>
      <c r="K3" s="8"/>
      <c r="L3" s="8" t="s">
        <v>929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26" t="e">
        <f>VLOOKUP(VALUE(LEFT(A3,2)),Help!$E$2:$F$45,2,0)</f>
        <v>#VALUE!</v>
      </c>
      <c r="DB3" s="26" t="str">
        <f>+$B$3</f>
        <v>Jio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IFERROR(VLOOKUP(AA3,Help!$A$2:$B$200,2,0),"+++++++++")</f>
        <v>+++++++++</v>
      </c>
      <c r="DF3" s="27" t="s">
        <v>85</v>
      </c>
      <c r="DG3" s="57" t="e">
        <f>VALUE(LEFT(V3,10))</f>
        <v>#VALUE!</v>
      </c>
      <c r="DH3" s="58">
        <f>+T3</f>
        <v>0</v>
      </c>
      <c r="DI3" s="26" t="str">
        <f>+IF(ISBLANK(O3),"",O3)</f>
        <v/>
      </c>
      <c r="DJ3" s="59">
        <f>+AJ3+AL3+AN3</f>
        <v>0</v>
      </c>
      <c r="DK3" s="26">
        <f>+S3</f>
        <v>0</v>
      </c>
      <c r="DL3" s="26">
        <f>VALUE(AI3)</f>
        <v>0</v>
      </c>
      <c r="DM3" s="26">
        <f>+AQ3+AS3+AU3</f>
        <v>0</v>
      </c>
      <c r="DN3" s="26" t="str">
        <f>CONCATENATE(IF(DE3="+++++++++","State",""),IF(DD3="+++++++++","PrctName",""))</f>
        <v>State</v>
      </c>
      <c r="DO3" s="26" t="str">
        <f>CONCATENATE(IF(DE3="+++++++++",AA3,""),IF(DD3="+++++++++",H3,""))</f>
        <v/>
      </c>
      <c r="DP3" s="117"/>
      <c r="DQ3" s="117"/>
      <c r="DR3" s="118"/>
      <c r="DS3" s="118"/>
      <c r="DT3" s="118"/>
    </row>
    <row r="4" spans="1:124" customFormat="1" x14ac:dyDescent="0.25">
      <c r="A4" s="393" t="s">
        <v>246</v>
      </c>
      <c r="B4" s="393" t="s">
        <v>247</v>
      </c>
      <c r="C4" s="393" t="s">
        <v>248</v>
      </c>
      <c r="D4" s="393" t="s">
        <v>254</v>
      </c>
      <c r="E4" s="393" t="s">
        <v>158</v>
      </c>
      <c r="F4" s="393" t="s">
        <v>658</v>
      </c>
      <c r="G4" s="393" t="s">
        <v>297</v>
      </c>
      <c r="H4" s="393" t="s">
        <v>298</v>
      </c>
      <c r="I4" s="393" t="s">
        <v>659</v>
      </c>
      <c r="J4" s="393" t="s">
        <v>362</v>
      </c>
      <c r="K4" s="393" t="s">
        <v>886</v>
      </c>
      <c r="L4" s="393" t="s">
        <v>249</v>
      </c>
      <c r="M4" s="393" t="s">
        <v>299</v>
      </c>
      <c r="N4" s="393" t="s">
        <v>251</v>
      </c>
      <c r="O4" s="393" t="s">
        <v>55</v>
      </c>
      <c r="P4" s="393" t="s">
        <v>300</v>
      </c>
      <c r="Q4" s="393" t="s">
        <v>252</v>
      </c>
      <c r="R4" s="393" t="s">
        <v>253</v>
      </c>
      <c r="S4" s="393" t="s">
        <v>257</v>
      </c>
      <c r="T4" s="393" t="s">
        <v>286</v>
      </c>
      <c r="U4" s="393" t="s">
        <v>486</v>
      </c>
      <c r="V4" s="393" t="s">
        <v>287</v>
      </c>
      <c r="W4" s="393" t="s">
        <v>660</v>
      </c>
      <c r="X4" s="393" t="s">
        <v>661</v>
      </c>
      <c r="Y4" s="393" t="s">
        <v>258</v>
      </c>
      <c r="Z4" s="393" t="s">
        <v>289</v>
      </c>
      <c r="AA4" s="393" t="s">
        <v>290</v>
      </c>
      <c r="AB4" s="393" t="s">
        <v>291</v>
      </c>
      <c r="AC4" s="393" t="s">
        <v>292</v>
      </c>
      <c r="AD4" s="393" t="s">
        <v>889</v>
      </c>
      <c r="AE4" s="393" t="s">
        <v>887</v>
      </c>
      <c r="AF4" s="393" t="s">
        <v>888</v>
      </c>
      <c r="AG4" s="393" t="s">
        <v>900</v>
      </c>
      <c r="AH4" s="393" t="s">
        <v>266</v>
      </c>
      <c r="AI4" s="393" t="s">
        <v>267</v>
      </c>
      <c r="AJ4" s="393" t="s">
        <v>273</v>
      </c>
      <c r="AK4" s="393" t="s">
        <v>274</v>
      </c>
      <c r="AL4" s="393" t="s">
        <v>275</v>
      </c>
      <c r="AM4" s="393" t="s">
        <v>276</v>
      </c>
      <c r="AN4" s="393" t="s">
        <v>277</v>
      </c>
      <c r="AO4" s="393" t="s">
        <v>278</v>
      </c>
      <c r="AP4" s="393" t="s">
        <v>279</v>
      </c>
      <c r="AQ4" s="393" t="s">
        <v>280</v>
      </c>
      <c r="AR4" s="393" t="s">
        <v>281</v>
      </c>
      <c r="AS4" s="393" t="s">
        <v>282</v>
      </c>
      <c r="AT4" s="393" t="s">
        <v>283</v>
      </c>
      <c r="AU4" s="393" t="s">
        <v>284</v>
      </c>
      <c r="AV4" s="393" t="s">
        <v>285</v>
      </c>
      <c r="AW4" s="393" t="s">
        <v>487</v>
      </c>
      <c r="AX4" s="393" t="s">
        <v>488</v>
      </c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26" t="e">
        <f>+DA3</f>
        <v>#VALUE!</v>
      </c>
      <c r="DB4" s="26" t="str">
        <f>+DB3</f>
        <v>Jio</v>
      </c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</row>
  </sheetData>
  <sheetProtection algorithmName="SHA-512" hashValue="MkWzPW/7VGeqjxytqmQ2ctKZhp2JEx3YG34fjp7sfUJa/tfQuIJOAxKGelXVtwaLPzdDEd/7Lts71aaEd1ed7Q==" saltValue="MqHy+domgiLA65LCaZlSfg==" spinCount="100000" sheet="1" objects="1" scenarios="1"/>
  <mergeCells count="1">
    <mergeCell ref="O1:P1"/>
  </mergeCells>
  <conditionalFormatting sqref="H1">
    <cfRule type="cellIs" dxfId="213" priority="12" operator="equal">
      <formula>#N/A</formula>
    </cfRule>
  </conditionalFormatting>
  <conditionalFormatting sqref="E1">
    <cfRule type="cellIs" dxfId="212" priority="11" operator="equal">
      <formula>#N/A</formula>
    </cfRule>
  </conditionalFormatting>
  <conditionalFormatting sqref="I1">
    <cfRule type="cellIs" dxfId="211" priority="10" operator="equal">
      <formula>#N/A</formula>
    </cfRule>
  </conditionalFormatting>
  <conditionalFormatting sqref="J1">
    <cfRule type="cellIs" dxfId="210" priority="9" operator="equal">
      <formula>#N/A</formula>
    </cfRule>
  </conditionalFormatting>
  <conditionalFormatting sqref="J1">
    <cfRule type="containsText" dxfId="209" priority="7" operator="containsText" text="All Data Import Successfully">
      <formula>NOT(ISERROR(SEARCH("All Data Import Successfully",J1)))</formula>
    </cfRule>
    <cfRule type="containsText" dxfId="208" priority="8" operator="containsText" text="Difference Entry">
      <formula>NOT(ISERROR(SEARCH("Difference Entry",J1)))</formula>
    </cfRule>
  </conditionalFormatting>
  <conditionalFormatting sqref="L2 E2:G2">
    <cfRule type="cellIs" dxfId="207" priority="6" operator="equal">
      <formula>#N/A</formula>
    </cfRule>
  </conditionalFormatting>
  <conditionalFormatting sqref="H2">
    <cfRule type="cellIs" dxfId="206" priority="5" operator="equal">
      <formula>#N/A</formula>
    </cfRule>
  </conditionalFormatting>
  <conditionalFormatting sqref="I2">
    <cfRule type="cellIs" dxfId="205" priority="4" operator="equal">
      <formula>#N/A</formula>
    </cfRule>
  </conditionalFormatting>
  <conditionalFormatting sqref="J2">
    <cfRule type="cellIs" dxfId="204" priority="3" operator="equal">
      <formula>#N/A</formula>
    </cfRule>
  </conditionalFormatting>
  <conditionalFormatting sqref="J2">
    <cfRule type="cellIs" dxfId="203" priority="2" operator="equal">
      <formula>0</formula>
    </cfRule>
  </conditionalFormatting>
  <conditionalFormatting sqref="K2">
    <cfRule type="cellIs" dxfId="202" priority="1" operator="equal">
      <formula>#N/A</formula>
    </cfRule>
  </conditionalFormatting>
  <dataValidations disablePrompts="1" count="2">
    <dataValidation type="list" allowBlank="1" showInputMessage="1" showErrorMessage="1" sqref="P2" xr:uid="{00000000-0002-0000-0500-000000000000}">
      <formula1>"HSN+%,Alias,Product"</formula1>
    </dataValidation>
    <dataValidation type="list" allowBlank="1" showInputMessage="1" showErrorMessage="1" sqref="B1" xr:uid="{00000000-0002-0000-05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tabColor theme="4" tint="0.39997558519241921"/>
  </sheetPr>
  <dimension ref="A1:DT4"/>
  <sheetViews>
    <sheetView showRuler="0" workbookViewId="0">
      <selection activeCell="L19" sqref="L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3" width="9.140625" style="16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AB1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5" t="e">
        <f>+IF(ISBLANK(DO3),TRIM(DN3),DO3)</f>
        <v>#VALUE!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/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 t="s">
        <v>734</v>
      </c>
      <c r="L2" s="30"/>
      <c r="M2" s="30" t="s">
        <v>91</v>
      </c>
      <c r="N2" s="84">
        <f>+IF(O2=2,COUNTIF(DD:DE,"+++++++++")-2,COUNTIF(DD:DE,"+++++++++"))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791</v>
      </c>
      <c r="AF2" s="85" t="s">
        <v>789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tr">
        <f>+A3</f>
        <v>Gujarat</v>
      </c>
      <c r="DB2" s="90" t="str">
        <f>+B3</f>
        <v>Jio Sallers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4" customFormat="1" x14ac:dyDescent="0.25">
      <c r="A3" s="62" t="s">
        <v>5</v>
      </c>
      <c r="B3" s="63" t="s">
        <v>363</v>
      </c>
      <c r="C3" s="8"/>
      <c r="D3" s="62" t="s">
        <v>910</v>
      </c>
      <c r="E3" s="8"/>
      <c r="F3" s="8"/>
      <c r="G3" s="8"/>
      <c r="H3" s="8"/>
      <c r="I3" s="8"/>
      <c r="J3" s="8"/>
      <c r="K3" s="73"/>
      <c r="L3" s="8" t="s">
        <v>929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+DA2</f>
        <v>Gujarat</v>
      </c>
      <c r="DB3" s="29" t="str">
        <f>+DB2</f>
        <v>Jio Sallers</v>
      </c>
      <c r="DC3" s="202" t="s">
        <v>85</v>
      </c>
      <c r="DD3" s="29" t="e">
        <f>IF($O$2=2,IFERROR(VLOOKUP(H3,Help!X$3:Z$50000,3,0),"+++++++++"),IF($O$2=3,H3,CONCATENATE(DJ3,"%",," ","(",DI3,")")))</f>
        <v>#VALUE!</v>
      </c>
      <c r="DE3" s="29" t="str">
        <f>+$A$3</f>
        <v>Gujarat</v>
      </c>
      <c r="DF3" s="202" t="str">
        <f>+IF($K$3="","",$K$3)</f>
        <v/>
      </c>
      <c r="DG3" s="28" t="e">
        <f>+VALUE(CONCATENATE(MID(F3,9,2),"/",MID(F3,5,3),"/",RIGHT(F3,4)))</f>
        <v>#VALUE!</v>
      </c>
      <c r="DH3" s="29">
        <f>IF(ISBLANK(AW3),E3,X3)</f>
        <v>0</v>
      </c>
      <c r="DI3" s="202" t="s">
        <v>85</v>
      </c>
      <c r="DJ3" s="184" t="e">
        <f>+VALUE(IF(ISBLANK(AW3),IF(U3="","",VALUE(N3+P3)),VALUE(AE3+AG3+AI3)))</f>
        <v>#VALUE!</v>
      </c>
      <c r="DK3" s="29">
        <f>IFERROR(IF(ISBLANK(AW3),VALUE(V3),VALUE(H3)),"0")</f>
        <v>0</v>
      </c>
      <c r="DL3" s="26">
        <f>IFERROR(IF(ISBLANK(AW3),VALUE(U3),VALUE(-AB3)),"0")</f>
        <v>0</v>
      </c>
      <c r="DM3" s="72">
        <f>IFERROR(DL3*0.005,"")</f>
        <v>0</v>
      </c>
      <c r="DN3" s="26" t="e">
        <f>CONCATENATE(IF(DE3="+++++++++","State",""),IF(DD3="+++++++++","PrctName",""))</f>
        <v>#VALUE!</v>
      </c>
      <c r="DO3" s="26" t="e">
        <f>CONCATENATE(IF(DE3="+++++++++",AN3,""),IF(DD3="+++++++++",H3,""))</f>
        <v>#VALUE!</v>
      </c>
      <c r="DP3" s="27" t="s">
        <v>85</v>
      </c>
      <c r="DQ3" s="117"/>
      <c r="DR3" s="118" t="s">
        <v>85</v>
      </c>
      <c r="DS3" s="118" t="s">
        <v>85</v>
      </c>
      <c r="DT3" s="118" t="s">
        <v>85</v>
      </c>
    </row>
    <row r="4" spans="1:124" customFormat="1" x14ac:dyDescent="0.25">
      <c r="A4" s="116" t="s">
        <v>364</v>
      </c>
      <c r="B4" s="116" t="s">
        <v>365</v>
      </c>
      <c r="C4" s="116" t="s">
        <v>366</v>
      </c>
      <c r="D4" s="116" t="s">
        <v>367</v>
      </c>
      <c r="E4" s="116" t="s">
        <v>368</v>
      </c>
      <c r="F4" s="116" t="s">
        <v>369</v>
      </c>
      <c r="G4" s="116" t="s">
        <v>370</v>
      </c>
      <c r="H4" s="116" t="s">
        <v>371</v>
      </c>
      <c r="I4" s="116" t="s">
        <v>372</v>
      </c>
      <c r="J4" s="116" t="s">
        <v>373</v>
      </c>
      <c r="K4" s="116" t="s">
        <v>374</v>
      </c>
      <c r="L4" s="116" t="s">
        <v>375</v>
      </c>
      <c r="M4" s="116" t="s">
        <v>376</v>
      </c>
      <c r="N4" s="116" t="s">
        <v>377</v>
      </c>
      <c r="O4" s="116" t="s">
        <v>378</v>
      </c>
      <c r="P4" s="116" t="s">
        <v>379</v>
      </c>
      <c r="Q4" s="116" t="s">
        <v>380</v>
      </c>
      <c r="R4" s="116" t="s">
        <v>381</v>
      </c>
      <c r="S4" s="116" t="s">
        <v>382</v>
      </c>
      <c r="T4" s="116" t="s">
        <v>383</v>
      </c>
      <c r="U4" s="116" t="s">
        <v>384</v>
      </c>
      <c r="V4" s="116" t="s">
        <v>385</v>
      </c>
      <c r="W4" s="116" t="s">
        <v>386</v>
      </c>
      <c r="X4" s="116" t="s">
        <v>387</v>
      </c>
      <c r="Y4" s="116" t="s">
        <v>388</v>
      </c>
      <c r="Z4" s="116" t="s">
        <v>389</v>
      </c>
      <c r="AP4" s="95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3" t="str">
        <f>+DA3</f>
        <v>Gujarat</v>
      </c>
      <c r="DB4" s="123" t="str">
        <f>+DB3</f>
        <v>Jio Sallers</v>
      </c>
      <c r="DC4" s="350"/>
      <c r="DD4" s="123"/>
      <c r="DE4" s="123"/>
      <c r="DF4" s="350"/>
      <c r="DG4" s="352"/>
      <c r="DH4" s="123"/>
      <c r="DI4" s="123"/>
      <c r="DJ4" s="351"/>
      <c r="DK4" s="123"/>
      <c r="DL4" s="119"/>
      <c r="DM4" s="125"/>
      <c r="DN4" s="119"/>
      <c r="DO4" s="119"/>
      <c r="DP4" s="120"/>
    </row>
  </sheetData>
  <sheetProtection algorithmName="SHA-512" hashValue="oCtwbVt5axk5Yms1bTu2fwopecFfORljTH31KCgims6F4NMc5A7JZTfzWtOgT3wJ5umpsSxY0AwX1JGKyD8wfQ==" saltValue="9XR61dsZdpSLDG7/zdgJvg==" spinCount="100000" sheet="1" objects="1" scenarios="1"/>
  <mergeCells count="1">
    <mergeCell ref="O1:P1"/>
  </mergeCells>
  <conditionalFormatting sqref="H1">
    <cfRule type="cellIs" dxfId="201" priority="12" operator="equal">
      <formula>#N/A</formula>
    </cfRule>
  </conditionalFormatting>
  <conditionalFormatting sqref="E1">
    <cfRule type="cellIs" dxfId="200" priority="11" operator="equal">
      <formula>#N/A</formula>
    </cfRule>
  </conditionalFormatting>
  <conditionalFormatting sqref="I1">
    <cfRule type="cellIs" dxfId="199" priority="10" operator="equal">
      <formula>#N/A</formula>
    </cfRule>
  </conditionalFormatting>
  <conditionalFormatting sqref="J1">
    <cfRule type="cellIs" dxfId="198" priority="9" operator="equal">
      <formula>#N/A</formula>
    </cfRule>
  </conditionalFormatting>
  <conditionalFormatting sqref="J1">
    <cfRule type="containsText" dxfId="197" priority="7" operator="containsText" text="All Data Import Successfully">
      <formula>NOT(ISERROR(SEARCH("All Data Import Successfully",J1)))</formula>
    </cfRule>
    <cfRule type="containsText" dxfId="196" priority="8" operator="containsText" text="Difference Entry">
      <formula>NOT(ISERROR(SEARCH("Difference Entry",J1)))</formula>
    </cfRule>
  </conditionalFormatting>
  <conditionalFormatting sqref="L2 E2:G2">
    <cfRule type="cellIs" dxfId="195" priority="6" operator="equal">
      <formula>#N/A</formula>
    </cfRule>
  </conditionalFormatting>
  <conditionalFormatting sqref="H2">
    <cfRule type="cellIs" dxfId="194" priority="5" operator="equal">
      <formula>#N/A</formula>
    </cfRule>
  </conditionalFormatting>
  <conditionalFormatting sqref="I2">
    <cfRule type="cellIs" dxfId="193" priority="4" operator="equal">
      <formula>#N/A</formula>
    </cfRule>
  </conditionalFormatting>
  <conditionalFormatting sqref="J2">
    <cfRule type="cellIs" dxfId="192" priority="3" operator="equal">
      <formula>#N/A</formula>
    </cfRule>
  </conditionalFormatting>
  <conditionalFormatting sqref="J2">
    <cfRule type="cellIs" dxfId="191" priority="2" operator="equal">
      <formula>0</formula>
    </cfRule>
  </conditionalFormatting>
  <conditionalFormatting sqref="K2">
    <cfRule type="cellIs" dxfId="190" priority="1" operator="equal">
      <formula>#N/A</formula>
    </cfRule>
  </conditionalFormatting>
  <dataValidations count="2">
    <dataValidation type="list" allowBlank="1" showInputMessage="1" showErrorMessage="1" sqref="B1" xr:uid="{00000000-0002-0000-0600-000000000000}">
      <formula1>"1,2"</formula1>
    </dataValidation>
    <dataValidation type="list" allowBlank="1" showInputMessage="1" showErrorMessage="1" sqref="P2" xr:uid="{00000000-0002-0000-06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2" tint="-0.249977111117893"/>
  </sheetPr>
  <dimension ref="A1:DO4"/>
  <sheetViews>
    <sheetView workbookViewId="0">
      <selection activeCell="D13" sqref="D13"/>
    </sheetView>
  </sheetViews>
  <sheetFormatPr defaultRowHeight="15" x14ac:dyDescent="0.25"/>
  <cols>
    <col min="1" max="5" width="17.5703125" style="16" customWidth="1"/>
    <col min="6" max="6" width="20.28515625" style="16" customWidth="1"/>
    <col min="7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9" width="9.140625" style="16"/>
    <col min="20" max="24" width="13.28515625" style="16" customWidth="1"/>
    <col min="25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22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791</v>
      </c>
      <c r="AF2" s="85" t="s">
        <v>789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Glowroad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x14ac:dyDescent="0.25">
      <c r="A3" s="62" t="s">
        <v>5</v>
      </c>
      <c r="B3" s="63" t="s">
        <v>799</v>
      </c>
      <c r="C3" s="8"/>
      <c r="D3" s="8" t="s">
        <v>752</v>
      </c>
      <c r="E3" s="8"/>
      <c r="F3" s="8"/>
      <c r="G3" s="9"/>
      <c r="H3" s="10"/>
      <c r="I3" s="8"/>
      <c r="J3" s="8"/>
      <c r="K3" s="8"/>
      <c r="L3" s="8" t="s">
        <v>929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Glowroad</v>
      </c>
      <c r="DC3" s="27">
        <f>+R3</f>
        <v>0</v>
      </c>
      <c r="DD3" s="57" t="str">
        <f>+CONCATENATE(DJ3,"%",," ","(",DI3,")")</f>
        <v>0% ()</v>
      </c>
      <c r="DE3" s="26" t="str">
        <f>IFERROR(IF(ISBLANK(AD3),VLOOKUP(S3,Help!$A$2:$B$200,2,0),VLOOKUP(T3,Help!$A$2:$B$200,2,0)),"+++++++++")</f>
        <v>+++++++++</v>
      </c>
      <c r="DF3" s="27" t="str">
        <f>IFERROR(IF(ISBLANK(AD3),"",U3),"+++++++++")</f>
        <v/>
      </c>
      <c r="DG3" s="150">
        <f>IF(I3="Sales",VALUE(E3),VALUE(G3))</f>
        <v>0</v>
      </c>
      <c r="DH3" s="26">
        <f>IF(I3="Sales",F3,H3)</f>
        <v>0</v>
      </c>
      <c r="DI3" s="29" t="str">
        <f>IFERROR(IF(ISBLANK(AD3),SUBSTITUTE(T3,".",""),SUBSTITUTE(V3,".","")),"+++++++++")</f>
        <v/>
      </c>
      <c r="DJ3" s="26">
        <f>IFERROR(IF(ISBLANK(AD3),VALUE(U3),VALUE(W3)),"+++++++++")</f>
        <v>0</v>
      </c>
      <c r="DK3" s="29">
        <v>1</v>
      </c>
      <c r="DL3" s="26">
        <f>IFERROR(IF(ISBLANK(AD3),VALUE(V3),VALUE(X3)),"+++++++++")</f>
        <v>0</v>
      </c>
      <c r="DM3" s="26">
        <f>IFERROR(IF(ISBLANK(AD3),VALUE(AA3),VALUE(AC3)),"+++++++++")</f>
        <v>0</v>
      </c>
      <c r="DN3" s="26" t="str">
        <f>+IF(DE3="+++++++++","State","")</f>
        <v>State</v>
      </c>
      <c r="DO3" s="149" t="str">
        <f>IF(DN3="State",IF(ISBLANK(AD3),IF(ISBLANK(S3),"",S3),IF(ISBLANK(T3),"",T3)),"")</f>
        <v/>
      </c>
    </row>
    <row r="4" spans="1:119" customFormat="1" x14ac:dyDescent="0.25">
      <c r="A4" s="126" t="s">
        <v>390</v>
      </c>
      <c r="B4" s="126" t="s">
        <v>246</v>
      </c>
      <c r="C4" s="126" t="s">
        <v>391</v>
      </c>
      <c r="D4" s="126" t="s">
        <v>155</v>
      </c>
      <c r="E4" s="126" t="s">
        <v>392</v>
      </c>
      <c r="F4" s="126" t="s">
        <v>393</v>
      </c>
      <c r="G4" s="126" t="s">
        <v>394</v>
      </c>
      <c r="H4" s="126" t="s">
        <v>395</v>
      </c>
      <c r="I4" s="126" t="s">
        <v>396</v>
      </c>
      <c r="J4" s="126" t="s">
        <v>397</v>
      </c>
      <c r="K4" s="126" t="s">
        <v>398</v>
      </c>
      <c r="L4" s="126" t="s">
        <v>399</v>
      </c>
      <c r="M4" s="126" t="s">
        <v>400</v>
      </c>
      <c r="N4" s="126" t="s">
        <v>401</v>
      </c>
      <c r="O4" s="126" t="s">
        <v>402</v>
      </c>
      <c r="P4" s="126" t="s">
        <v>403</v>
      </c>
      <c r="Q4" s="126" t="s">
        <v>404</v>
      </c>
      <c r="R4" s="126" t="s">
        <v>405</v>
      </c>
      <c r="S4" s="126" t="s">
        <v>406</v>
      </c>
      <c r="T4" s="126" t="s">
        <v>407</v>
      </c>
      <c r="U4" s="126" t="s">
        <v>54</v>
      </c>
      <c r="V4" s="126" t="s">
        <v>408</v>
      </c>
      <c r="W4" s="126" t="s">
        <v>409</v>
      </c>
      <c r="X4" s="126" t="s">
        <v>410</v>
      </c>
      <c r="Y4" s="126" t="s">
        <v>411</v>
      </c>
      <c r="Z4" s="126" t="s">
        <v>412</v>
      </c>
      <c r="AA4" s="126" t="s">
        <v>80</v>
      </c>
      <c r="AB4" s="126" t="s">
        <v>413</v>
      </c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Glowroad</v>
      </c>
      <c r="DC4" s="26"/>
      <c r="DD4" s="26"/>
      <c r="DE4" s="148" t="str">
        <f>IFERROR(IF(ISBLANK(AD4),"",VLOOKUP(T4,Help!$A$2:$B$136,2,0)),"+++++++++")</f>
        <v/>
      </c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dQ3ZADWfsZIlJTzRwqNN6iqoH/ew74LDOgskFPonvxEl6yiacerZu+VJPuZqyk7/lS7/JEbM9iN0O2nCOqazFA==" saltValue="oysEjqWv203mGqr7KUgf/Q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89" priority="14" operator="equal">
      <formula>#N/A</formula>
    </cfRule>
  </conditionalFormatting>
  <conditionalFormatting sqref="E1">
    <cfRule type="cellIs" dxfId="188" priority="13" operator="equal">
      <formula>#N/A</formula>
    </cfRule>
  </conditionalFormatting>
  <conditionalFormatting sqref="I1">
    <cfRule type="cellIs" dxfId="187" priority="12" operator="equal">
      <formula>#N/A</formula>
    </cfRule>
  </conditionalFormatting>
  <conditionalFormatting sqref="J1">
    <cfRule type="cellIs" dxfId="186" priority="11" operator="equal">
      <formula>#N/A</formula>
    </cfRule>
  </conditionalFormatting>
  <conditionalFormatting sqref="J1">
    <cfRule type="containsText" dxfId="185" priority="9" operator="containsText" text="All Data Import Successfully">
      <formula>NOT(ISERROR(SEARCH("All Data Import Successfully",J1)))</formula>
    </cfRule>
    <cfRule type="containsText" dxfId="184" priority="10" operator="containsText" text="Difference Entry">
      <formula>NOT(ISERROR(SEARCH("Difference Entry",J1)))</formula>
    </cfRule>
  </conditionalFormatting>
  <conditionalFormatting sqref="L2 E2:G2">
    <cfRule type="cellIs" dxfId="183" priority="6" operator="equal">
      <formula>#N/A</formula>
    </cfRule>
  </conditionalFormatting>
  <conditionalFormatting sqref="H2">
    <cfRule type="cellIs" dxfId="182" priority="5" operator="equal">
      <formula>#N/A</formula>
    </cfRule>
  </conditionalFormatting>
  <conditionalFormatting sqref="I2">
    <cfRule type="cellIs" dxfId="181" priority="4" operator="equal">
      <formula>#N/A</formula>
    </cfRule>
  </conditionalFormatting>
  <conditionalFormatting sqref="J2">
    <cfRule type="cellIs" dxfId="180" priority="3" operator="equal">
      <formula>#N/A</formula>
    </cfRule>
  </conditionalFormatting>
  <conditionalFormatting sqref="J2">
    <cfRule type="cellIs" dxfId="179" priority="2" operator="equal">
      <formula>0</formula>
    </cfRule>
  </conditionalFormatting>
  <conditionalFormatting sqref="K2">
    <cfRule type="cellIs" dxfId="178" priority="1" operator="equal">
      <formula>#N/A</formula>
    </cfRule>
  </conditionalFormatting>
  <dataValidations count="2">
    <dataValidation type="list" allowBlank="1" showInputMessage="1" showErrorMessage="1" sqref="B1" xr:uid="{00000000-0002-0000-0700-000000000000}">
      <formula1>"1,2"</formula1>
    </dataValidation>
    <dataValidation type="list" allowBlank="1" showInputMessage="1" showErrorMessage="1" sqref="P2" xr:uid="{00000000-0002-0000-07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7" tint="0.39997558519241921"/>
  </sheetPr>
  <dimension ref="A1:DO4"/>
  <sheetViews>
    <sheetView showRuler="0" workbookViewId="0"/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52" width="9.140625" style="16"/>
    <col min="53" max="53" width="23" style="16" bestFit="1" customWidth="1"/>
    <col min="54" max="59" width="9.140625" style="16"/>
    <col min="60" max="60" width="11.7109375" style="16" bestFit="1" customWidth="1"/>
    <col min="61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11.7109375" style="16" bestFit="1" customWidth="1"/>
    <col min="117" max="117" width="12.7109375" style="16" bestFit="1" customWidth="1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4">
        <f ca="1"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791</v>
      </c>
      <c r="AF2" s="85" t="s">
        <v>789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Myntra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ht="15.75" thickBot="1" x14ac:dyDescent="0.3">
      <c r="A3" s="62" t="s">
        <v>5</v>
      </c>
      <c r="B3" s="63" t="s">
        <v>416</v>
      </c>
      <c r="C3" s="8"/>
      <c r="D3" s="8" t="s">
        <v>872</v>
      </c>
      <c r="E3" s="8"/>
      <c r="F3" s="8"/>
      <c r="G3" s="9"/>
      <c r="H3" s="10"/>
      <c r="I3" s="8"/>
      <c r="J3" s="8"/>
      <c r="K3" s="8"/>
      <c r="L3" s="8" t="s">
        <v>929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57" t="e">
        <f ca="1">+CONCATENATE(DJ3,"%",," ","(",DI3,")")</f>
        <v>#VALUE!</v>
      </c>
      <c r="DE3" s="26" t="str">
        <f>IFERROR(VLOOKUP(R3,Help!$A$2:$B$136,2,0),"+++++++++")</f>
        <v>+++++++++</v>
      </c>
      <c r="DF3" s="27" t="s">
        <v>85</v>
      </c>
      <c r="DG3" s="28" t="e">
        <f>+VALUE(A3)</f>
        <v>#VALUE!</v>
      </c>
      <c r="DH3" s="26">
        <f>+C3</f>
        <v>0</v>
      </c>
      <c r="DI3" s="26">
        <f>+IF(ISBLANK(BT3),BK3,BT3)</f>
        <v>0</v>
      </c>
      <c r="DJ3" s="26" t="e">
        <f ca="1">((SUBSTITUTE(TRIM(IF(LEFT(AA3,3)="CLG"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6)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12))),".",""))+(SUBSTITUTE(TRIM(IF(LEFT(AC3,3)="CLG"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6)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12))),".",""))+(SUBSTITUTE(TRIM(IF(LEFT(AE3,3)="CLG"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6)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12))),".","")))/10</f>
        <v>#VALUE!</v>
      </c>
      <c r="DK3" s="26">
        <f>+H3</f>
        <v>0</v>
      </c>
      <c r="DL3" s="26">
        <f>+VALUE(IF(ISBLANK(BT3),CONCATENATE("-",VALUE(I3)),VALUE(I3)))</f>
        <v>0</v>
      </c>
      <c r="DM3" s="26">
        <f>+DL3*0.01</f>
        <v>0</v>
      </c>
      <c r="DN3" s="26" t="str">
        <f>IF(DE3="+++++++++",IF(ISBLANK(R3),"Blank State Coloum R Check",R3),"")</f>
        <v>Blank State Coloum R Check</v>
      </c>
      <c r="DO3" s="127"/>
    </row>
    <row r="4" spans="1:119" customFormat="1" ht="15.75" thickBot="1" x14ac:dyDescent="0.3">
      <c r="A4" s="132" t="s">
        <v>417</v>
      </c>
      <c r="B4" s="133" t="s">
        <v>418</v>
      </c>
      <c r="C4" s="133" t="s">
        <v>419</v>
      </c>
      <c r="D4" s="133" t="s">
        <v>420</v>
      </c>
      <c r="E4" s="133" t="s">
        <v>421</v>
      </c>
      <c r="F4" s="133" t="s">
        <v>302</v>
      </c>
      <c r="G4" s="133" t="s">
        <v>422</v>
      </c>
      <c r="H4" s="133" t="s">
        <v>423</v>
      </c>
      <c r="I4" s="133" t="s">
        <v>424</v>
      </c>
      <c r="J4" s="133" t="s">
        <v>425</v>
      </c>
      <c r="K4" s="133" t="s">
        <v>426</v>
      </c>
      <c r="L4" s="133" t="s">
        <v>427</v>
      </c>
      <c r="M4" s="133" t="s">
        <v>73</v>
      </c>
      <c r="N4" s="133" t="s">
        <v>428</v>
      </c>
      <c r="O4" s="133" t="s">
        <v>429</v>
      </c>
      <c r="P4" s="133" t="s">
        <v>430</v>
      </c>
      <c r="Q4" s="133" t="s">
        <v>431</v>
      </c>
      <c r="R4" s="133" t="s">
        <v>432</v>
      </c>
      <c r="S4" s="133" t="s">
        <v>433</v>
      </c>
      <c r="T4" s="133" t="s">
        <v>434</v>
      </c>
      <c r="U4" s="133" t="s">
        <v>435</v>
      </c>
      <c r="V4" s="133" t="s">
        <v>436</v>
      </c>
      <c r="W4" s="133" t="s">
        <v>437</v>
      </c>
      <c r="X4" s="133" t="s">
        <v>438</v>
      </c>
      <c r="Y4" s="133" t="s">
        <v>439</v>
      </c>
      <c r="Z4" s="133" t="s">
        <v>409</v>
      </c>
      <c r="AA4" s="133" t="s">
        <v>275</v>
      </c>
      <c r="AB4" s="133" t="s">
        <v>410</v>
      </c>
      <c r="AC4" s="133" t="s">
        <v>440</v>
      </c>
      <c r="AD4" s="133" t="s">
        <v>412</v>
      </c>
      <c r="AE4" s="133" t="s">
        <v>273</v>
      </c>
      <c r="AF4" s="133" t="s">
        <v>411</v>
      </c>
      <c r="AG4" s="133" t="s">
        <v>441</v>
      </c>
      <c r="AH4" s="133" t="s">
        <v>442</v>
      </c>
      <c r="AI4" s="133" t="s">
        <v>443</v>
      </c>
      <c r="AJ4" s="133" t="s">
        <v>444</v>
      </c>
      <c r="AK4" s="133" t="s">
        <v>445</v>
      </c>
      <c r="AL4" s="133" t="s">
        <v>446</v>
      </c>
      <c r="AM4" s="133" t="s">
        <v>447</v>
      </c>
      <c r="AN4" s="133" t="s">
        <v>448</v>
      </c>
      <c r="AO4" s="133" t="s">
        <v>449</v>
      </c>
      <c r="AP4" s="133" t="s">
        <v>450</v>
      </c>
      <c r="AQ4" s="133" t="s">
        <v>451</v>
      </c>
      <c r="AR4" s="133" t="s">
        <v>452</v>
      </c>
      <c r="AS4" s="133" t="s">
        <v>453</v>
      </c>
      <c r="AT4" s="133" t="s">
        <v>454</v>
      </c>
      <c r="AU4" s="133" t="s">
        <v>455</v>
      </c>
      <c r="AV4" s="133" t="s">
        <v>456</v>
      </c>
      <c r="AW4" s="133" t="s">
        <v>457</v>
      </c>
      <c r="AX4" s="133" t="s">
        <v>458</v>
      </c>
      <c r="AY4" s="133" t="s">
        <v>459</v>
      </c>
      <c r="AZ4" s="133" t="s">
        <v>460</v>
      </c>
      <c r="BA4" s="133" t="s">
        <v>461</v>
      </c>
      <c r="BB4" s="133" t="s">
        <v>462</v>
      </c>
      <c r="BC4" s="133" t="s">
        <v>463</v>
      </c>
      <c r="BD4" s="133" t="s">
        <v>464</v>
      </c>
      <c r="BE4" s="133" t="s">
        <v>465</v>
      </c>
      <c r="BF4" s="133" t="s">
        <v>466</v>
      </c>
      <c r="BG4" s="133" t="s">
        <v>467</v>
      </c>
      <c r="BH4" s="133" t="s">
        <v>468</v>
      </c>
      <c r="BI4" s="133" t="s">
        <v>469</v>
      </c>
      <c r="BJ4" s="133" t="s">
        <v>470</v>
      </c>
      <c r="BK4" s="133" t="s">
        <v>471</v>
      </c>
      <c r="BL4" s="133" t="s">
        <v>472</v>
      </c>
      <c r="BM4" s="133" t="s">
        <v>473</v>
      </c>
      <c r="BN4" s="133" t="s">
        <v>474</v>
      </c>
      <c r="BO4" s="133" t="s">
        <v>475</v>
      </c>
      <c r="BP4" s="133" t="s">
        <v>476</v>
      </c>
      <c r="BQ4" s="133" t="s">
        <v>477</v>
      </c>
      <c r="BR4" s="133" t="s">
        <v>478</v>
      </c>
      <c r="BS4" s="133" t="s">
        <v>479</v>
      </c>
      <c r="BT4" s="133" t="s">
        <v>55</v>
      </c>
      <c r="BU4" s="133" t="s">
        <v>480</v>
      </c>
      <c r="BV4" s="133" t="s">
        <v>481</v>
      </c>
      <c r="BW4" s="133" t="s">
        <v>482</v>
      </c>
      <c r="BX4" s="133" t="s">
        <v>483</v>
      </c>
      <c r="BY4" s="134" t="s">
        <v>484</v>
      </c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1idGdfBB8B2m9IOycnd9MvykM06iMmkxfhORB0Dz/wQR7QzCgPV+ZEpwhZzkBGyMPFqdraZu+4O1azBSvsUkSA==" saltValue="9KdsZ905aacKRXo/vmv8SA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77" priority="12" operator="equal">
      <formula>#N/A</formula>
    </cfRule>
  </conditionalFormatting>
  <conditionalFormatting sqref="E1">
    <cfRule type="cellIs" dxfId="176" priority="11" operator="equal">
      <formula>#N/A</formula>
    </cfRule>
  </conditionalFormatting>
  <conditionalFormatting sqref="I1">
    <cfRule type="cellIs" dxfId="175" priority="10" operator="equal">
      <formula>#N/A</formula>
    </cfRule>
  </conditionalFormatting>
  <conditionalFormatting sqref="J1">
    <cfRule type="cellIs" dxfId="174" priority="9" operator="equal">
      <formula>#N/A</formula>
    </cfRule>
  </conditionalFormatting>
  <conditionalFormatting sqref="J1">
    <cfRule type="containsText" dxfId="173" priority="7" operator="containsText" text="All Data Import Successfully">
      <formula>NOT(ISERROR(SEARCH("All Data Import Successfully",J1)))</formula>
    </cfRule>
    <cfRule type="containsText" dxfId="172" priority="8" operator="containsText" text="Difference Entry">
      <formula>NOT(ISERROR(SEARCH("Difference Entry",J1)))</formula>
    </cfRule>
  </conditionalFormatting>
  <conditionalFormatting sqref="L2 E2:G2">
    <cfRule type="cellIs" dxfId="171" priority="6" operator="equal">
      <formula>#N/A</formula>
    </cfRule>
  </conditionalFormatting>
  <conditionalFormatting sqref="H2">
    <cfRule type="cellIs" dxfId="170" priority="5" operator="equal">
      <formula>#N/A</formula>
    </cfRule>
  </conditionalFormatting>
  <conditionalFormatting sqref="I2">
    <cfRule type="cellIs" dxfId="169" priority="4" operator="equal">
      <formula>#N/A</formula>
    </cfRule>
  </conditionalFormatting>
  <conditionalFormatting sqref="J2">
    <cfRule type="cellIs" dxfId="168" priority="3" operator="equal">
      <formula>#N/A</formula>
    </cfRule>
  </conditionalFormatting>
  <conditionalFormatting sqref="J2">
    <cfRule type="cellIs" dxfId="167" priority="2" operator="equal">
      <formula>0</formula>
    </cfRule>
  </conditionalFormatting>
  <conditionalFormatting sqref="K2">
    <cfRule type="cellIs" dxfId="166" priority="1" operator="equal">
      <formula>#N/A</formula>
    </cfRule>
  </conditionalFormatting>
  <dataValidations count="2">
    <dataValidation type="list" allowBlank="1" showInputMessage="1" showErrorMessage="1" sqref="P2" xr:uid="{00000000-0002-0000-0800-000000000000}">
      <formula1>"HSN+%"</formula1>
    </dataValidation>
    <dataValidation type="list" allowBlank="1" showInputMessage="1" showErrorMessage="1" sqref="B1" xr:uid="{00000000-0002-0000-08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7" tint="0.39997558519241921"/>
  </sheetPr>
  <dimension ref="A1:DO4"/>
  <sheetViews>
    <sheetView workbookViewId="0">
      <selection activeCell="A5" sqref="A5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7" width="17.7109375" style="16" bestFit="1" customWidth="1"/>
    <col min="18" max="18" width="8.7109375" style="16" bestFit="1" customWidth="1"/>
    <col min="19" max="19" width="12" style="16" bestFit="1" customWidth="1"/>
    <col min="20" max="20" width="11" style="16" bestFit="1" customWidth="1"/>
    <col min="21" max="21" width="15.85546875" style="16" bestFit="1" customWidth="1"/>
    <col min="22" max="22" width="9.28515625" style="16" bestFit="1" customWidth="1"/>
    <col min="23" max="23" width="11.5703125" style="16" bestFit="1" customWidth="1"/>
    <col min="24" max="24" width="17" style="16" bestFit="1" customWidth="1"/>
    <col min="25" max="25" width="8.28515625" style="16" bestFit="1" customWidth="1"/>
    <col min="26" max="26" width="8.7109375" style="16" bestFit="1" customWidth="1"/>
    <col min="27" max="28" width="9" style="16" bestFit="1" customWidth="1"/>
    <col min="29" max="29" width="8.140625" style="16" bestFit="1" customWidth="1"/>
    <col min="30" max="30" width="14.5703125" style="16" bestFit="1" customWidth="1"/>
    <col min="31" max="31" width="29.85546875" style="16" bestFit="1" customWidth="1"/>
    <col min="32" max="32" width="25" style="16" customWidth="1"/>
    <col min="33" max="33" width="28.7109375" style="16" bestFit="1" customWidth="1"/>
    <col min="34" max="34" width="16.85546875" style="16" bestFit="1" customWidth="1"/>
    <col min="35" max="35" width="15.42578125" style="16" bestFit="1" customWidth="1"/>
    <col min="36" max="36" width="8.5703125" style="16" bestFit="1" customWidth="1"/>
    <col min="37" max="38" width="8.85546875" style="16" bestFit="1" customWidth="1"/>
    <col min="39" max="39" width="11.5703125" style="16" bestFit="1" customWidth="1"/>
    <col min="40" max="40" width="8.42578125" style="16" bestFit="1" customWidth="1"/>
    <col min="41" max="41" width="13.28515625" style="16" bestFit="1" customWidth="1"/>
    <col min="42" max="42" width="15.28515625" style="16" bestFit="1" customWidth="1"/>
    <col min="43" max="43" width="14.7109375" style="16" bestFit="1" customWidth="1"/>
    <col min="44" max="44" width="15.42578125" style="16" bestFit="1" customWidth="1"/>
    <col min="45" max="45" width="16.5703125" style="16" bestFit="1" customWidth="1"/>
    <col min="46" max="46" width="5" style="16" bestFit="1" customWidth="1"/>
    <col min="47" max="47" width="16.42578125" style="16" bestFit="1" customWidth="1"/>
    <col min="48" max="48" width="11.7109375" style="16" bestFit="1" customWidth="1"/>
    <col min="49" max="49" width="8.7109375" style="16" bestFit="1" customWidth="1"/>
    <col min="50" max="50" width="8.85546875" style="16" bestFit="1" customWidth="1"/>
    <col min="51" max="51" width="12.5703125" style="16" bestFit="1" customWidth="1"/>
    <col min="52" max="52" width="8.28515625" style="16" bestFit="1" customWidth="1"/>
    <col min="53" max="53" width="6.5703125" style="16" bestFit="1" customWidth="1"/>
    <col min="54" max="54" width="11" style="16" bestFit="1" customWidth="1"/>
    <col min="55" max="55" width="11.85546875" style="16" bestFit="1" customWidth="1"/>
    <col min="56" max="56" width="16.42578125" style="16" bestFit="1" customWidth="1"/>
    <col min="57" max="57" width="15" style="16" bestFit="1" customWidth="1"/>
    <col min="58" max="58" width="12" style="16" bestFit="1" customWidth="1"/>
    <col min="59" max="59" width="12.42578125" style="16" bestFit="1" customWidth="1"/>
    <col min="60" max="60" width="17.5703125" style="16" bestFit="1" customWidth="1"/>
    <col min="61" max="61" width="16.7109375" style="16" bestFit="1" customWidth="1"/>
    <col min="62" max="62" width="11.140625" style="16" bestFit="1" customWidth="1"/>
    <col min="63" max="63" width="8.5703125" style="16" bestFit="1" customWidth="1"/>
    <col min="64" max="64" width="16.7109375" style="16" bestFit="1" customWidth="1"/>
    <col min="65" max="65" width="13.140625" style="16" bestFit="1" customWidth="1"/>
    <col min="66" max="66" width="8.28515625" style="16" bestFit="1" customWidth="1"/>
    <col min="67" max="67" width="11.28515625" style="16" bestFit="1" customWidth="1"/>
    <col min="68" max="68" width="11.5703125" style="16" bestFit="1" customWidth="1"/>
    <col min="69" max="70" width="15.85546875" style="16" bestFit="1" customWidth="1"/>
    <col min="71" max="71" width="15.5703125" style="16" bestFit="1" customWidth="1"/>
    <col min="72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7.7109375" style="16" bestFit="1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>
        <v>2</v>
      </c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791</v>
      </c>
      <c r="AF2" s="85" t="s">
        <v>789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Myntra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ht="15.75" thickBot="1" x14ac:dyDescent="0.3">
      <c r="A3" s="62" t="s">
        <v>5</v>
      </c>
      <c r="B3" s="63" t="s">
        <v>416</v>
      </c>
      <c r="C3" s="8"/>
      <c r="D3" s="8" t="s">
        <v>923</v>
      </c>
      <c r="E3" s="8"/>
      <c r="F3" s="8"/>
      <c r="G3" s="9"/>
      <c r="H3" s="10"/>
      <c r="I3" s="8"/>
      <c r="J3" s="8"/>
      <c r="K3" s="8"/>
      <c r="L3" s="8" t="s">
        <v>929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28" t="str">
        <f>+CONCATENATE(DJ3,"%",," ","(",DI3,")")</f>
        <v>0% ()</v>
      </c>
      <c r="DE3" s="29" t="str">
        <f>IFERROR(VLOOKUP(IF(ISBLANK(BV3),AE3,IF(ISBLANK(CF3),AL3,AR3)),Help!$A$2:$B$200,2,0),"+++++++++")</f>
        <v>+++++++++</v>
      </c>
      <c r="DF3" s="27" t="s">
        <v>85</v>
      </c>
      <c r="DG3" s="28" t="e">
        <f>+IF(ISBLANK(BV3),DATE(LEFT(M3,4), MID(M3,5,2), RIGHT(M3,2)),IF(ISBLANK(CF3),DATE(LEFT(AH3,4), MID(AH3,5,2), RIGHT(AH3,2)),DATE(LEFT(Q3,4), MID(Q3,5,2), RIGHT(Q3,2))))</f>
        <v>#VALUE!</v>
      </c>
      <c r="DH3" s="29" t="str">
        <f>+IF(ISBLANK(BV3),D3,IF(ISBLANK(CF3),G3,F3))</f>
        <v>\\ADITYA-TECH\All Sharing\Ecom Setup\Devlop\ecomm statment\mytra GST Report Packed.xlsx</v>
      </c>
      <c r="DI3" s="202" t="s">
        <v>85</v>
      </c>
      <c r="DJ3" s="29">
        <f>+IF(ISBLANK(BV3),Y3,IF(ISBLANK(CF3),Z3,AC3))</f>
        <v>0</v>
      </c>
      <c r="DK3" s="29">
        <f>+IF(ISBLANK(BV3),AN3,IF(ISBLANK(CF3),Q3,BE3))</f>
        <v>0</v>
      </c>
      <c r="DL3" s="26">
        <f>+IF(ISBLANK(BV3),BN3,IF(ISBLANK(CF3),BV3,CG3)*-1)</f>
        <v>0</v>
      </c>
      <c r="DM3" s="26">
        <f>+IF(ISBLANK(BV3),BP3,IF(ISBLANK(CF3),BX3,CI3)*-1)</f>
        <v>0</v>
      </c>
      <c r="DN3" s="26" t="str">
        <f>+IF(DE3="+++++++++","State","")</f>
        <v>State</v>
      </c>
      <c r="DO3" s="183" t="str">
        <f>IF(DE3="+++++++++",IF(ISBLANK(BV3),IF(ISBLANK(AE3),"",AE3),IF(ISBLANK(CF3),IF(ISBLANK(AL3),"",AL3),IF(ISBLANK(AR3),"",AR3))),"")</f>
        <v/>
      </c>
    </row>
    <row r="4" spans="1:119" customFormat="1" ht="15.75" thickBot="1" x14ac:dyDescent="0.3">
      <c r="A4" s="171" t="s">
        <v>538</v>
      </c>
      <c r="B4" s="172" t="s">
        <v>120</v>
      </c>
      <c r="C4" s="172" t="s">
        <v>539</v>
      </c>
      <c r="D4" s="172" t="s">
        <v>540</v>
      </c>
      <c r="E4" s="172" t="s">
        <v>541</v>
      </c>
      <c r="F4" s="172" t="s">
        <v>542</v>
      </c>
      <c r="G4" s="172" t="s">
        <v>543</v>
      </c>
      <c r="H4" s="172" t="s">
        <v>544</v>
      </c>
      <c r="I4" s="172" t="s">
        <v>545</v>
      </c>
      <c r="J4" s="172" t="s">
        <v>117</v>
      </c>
      <c r="K4" s="172" t="s">
        <v>546</v>
      </c>
      <c r="L4" s="172" t="s">
        <v>547</v>
      </c>
      <c r="M4" s="172" t="s">
        <v>548</v>
      </c>
      <c r="N4" s="172" t="s">
        <v>549</v>
      </c>
      <c r="O4" s="172" t="s">
        <v>550</v>
      </c>
      <c r="P4" s="172" t="s">
        <v>551</v>
      </c>
      <c r="Q4" s="172" t="s">
        <v>552</v>
      </c>
      <c r="R4" s="172" t="s">
        <v>553</v>
      </c>
      <c r="S4" s="172" t="s">
        <v>554</v>
      </c>
      <c r="T4" s="172" t="s">
        <v>555</v>
      </c>
      <c r="U4" s="172" t="s">
        <v>556</v>
      </c>
      <c r="V4" s="172" t="s">
        <v>557</v>
      </c>
      <c r="W4" s="172" t="s">
        <v>558</v>
      </c>
      <c r="X4" s="172" t="s">
        <v>559</v>
      </c>
      <c r="Y4" s="172" t="s">
        <v>560</v>
      </c>
      <c r="Z4" s="172" t="s">
        <v>561</v>
      </c>
      <c r="AA4" s="172" t="s">
        <v>562</v>
      </c>
      <c r="AB4" s="172" t="s">
        <v>563</v>
      </c>
      <c r="AC4" s="172" t="s">
        <v>564</v>
      </c>
      <c r="AD4" s="172" t="s">
        <v>565</v>
      </c>
      <c r="AE4" s="172" t="s">
        <v>566</v>
      </c>
      <c r="AF4" s="172" t="s">
        <v>567</v>
      </c>
      <c r="AG4" s="172" t="s">
        <v>568</v>
      </c>
      <c r="AH4" s="172" t="s">
        <v>569</v>
      </c>
      <c r="AI4" s="172" t="s">
        <v>570</v>
      </c>
      <c r="AJ4" s="172" t="s">
        <v>571</v>
      </c>
      <c r="AK4" s="172" t="s">
        <v>572</v>
      </c>
      <c r="AL4" s="172" t="s">
        <v>573</v>
      </c>
      <c r="AM4" s="172" t="s">
        <v>574</v>
      </c>
      <c r="AN4" s="172" t="s">
        <v>116</v>
      </c>
      <c r="AO4" s="172" t="s">
        <v>575</v>
      </c>
      <c r="AP4" s="172" t="s">
        <v>576</v>
      </c>
      <c r="AQ4" s="172" t="s">
        <v>577</v>
      </c>
      <c r="AR4" s="172" t="s">
        <v>578</v>
      </c>
      <c r="AS4" s="172" t="s">
        <v>579</v>
      </c>
      <c r="AT4" s="172" t="s">
        <v>580</v>
      </c>
      <c r="AU4" s="172" t="s">
        <v>581</v>
      </c>
      <c r="AV4" s="172" t="s">
        <v>582</v>
      </c>
      <c r="AW4" s="172" t="s">
        <v>583</v>
      </c>
      <c r="AX4" s="172" t="s">
        <v>584</v>
      </c>
      <c r="AY4" s="172" t="s">
        <v>585</v>
      </c>
      <c r="AZ4" s="172" t="s">
        <v>586</v>
      </c>
      <c r="BA4" s="172" t="s">
        <v>587</v>
      </c>
      <c r="BB4" s="172" t="s">
        <v>588</v>
      </c>
      <c r="BC4" s="172" t="s">
        <v>589</v>
      </c>
      <c r="BD4" s="172" t="s">
        <v>590</v>
      </c>
      <c r="BE4" s="172" t="s">
        <v>591</v>
      </c>
      <c r="BF4" s="172" t="s">
        <v>80</v>
      </c>
      <c r="BG4" s="172" t="s">
        <v>592</v>
      </c>
      <c r="BH4" s="172" t="s">
        <v>593</v>
      </c>
      <c r="BI4" s="172" t="s">
        <v>594</v>
      </c>
      <c r="BJ4" s="172" t="s">
        <v>595</v>
      </c>
      <c r="BK4" s="172" t="s">
        <v>596</v>
      </c>
      <c r="BL4" s="172" t="s">
        <v>597</v>
      </c>
      <c r="BM4" s="172" t="s">
        <v>755</v>
      </c>
      <c r="BN4" s="172" t="s">
        <v>598</v>
      </c>
      <c r="BO4" s="172" t="s">
        <v>599</v>
      </c>
      <c r="BP4" s="172" t="s">
        <v>600</v>
      </c>
      <c r="BQ4" s="172" t="s">
        <v>601</v>
      </c>
      <c r="BR4" s="172" t="s">
        <v>602</v>
      </c>
      <c r="BS4" s="172" t="s">
        <v>603</v>
      </c>
      <c r="BT4" s="173" t="s">
        <v>604</v>
      </c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viNnXfeOnZAw5ArtNxMB2yQevd/N4xbQ/uC9TJn+7TgYydpLJSrsDD60zK6vbTo7fGodPulrQq75jKg30rhIkg==" saltValue="INi0MrkPrGjpmseYqrYfCQ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65" priority="12" operator="equal">
      <formula>#N/A</formula>
    </cfRule>
  </conditionalFormatting>
  <conditionalFormatting sqref="E1">
    <cfRule type="cellIs" dxfId="164" priority="11" operator="equal">
      <formula>#N/A</formula>
    </cfRule>
  </conditionalFormatting>
  <conditionalFormatting sqref="I1">
    <cfRule type="cellIs" dxfId="163" priority="10" operator="equal">
      <formula>#N/A</formula>
    </cfRule>
  </conditionalFormatting>
  <conditionalFormatting sqref="J1">
    <cfRule type="cellIs" dxfId="162" priority="9" operator="equal">
      <formula>#N/A</formula>
    </cfRule>
  </conditionalFormatting>
  <conditionalFormatting sqref="J1">
    <cfRule type="containsText" dxfId="161" priority="7" operator="containsText" text="All Data Import Successfully">
      <formula>NOT(ISERROR(SEARCH("All Data Import Successfully",J1)))</formula>
    </cfRule>
    <cfRule type="containsText" dxfId="160" priority="8" operator="containsText" text="Difference Entry">
      <formula>NOT(ISERROR(SEARCH("Difference Entry",J1)))</formula>
    </cfRule>
  </conditionalFormatting>
  <conditionalFormatting sqref="L2 E2:G2">
    <cfRule type="cellIs" dxfId="159" priority="6" operator="equal">
      <formula>#N/A</formula>
    </cfRule>
  </conditionalFormatting>
  <conditionalFormatting sqref="H2">
    <cfRule type="cellIs" dxfId="158" priority="5" operator="equal">
      <formula>#N/A</formula>
    </cfRule>
  </conditionalFormatting>
  <conditionalFormatting sqref="I2">
    <cfRule type="cellIs" dxfId="157" priority="4" operator="equal">
      <formula>#N/A</formula>
    </cfRule>
  </conditionalFormatting>
  <conditionalFormatting sqref="J2">
    <cfRule type="cellIs" dxfId="156" priority="3" operator="equal">
      <formula>#N/A</formula>
    </cfRule>
  </conditionalFormatting>
  <conditionalFormatting sqref="J2">
    <cfRule type="cellIs" dxfId="155" priority="2" operator="equal">
      <formula>0</formula>
    </cfRule>
  </conditionalFormatting>
  <conditionalFormatting sqref="K2">
    <cfRule type="cellIs" dxfId="154" priority="1" operator="equal">
      <formula>#N/A</formula>
    </cfRule>
  </conditionalFormatting>
  <dataValidations disablePrompts="1" count="2">
    <dataValidation type="list" allowBlank="1" showInputMessage="1" showErrorMessage="1" sqref="B1" xr:uid="{00000000-0002-0000-0900-000000000000}">
      <formula1>"1,2"</formula1>
    </dataValidation>
    <dataValidation type="list" allowBlank="1" showInputMessage="1" showErrorMessage="1" sqref="P2" xr:uid="{00000000-0002-0000-09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theme="7" tint="0.59999389629810485"/>
  </sheetPr>
  <dimension ref="A1:DT4"/>
  <sheetViews>
    <sheetView workbookViewId="0">
      <selection activeCell="G11" sqref="G1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1" width="9.140625" style="16"/>
    <col min="22" max="22" width="19.5703125" style="16" customWidth="1"/>
    <col min="23" max="23" width="9.140625" style="16"/>
    <col min="24" max="24" width="17.85546875" style="16" customWidth="1"/>
    <col min="25" max="25" width="28.5703125" style="16" bestFit="1" customWidth="1"/>
    <col min="26" max="26" width="9.140625" style="16"/>
    <col min="27" max="33" width="12.42578125" style="16" customWidth="1"/>
    <col min="34" max="36" width="9.140625" style="16"/>
    <col min="37" max="37" width="17.85546875" style="16" bestFit="1" customWidth="1"/>
    <col min="38" max="45" width="9.140625" style="16"/>
    <col min="46" max="46" width="19.85546875" style="16" bestFit="1" customWidth="1"/>
    <col min="47" max="47" width="9.140625" style="16"/>
    <col min="48" max="48" width="23.85546875" style="16" bestFit="1" customWidth="1"/>
    <col min="49" max="50" width="9.140625" style="16"/>
    <col min="51" max="51" width="19.85546875" style="16" bestFit="1" customWidth="1"/>
    <col min="52" max="52" width="20" style="16" bestFit="1" customWidth="1"/>
    <col min="53" max="104" width="9.140625" style="16"/>
    <col min="105" max="105" width="10.42578125" style="16" bestFit="1" customWidth="1"/>
    <col min="106" max="106" width="14.1406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713</v>
      </c>
      <c r="B1" s="80">
        <v>1</v>
      </c>
      <c r="C1" s="4"/>
      <c r="D1" s="18"/>
      <c r="E1" s="43" t="s">
        <v>96</v>
      </c>
      <c r="F1" s="44" t="s">
        <v>733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714</v>
      </c>
      <c r="P1" s="405"/>
      <c r="AA1" s="206">
        <v>2</v>
      </c>
      <c r="AB1" s="207">
        <v>0</v>
      </c>
      <c r="AC1" s="207"/>
      <c r="AD1" s="277" t="s">
        <v>792</v>
      </c>
      <c r="AE1" s="277" t="s">
        <v>787</v>
      </c>
      <c r="AF1" s="277" t="s">
        <v>54</v>
      </c>
      <c r="AG1" s="277" t="s">
        <v>745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 t="s">
        <v>715</v>
      </c>
      <c r="AB2" s="2" t="s">
        <v>735</v>
      </c>
      <c r="AC2" s="2"/>
      <c r="AD2" s="85" t="s">
        <v>325</v>
      </c>
      <c r="AE2" s="85" t="s">
        <v>791</v>
      </c>
      <c r="AF2" s="85" t="s">
        <v>789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">
        <v>71</v>
      </c>
      <c r="DB2" s="90" t="s">
        <v>876</v>
      </c>
      <c r="DC2" s="91" t="s">
        <v>716</v>
      </c>
      <c r="DD2" s="91" t="s">
        <v>717</v>
      </c>
      <c r="DE2" s="91" t="s">
        <v>1</v>
      </c>
      <c r="DF2" s="91" t="s">
        <v>718</v>
      </c>
      <c r="DG2" s="91" t="s">
        <v>719</v>
      </c>
      <c r="DH2" s="91" t="s">
        <v>720</v>
      </c>
      <c r="DI2" s="91" t="s">
        <v>721</v>
      </c>
      <c r="DJ2" s="91" t="s">
        <v>722</v>
      </c>
      <c r="DK2" s="91" t="s">
        <v>78</v>
      </c>
      <c r="DL2" s="91" t="s">
        <v>106</v>
      </c>
      <c r="DM2" s="91" t="s">
        <v>80</v>
      </c>
      <c r="DN2" s="91" t="s">
        <v>243</v>
      </c>
      <c r="DO2" s="92" t="s">
        <v>723</v>
      </c>
    </row>
    <row r="3" spans="1:124" customFormat="1" ht="15.75" thickBot="1" x14ac:dyDescent="0.3">
      <c r="A3" s="370"/>
      <c r="B3" s="63" t="s">
        <v>712</v>
      </c>
      <c r="C3" s="8"/>
      <c r="D3" s="62" t="s">
        <v>753</v>
      </c>
      <c r="E3" s="8"/>
      <c r="F3" s="8"/>
      <c r="G3" s="8"/>
      <c r="H3" s="8"/>
      <c r="I3" s="8"/>
      <c r="J3" s="8"/>
      <c r="K3" s="8"/>
      <c r="L3" s="8" t="s">
        <v>929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6" t="str">
        <f>IFERROR(VLOOKUP(U3,Help!$A$2:C$170,2,0),"+++++++++")</f>
        <v>+++++++++</v>
      </c>
      <c r="DB3" s="26" t="str">
        <f>+DB2</f>
        <v>Ecomm Party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IFERROR(VLOOKUP(V3,Help!$A$2:C$170,2,0),"+++++++++")</f>
        <v>+++++++++</v>
      </c>
      <c r="DF3" s="27" t="s">
        <v>85</v>
      </c>
      <c r="DG3" s="221" t="e">
        <f>+IF(ISBLANK(AY3),TEXT(DATEVALUE(MID(Y3,1,10)),"DD/MM/YYYY"),TEXT(DATEVALUE(MID(AY3,1,10)),"DD/MM/YYYY"))</f>
        <v>#VALUE!</v>
      </c>
      <c r="DH3" s="58">
        <f>+IF(ISBLANK(AY3),X3,AZ3)</f>
        <v>0</v>
      </c>
      <c r="DI3" s="202" t="str">
        <f>+IF(ISBLANK(AB3),"",AB3)</f>
        <v/>
      </c>
      <c r="DJ3" s="184">
        <f>+VALUE(AG3)</f>
        <v>0</v>
      </c>
      <c r="DK3" s="29">
        <f>+VALUE(R3)</f>
        <v>0</v>
      </c>
      <c r="DL3" s="58">
        <f>+IF(ISBLANK(AY3),VALUE(AH3),VALUE(-AH3))</f>
        <v>0</v>
      </c>
      <c r="DM3" s="58">
        <f>+IF(ISBLANK(AY3),VALUE(AN3),VALUE(-AN3))</f>
        <v>0</v>
      </c>
      <c r="DN3" s="26" t="str">
        <f>CONCATENATE(IF(DE3="+++++++++","State",""),IF(DD3="+++++++++","PrctName",""))</f>
        <v>State</v>
      </c>
      <c r="DO3" s="26" t="str">
        <f>CONCATENATE(IF(DE3="+++++++++",V3,""),IF(DD3="+++++++++",H3,""))</f>
        <v/>
      </c>
      <c r="DP3" s="27" t="s">
        <v>85</v>
      </c>
      <c r="DQ3" s="117"/>
      <c r="DR3" s="118" t="s">
        <v>85</v>
      </c>
      <c r="DS3" s="118" t="s">
        <v>85</v>
      </c>
      <c r="DT3" s="118" t="s">
        <v>85</v>
      </c>
    </row>
    <row r="4" spans="1:124" customFormat="1" ht="15.75" thickBot="1" x14ac:dyDescent="0.3">
      <c r="A4" s="203" t="s">
        <v>724</v>
      </c>
      <c r="B4" s="204" t="s">
        <v>663</v>
      </c>
      <c r="C4" s="204" t="s">
        <v>664</v>
      </c>
      <c r="D4" s="204" t="s">
        <v>665</v>
      </c>
      <c r="E4" s="204" t="s">
        <v>666</v>
      </c>
      <c r="F4" s="204" t="s">
        <v>667</v>
      </c>
      <c r="G4" s="204" t="s">
        <v>668</v>
      </c>
      <c r="H4" s="204" t="s">
        <v>669</v>
      </c>
      <c r="I4" s="204" t="s">
        <v>670</v>
      </c>
      <c r="J4" s="204" t="s">
        <v>671</v>
      </c>
      <c r="K4" s="204" t="s">
        <v>672</v>
      </c>
      <c r="L4" s="204" t="s">
        <v>673</v>
      </c>
      <c r="M4" s="204" t="s">
        <v>674</v>
      </c>
      <c r="N4" s="204" t="s">
        <v>675</v>
      </c>
      <c r="O4" s="204" t="s">
        <v>676</v>
      </c>
      <c r="P4" s="204" t="s">
        <v>677</v>
      </c>
      <c r="Q4" s="204" t="s">
        <v>678</v>
      </c>
      <c r="R4" s="204" t="s">
        <v>679</v>
      </c>
      <c r="S4" s="204" t="s">
        <v>680</v>
      </c>
      <c r="T4" s="204" t="s">
        <v>681</v>
      </c>
      <c r="U4" s="204" t="s">
        <v>682</v>
      </c>
      <c r="V4" s="204" t="s">
        <v>683</v>
      </c>
      <c r="W4" s="204" t="s">
        <v>684</v>
      </c>
      <c r="X4" s="204" t="s">
        <v>685</v>
      </c>
      <c r="Y4" s="204" t="s">
        <v>686</v>
      </c>
      <c r="Z4" s="204" t="s">
        <v>687</v>
      </c>
      <c r="AA4" s="204" t="s">
        <v>688</v>
      </c>
      <c r="AB4" s="204" t="s">
        <v>689</v>
      </c>
      <c r="AC4" s="204" t="s">
        <v>690</v>
      </c>
      <c r="AD4" s="204" t="s">
        <v>691</v>
      </c>
      <c r="AE4" s="204" t="s">
        <v>692</v>
      </c>
      <c r="AF4" s="204" t="s">
        <v>693</v>
      </c>
      <c r="AG4" s="204" t="s">
        <v>694</v>
      </c>
      <c r="AH4" s="204" t="s">
        <v>695</v>
      </c>
      <c r="AI4" s="204" t="s">
        <v>696</v>
      </c>
      <c r="AJ4" s="204" t="s">
        <v>697</v>
      </c>
      <c r="AK4" s="204" t="s">
        <v>698</v>
      </c>
      <c r="AL4" s="204" t="s">
        <v>699</v>
      </c>
      <c r="AM4" s="204" t="s">
        <v>700</v>
      </c>
      <c r="AN4" s="204" t="s">
        <v>701</v>
      </c>
      <c r="AO4" s="204" t="s">
        <v>702</v>
      </c>
      <c r="AP4" s="204" t="s">
        <v>703</v>
      </c>
      <c r="AQ4" s="204" t="s">
        <v>704</v>
      </c>
      <c r="AR4" s="204" t="s">
        <v>705</v>
      </c>
      <c r="AS4" s="204" t="s">
        <v>706</v>
      </c>
      <c r="AT4" s="204" t="s">
        <v>707</v>
      </c>
      <c r="AU4" s="204" t="s">
        <v>708</v>
      </c>
      <c r="AV4" s="204" t="s">
        <v>709</v>
      </c>
      <c r="AW4" s="204" t="s">
        <v>710</v>
      </c>
      <c r="AX4" s="205" t="s">
        <v>711</v>
      </c>
      <c r="AY4" s="205" t="s">
        <v>736</v>
      </c>
      <c r="AZ4" s="205" t="s">
        <v>737</v>
      </c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9"/>
      <c r="DB4" s="119"/>
      <c r="DC4" s="120"/>
      <c r="DD4" s="119"/>
      <c r="DE4" s="119"/>
      <c r="DF4" s="120"/>
      <c r="DG4" s="121"/>
      <c r="DH4" s="122"/>
      <c r="DI4" s="123"/>
      <c r="DJ4" s="124"/>
      <c r="DK4" s="123"/>
      <c r="DL4" s="119"/>
      <c r="DM4" s="125"/>
      <c r="DN4" s="119"/>
      <c r="DO4" s="119"/>
      <c r="DP4" s="120"/>
    </row>
  </sheetData>
  <sheetProtection algorithmName="SHA-512" hashValue="rsRXUKsBX4lj15gas2ppLnvLID5Gxbongq3xfiZswVPptYz5rNQog2G9sDN3pM110NE0ZEvvxpw4TUBiZuuqIw==" saltValue="5kCB6URLo4bn+NJmA+vUyQ==" spinCount="100000" sheet="1" objects="1" scenarios="1"/>
  <mergeCells count="1">
    <mergeCell ref="O1:P1"/>
  </mergeCells>
  <conditionalFormatting sqref="H1">
    <cfRule type="cellIs" dxfId="153" priority="12" operator="equal">
      <formula>#N/A</formula>
    </cfRule>
  </conditionalFormatting>
  <conditionalFormatting sqref="E1">
    <cfRule type="cellIs" dxfId="152" priority="11" operator="equal">
      <formula>#N/A</formula>
    </cfRule>
  </conditionalFormatting>
  <conditionalFormatting sqref="I1">
    <cfRule type="cellIs" dxfId="151" priority="10" operator="equal">
      <formula>#N/A</formula>
    </cfRule>
  </conditionalFormatting>
  <conditionalFormatting sqref="J1">
    <cfRule type="cellIs" dxfId="150" priority="9" operator="equal">
      <formula>#N/A</formula>
    </cfRule>
  </conditionalFormatting>
  <conditionalFormatting sqref="J1">
    <cfRule type="containsText" dxfId="149" priority="7" operator="containsText" text="All Data Import Successfully">
      <formula>NOT(ISERROR(SEARCH("All Data Import Successfully",J1)))</formula>
    </cfRule>
    <cfRule type="containsText" dxfId="148" priority="8" operator="containsText" text="Difference Entry">
      <formula>NOT(ISERROR(SEARCH("Difference Entry",J1)))</formula>
    </cfRule>
  </conditionalFormatting>
  <conditionalFormatting sqref="L2 E2:G2">
    <cfRule type="cellIs" dxfId="147" priority="6" operator="equal">
      <formula>#N/A</formula>
    </cfRule>
  </conditionalFormatting>
  <conditionalFormatting sqref="H2">
    <cfRule type="cellIs" dxfId="146" priority="5" operator="equal">
      <formula>#N/A</formula>
    </cfRule>
  </conditionalFormatting>
  <conditionalFormatting sqref="I2">
    <cfRule type="cellIs" dxfId="145" priority="4" operator="equal">
      <formula>#N/A</formula>
    </cfRule>
  </conditionalFormatting>
  <conditionalFormatting sqref="J2">
    <cfRule type="cellIs" dxfId="144" priority="3" operator="equal">
      <formula>#N/A</formula>
    </cfRule>
  </conditionalFormatting>
  <conditionalFormatting sqref="J2">
    <cfRule type="cellIs" dxfId="143" priority="2" operator="equal">
      <formula>0</formula>
    </cfRule>
  </conditionalFormatting>
  <conditionalFormatting sqref="K2">
    <cfRule type="cellIs" dxfId="142" priority="1" operator="equal">
      <formula>#N/A</formula>
    </cfRule>
  </conditionalFormatting>
  <dataValidations count="2">
    <dataValidation type="list" allowBlank="1" showInputMessage="1" showErrorMessage="1" sqref="P2" xr:uid="{00000000-0002-0000-0A00-000000000000}">
      <formula1>"HSN+%,Alias,Product"</formula1>
    </dataValidation>
    <dataValidation type="list" allowBlank="1" showInputMessage="1" showErrorMessage="1" sqref="B1" xr:uid="{00000000-0002-0000-0A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theme="5" tint="0.59999389629810485"/>
  </sheetPr>
  <dimension ref="A1:DO4"/>
  <sheetViews>
    <sheetView workbookViewId="0">
      <selection activeCell="D8" sqref="D8"/>
    </sheetView>
  </sheetViews>
  <sheetFormatPr defaultRowHeight="15" x14ac:dyDescent="0.25"/>
  <cols>
    <col min="1" max="1" width="17.5703125" style="16" customWidth="1"/>
    <col min="2" max="2" width="19" style="16" bestFit="1" customWidth="1"/>
    <col min="3" max="3" width="18.42578125" style="16" bestFit="1" customWidth="1"/>
    <col min="4" max="13" width="17.5703125" style="16" customWidth="1"/>
    <col min="14" max="14" width="29.42578125" style="16" customWidth="1"/>
    <col min="15" max="15" width="20.28515625" style="16" customWidth="1"/>
    <col min="16" max="16" width="23.5703125" style="16" customWidth="1"/>
    <col min="17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8.42578125" style="16" bestFit="1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3.85546875" style="16" customWidth="1"/>
    <col min="119" max="119" width="19.8554687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2</v>
      </c>
      <c r="AC1" s="16"/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 cm="1">
        <f t="array" ref="I2">SUM(_xlfn._xlws.FILTER(DL:DL, ROW(DL:DL)&gt;4))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791</v>
      </c>
      <c r="AF2" s="85" t="s">
        <v>789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">
        <v>71</v>
      </c>
      <c r="DB2" s="90" t="s">
        <v>907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ht="15.75" thickBot="1" x14ac:dyDescent="0.3">
      <c r="A3" s="62"/>
      <c r="B3" s="63" t="s">
        <v>873</v>
      </c>
      <c r="C3" s="8"/>
      <c r="D3" s="8"/>
      <c r="E3" s="8"/>
      <c r="F3" s="8"/>
      <c r="G3" s="9"/>
      <c r="H3" s="10"/>
      <c r="I3" s="8"/>
      <c r="J3" s="8"/>
      <c r="K3" s="8"/>
      <c r="L3" s="8" t="s">
        <v>929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VLOOKUP(VALUE(LEFT(B3,2)),Help!$E$2:$F$45,2,0)</f>
        <v>#VALUE!</v>
      </c>
      <c r="DB3" s="26" t="str">
        <f>+$B$3</f>
        <v>Mirrow</v>
      </c>
      <c r="DC3" s="27" t="e">
        <f>+IF(W3=DA3,"B2B-S",IF(Y3=DA3,"B2B-R",IF(S3=DA3,"B2C-S",IF(U3=DA3,"B2C-R","State Wrong"))))</f>
        <v>#VALUE!</v>
      </c>
      <c r="DD3" s="57" t="e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#VALUE!</v>
      </c>
      <c r="DE3" s="29" t="str">
        <f>IFERROR(VLOOKUP(IF(DC3="B2B-S",VLOOKUP(VALUE(LEFT(C3,2)),Help!$E$2:$F$60,2,0),IF(DC3="B2B-R",VLOOKUP(VALUE(LEFT(C3,2)),Help!$E$2:$F$60,2,0),IF(DC3="B2C-S",R3,IF(DC3="B2C-R",T3,Wrong ST)))),Help!$A$2:C$170,2,0),"+++++++++")</f>
        <v>+++++++++</v>
      </c>
      <c r="DF3" s="199" t="e">
        <f>IF(LEFT(DC3,3)="B2B",C3,"")</f>
        <v>#VALUE!</v>
      </c>
      <c r="DG3" s="28" t="e">
        <f>+IF(DC3="B2B-S",G3,IF(DC3="B2B-R",I3,IF(DC3="B2C-S",E3,IF(DC3="B2C-R",E3,0))))</f>
        <v>#VALUE!</v>
      </c>
      <c r="DH3" s="26" t="e">
        <f>+IF(DC3="B2B-S",F3,IF(DC3="B2B-R",H3,IF(DC3="B2C-S",D3,IF(DC3="B2C-R",D3,0))))</f>
        <v>#VALUE!</v>
      </c>
      <c r="DI3" s="29" t="e">
        <f>+IF(DC3="B2B-S",IF(ISBLANK(J3),"",J3),IF(DC3="B2B-R",IF(ISBLANK(L3),"",L3),IF(DC3="B2C-S",IF(ISBLANK(L3),"",L3),IF(DC3="B2C-R",IF(ISBLANK(N3),"",N3),""))))</f>
        <v>#VALUE!</v>
      </c>
      <c r="DJ3" s="26" t="e">
        <f>+IF(DC3="B2B-S",R3,IF(DC3="B2B-R",T3,IF(DC3="B2C-S",K3,IF(DC3="B2C-R",M3,0))))</f>
        <v>#VALUE!</v>
      </c>
      <c r="DK3" s="26" t="e">
        <f>+IF(DC3="B2B-S",I3,IF(DC3="B2B-R",K3,IF(DC3="B2C-S",G3,IF(DC3="B2C-R",I3,0))))</f>
        <v>#VALUE!</v>
      </c>
      <c r="DL3" s="26" t="e">
        <f>+IF(DC3="B2B-S",Q3,IF(DC3="B2B-R",-S3,IF(DC3="B2C-S",M3,IF(DC3="B2C-R",-O3,0))))</f>
        <v>#VALUE!</v>
      </c>
      <c r="DM3" s="200" t="e">
        <f>IF(LEFT(DC3,3)="B2C",DL3*0.01,"")</f>
        <v>#VALUE!</v>
      </c>
      <c r="DN3" s="26" t="str">
        <f>+IF(DE3="+++++++++","State","")</f>
        <v>State</v>
      </c>
      <c r="DO3" s="183" t="e">
        <f>IF(DE3="+++++++++",IF(DC3="B2B-S",VLOOKUP(VALUE(LEFT(C3,2)),Help!$E$2:$F$60,2,0),IF(DC3="B2B-R",VLOOKUP(VALUE(LEFT(C3,2)),Help!$E$2:$F$60,2,0),IF(DC3="B2C-S",IF(ISBLANK(R3),"",R3),IF(DC3="B2C-R",IF(ISBLANK(T3),"",T3),Wrong ST)))),"")</f>
        <v>#VALUE!</v>
      </c>
    </row>
    <row r="4" spans="1:119" customFormat="1" ht="15.75" thickBot="1" x14ac:dyDescent="0.3">
      <c r="A4" s="196" t="s">
        <v>642</v>
      </c>
      <c r="B4" s="197" t="s">
        <v>643</v>
      </c>
      <c r="C4" s="197" t="s">
        <v>644</v>
      </c>
      <c r="D4" s="197" t="s">
        <v>401</v>
      </c>
      <c r="E4" s="197" t="s">
        <v>645</v>
      </c>
      <c r="F4" s="197" t="s">
        <v>646</v>
      </c>
      <c r="G4" s="197" t="s">
        <v>647</v>
      </c>
      <c r="H4" s="197" t="s">
        <v>648</v>
      </c>
      <c r="I4" s="197" t="s">
        <v>160</v>
      </c>
      <c r="J4" s="197" t="s">
        <v>55</v>
      </c>
      <c r="K4" s="197" t="s">
        <v>649</v>
      </c>
      <c r="L4" s="197" t="s">
        <v>650</v>
      </c>
      <c r="M4" s="197" t="s">
        <v>651</v>
      </c>
      <c r="N4" s="197" t="s">
        <v>652</v>
      </c>
      <c r="O4" s="197" t="s">
        <v>653</v>
      </c>
      <c r="P4" s="197" t="s">
        <v>654</v>
      </c>
      <c r="Q4" s="197" t="s">
        <v>655</v>
      </c>
      <c r="R4" s="197" t="s">
        <v>656</v>
      </c>
      <c r="S4" s="197" t="s">
        <v>409</v>
      </c>
      <c r="T4" s="197" t="s">
        <v>410</v>
      </c>
      <c r="U4" s="197" t="s">
        <v>412</v>
      </c>
      <c r="V4" s="197" t="s">
        <v>427</v>
      </c>
      <c r="W4" s="198" t="s">
        <v>657</v>
      </c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Mirrow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dMnEt6krx15PS5/sDJEXK8ob/5V/9MtxP+N9TCEpihh+I7olbDYF786h91cQol96yRycmFcQXLKhoHLNhFpwJg==" saltValue="UdgghYThA54EvEARf7f2wQ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41" priority="12" operator="equal">
      <formula>#N/A</formula>
    </cfRule>
  </conditionalFormatting>
  <conditionalFormatting sqref="E1">
    <cfRule type="cellIs" dxfId="140" priority="11" operator="equal">
      <formula>#N/A</formula>
    </cfRule>
  </conditionalFormatting>
  <conditionalFormatting sqref="I1">
    <cfRule type="cellIs" dxfId="139" priority="10" operator="equal">
      <formula>#N/A</formula>
    </cfRule>
  </conditionalFormatting>
  <conditionalFormatting sqref="J1">
    <cfRule type="cellIs" dxfId="138" priority="9" operator="equal">
      <formula>#N/A</formula>
    </cfRule>
  </conditionalFormatting>
  <conditionalFormatting sqref="J1">
    <cfRule type="containsText" dxfId="137" priority="7" operator="containsText" text="All Data Import Successfully">
      <formula>NOT(ISERROR(SEARCH("All Data Import Successfully",J1)))</formula>
    </cfRule>
    <cfRule type="containsText" dxfId="136" priority="8" operator="containsText" text="Difference Entry">
      <formula>NOT(ISERROR(SEARCH("Difference Entry",J1)))</formula>
    </cfRule>
  </conditionalFormatting>
  <conditionalFormatting sqref="L2 E2:G2">
    <cfRule type="cellIs" dxfId="135" priority="6" operator="equal">
      <formula>#N/A</formula>
    </cfRule>
  </conditionalFormatting>
  <conditionalFormatting sqref="H2">
    <cfRule type="cellIs" dxfId="134" priority="5" operator="equal">
      <formula>#N/A</formula>
    </cfRule>
  </conditionalFormatting>
  <conditionalFormatting sqref="I2">
    <cfRule type="cellIs" dxfId="133" priority="4" operator="equal">
      <formula>#N/A</formula>
    </cfRule>
  </conditionalFormatting>
  <conditionalFormatting sqref="J2">
    <cfRule type="cellIs" dxfId="132" priority="3" operator="equal">
      <formula>#N/A</formula>
    </cfRule>
  </conditionalFormatting>
  <conditionalFormatting sqref="J2">
    <cfRule type="cellIs" dxfId="131" priority="2" operator="equal">
      <formula>0</formula>
    </cfRule>
  </conditionalFormatting>
  <conditionalFormatting sqref="K2">
    <cfRule type="cellIs" dxfId="130" priority="1" operator="equal">
      <formula>#N/A</formula>
    </cfRule>
  </conditionalFormatting>
  <dataValidations count="2">
    <dataValidation type="list" allowBlank="1" showInputMessage="1" showErrorMessage="1" sqref="P2" xr:uid="{00000000-0002-0000-0B00-000000000000}">
      <formula1>"HSN+%"</formula1>
    </dataValidation>
    <dataValidation type="list" allowBlank="1" showInputMessage="1" showErrorMessage="1" sqref="B1" xr:uid="{00000000-0002-0000-0B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theme="9" tint="0.59999389629810485"/>
  </sheetPr>
  <dimension ref="A1:GV4"/>
  <sheetViews>
    <sheetView showRuler="0"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20" width="9.140625" style="16"/>
    <col min="21" max="21" width="20.85546875" style="16" bestFit="1" customWidth="1"/>
    <col min="22" max="31" width="9.140625" style="16"/>
    <col min="32" max="32" width="23" style="16" customWidth="1"/>
    <col min="33" max="39" width="9.140625" style="16"/>
    <col min="40" max="40" width="10.42578125" style="16" bestFit="1" customWidth="1"/>
    <col min="41" max="105" width="9.140625" style="16"/>
    <col min="106" max="106" width="15.5703125" style="16" customWidth="1"/>
    <col min="107" max="107" width="16.140625" style="16" customWidth="1"/>
    <col min="108" max="108" width="25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0" t="str">
        <f>IF(GB1="", IF(FZ1&lt;&gt;"", SUMPRODUCT((#REF!=FZ1)*(#REF!)), ""), "")</f>
        <v/>
      </c>
      <c r="GB1" s="98" t="str">
        <f>+$A$3</f>
        <v>Gujarat</v>
      </c>
      <c r="GC1" s="99" t="str">
        <f>IF(FZ1&lt;&gt;"", INDEX(#REF!, MATCH(FZ1,#REF!, 0)), "")</f>
        <v/>
      </c>
      <c r="GD1" s="100" t="s">
        <v>85</v>
      </c>
      <c r="GE1" s="100" t="str">
        <f>+CONCATENATE(GK1,"%",," ","(",GJ1,")")</f>
        <v>% ()</v>
      </c>
      <c r="GF1" s="99" t="e">
        <f>IF(GG1="",VLOOKUP(FZ1,CHOOSE({1,2},#REF!,#REF!),2,0),VLOOKUP(VALUE(LEFT(GG1,2)),Help!$E$2:$F$49,2,0))</f>
        <v>#N/A</v>
      </c>
      <c r="GG1" s="98" t="str">
        <f>IF(GA1="", "", IFERROR(INDEX(#REF!, MATCH(FZ1,#REF!, 0)), ""))</f>
        <v/>
      </c>
      <c r="GH1" s="99" t="str">
        <f>IF(FZ1="", "", IFERROR(INDEX(#REF!, MATCH(FZ1,#REF!, 0)), ""))</f>
        <v/>
      </c>
      <c r="GI1" s="98" t="str">
        <f>SUBSTITUTE(FZ1,"R-","")</f>
        <v/>
      </c>
      <c r="GJ1" s="104" t="str">
        <f>IF($DY1="", "", IFERROR(VALUE(INDEX(#REF!, MATCH($DY1,#REF!, 0))), ""))</f>
        <v/>
      </c>
      <c r="GK1" s="104" t="str">
        <f>IF($DY1="", "", IFERROR(VALUE(INDEX(#REF!, MATCH($DY1,#REF!, 0))), ""))</f>
        <v/>
      </c>
      <c r="GL1" s="100" t="s">
        <v>85</v>
      </c>
      <c r="GM1" s="101" t="str">
        <f>IF(FZ1="","",SUMPRODUCT((#REF!=FZ1)*(#REF!)))</f>
        <v/>
      </c>
      <c r="GN1" s="101" t="str">
        <f>IF(FZ1="","",SUMPRODUCT((#REF!=FZ1)*(#REF!)))</f>
        <v/>
      </c>
      <c r="GO1" s="102" t="s">
        <v>85</v>
      </c>
      <c r="GP1" s="102" t="s">
        <v>85</v>
      </c>
      <c r="GQ1" s="98" t="str">
        <f>+IF(GM1&lt;0,"Increase Sales","Decrease Sales")</f>
        <v>Decrease Sales</v>
      </c>
      <c r="GR1" s="141" t="str">
        <f>+IF(GB1=$EE1,"Sales A/c. (GST)","Sales A/c. (IGST)")</f>
        <v>Sales A/c. (IGST)</v>
      </c>
      <c r="GS1" s="98" t="str">
        <f>+IF(GM1&gt;0,IF(GB1=$EE1,"GST (SRet.)","IGST (SRet.) "),IF(GB1=$EE1,"GST (PRet.)","IGST (PRet.)"))</f>
        <v xml:space="preserve">IGST (SRet.) </v>
      </c>
      <c r="GT1" s="100" t="s">
        <v>85</v>
      </c>
      <c r="GU1" s="100" t="s">
        <v>85</v>
      </c>
      <c r="GV1" s="142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791</v>
      </c>
      <c r="AF2" s="85" t="s">
        <v>789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Shop101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204" customFormat="1" x14ac:dyDescent="0.25">
      <c r="A3" s="62" t="s">
        <v>5</v>
      </c>
      <c r="B3" s="63" t="s">
        <v>102</v>
      </c>
      <c r="C3" s="8"/>
      <c r="D3" s="8"/>
      <c r="E3" s="8"/>
      <c r="F3" s="8"/>
      <c r="G3" s="9"/>
      <c r="H3" s="10"/>
      <c r="I3" s="8"/>
      <c r="J3" s="8"/>
      <c r="K3" s="8"/>
      <c r="L3" s="8" t="s">
        <v>929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6" t="str">
        <f>+IF(ISBLANK(L3),"",L3)</f>
        <v>295 - KETAN JOGANI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6" t="str">
        <f>+IF(ISBLANK(P3),"",P3)</f>
        <v/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+T3</f>
        <v>0</v>
      </c>
      <c r="DK3" s="119">
        <f>+VALUE(IF(DL3=0,"0",I3))</f>
        <v>0</v>
      </c>
      <c r="DL3" s="119">
        <f>VALUE(IF(DM3=0,"0",U3))</f>
        <v>0</v>
      </c>
      <c r="DM3" s="27">
        <f>+AB3+AC3</f>
        <v>0</v>
      </c>
      <c r="DN3" s="26">
        <f>IF(DE3="+++++++++",M3,"")</f>
        <v>0</v>
      </c>
    </row>
    <row r="4" spans="1:204" s="1" customFormat="1" ht="39" customHeight="1" x14ac:dyDescent="0.25">
      <c r="A4" s="152" t="s">
        <v>155</v>
      </c>
      <c r="B4" s="152" t="s">
        <v>494</v>
      </c>
      <c r="C4" s="152" t="s">
        <v>158</v>
      </c>
      <c r="D4" s="152" t="s">
        <v>495</v>
      </c>
      <c r="E4" s="152" t="s">
        <v>496</v>
      </c>
      <c r="F4" s="152" t="s">
        <v>497</v>
      </c>
      <c r="G4" s="152" t="s">
        <v>251</v>
      </c>
      <c r="H4" s="152" t="s">
        <v>302</v>
      </c>
      <c r="I4" s="152" t="s">
        <v>498</v>
      </c>
      <c r="J4" s="152" t="s">
        <v>499</v>
      </c>
      <c r="K4" s="152" t="s">
        <v>500</v>
      </c>
      <c r="L4" s="152" t="s">
        <v>501</v>
      </c>
      <c r="M4" s="152" t="s">
        <v>502</v>
      </c>
      <c r="N4" s="152" t="s">
        <v>503</v>
      </c>
      <c r="O4" s="152" t="s">
        <v>504</v>
      </c>
      <c r="P4" s="152" t="s">
        <v>505</v>
      </c>
      <c r="Q4" s="153" t="s">
        <v>506</v>
      </c>
      <c r="R4" s="153" t="s">
        <v>507</v>
      </c>
      <c r="S4" s="153" t="s">
        <v>508</v>
      </c>
      <c r="T4" s="153" t="s">
        <v>509</v>
      </c>
      <c r="U4" s="153" t="s">
        <v>510</v>
      </c>
      <c r="V4" s="153" t="s">
        <v>511</v>
      </c>
      <c r="W4" s="153" t="s">
        <v>512</v>
      </c>
      <c r="X4" s="153" t="s">
        <v>513</v>
      </c>
      <c r="Y4" s="153" t="s">
        <v>514</v>
      </c>
      <c r="Z4" s="153" t="s">
        <v>515</v>
      </c>
      <c r="AA4" s="153" t="s">
        <v>516</v>
      </c>
      <c r="AB4" s="153" t="s">
        <v>517</v>
      </c>
      <c r="AC4" s="153" t="s">
        <v>518</v>
      </c>
      <c r="AD4" s="153" t="s">
        <v>519</v>
      </c>
      <c r="AE4" s="153" t="s">
        <v>520</v>
      </c>
      <c r="AF4" s="153" t="s">
        <v>521</v>
      </c>
      <c r="AG4" s="153" t="s">
        <v>522</v>
      </c>
      <c r="AH4" s="154" t="s">
        <v>523</v>
      </c>
      <c r="AI4" s="154" t="s">
        <v>524</v>
      </c>
      <c r="AJ4" s="154" t="s">
        <v>525</v>
      </c>
      <c r="AK4" s="154" t="s">
        <v>526</v>
      </c>
      <c r="AL4" s="154" t="s">
        <v>527</v>
      </c>
      <c r="AM4" s="154" t="s">
        <v>528</v>
      </c>
      <c r="AN4" s="154" t="s">
        <v>529</v>
      </c>
      <c r="AO4" s="154" t="s">
        <v>530</v>
      </c>
      <c r="AP4" s="154" t="s">
        <v>531</v>
      </c>
      <c r="AQ4" s="154" t="s">
        <v>409</v>
      </c>
      <c r="AR4" s="154" t="s">
        <v>412</v>
      </c>
      <c r="AS4" s="154" t="s">
        <v>410</v>
      </c>
      <c r="AT4" s="85"/>
      <c r="AU4" s="155"/>
      <c r="AV4" s="155"/>
      <c r="AW4" s="155"/>
      <c r="AX4" s="155"/>
      <c r="AY4" s="155"/>
      <c r="AZ4" s="155"/>
      <c r="BA4" s="155"/>
      <c r="BB4" s="155"/>
      <c r="BC4" s="155"/>
      <c r="BD4" s="155"/>
      <c r="BE4" s="155"/>
      <c r="BF4" s="155"/>
      <c r="BG4" s="155"/>
      <c r="BH4" s="155"/>
      <c r="BI4" s="155"/>
      <c r="BJ4" s="155"/>
      <c r="BK4" s="155"/>
      <c r="BL4" s="155"/>
      <c r="BM4" s="155"/>
      <c r="BN4" s="155"/>
      <c r="BO4" s="155"/>
      <c r="BP4" s="155"/>
      <c r="BQ4" s="155"/>
      <c r="BR4" s="155"/>
      <c r="BS4" s="155"/>
      <c r="BT4" s="155"/>
      <c r="BU4" s="155"/>
      <c r="BV4" s="155"/>
      <c r="BW4" s="155"/>
      <c r="BX4" s="155"/>
      <c r="BY4" s="155"/>
      <c r="BZ4" s="155"/>
      <c r="CA4" s="155"/>
      <c r="CB4" s="155"/>
      <c r="CC4" s="155"/>
      <c r="CD4" s="155"/>
      <c r="CE4" s="155"/>
      <c r="CF4" s="155"/>
      <c r="CG4" s="155"/>
      <c r="CH4" s="155"/>
      <c r="CI4" s="155"/>
      <c r="CJ4" s="155"/>
      <c r="CK4" s="155"/>
      <c r="CL4" s="155"/>
      <c r="CM4" s="155"/>
      <c r="CN4" s="155"/>
      <c r="CO4" s="155"/>
      <c r="CP4" s="155"/>
      <c r="CQ4" s="155"/>
      <c r="CR4" s="155"/>
      <c r="CS4" s="155"/>
      <c r="CT4" s="155"/>
      <c r="CU4" s="155"/>
      <c r="CV4" s="155"/>
      <c r="CW4" s="155"/>
      <c r="CX4" s="155"/>
      <c r="CY4" s="155"/>
      <c r="CZ4" s="155"/>
      <c r="DA4" s="156" t="str">
        <f>+DA3</f>
        <v>Gujarat</v>
      </c>
      <c r="DB4" s="156" t="str">
        <f>+DB3</f>
        <v>Shop101</v>
      </c>
      <c r="DC4" s="156"/>
      <c r="DD4" s="156"/>
      <c r="DE4" s="156"/>
      <c r="DF4" s="156"/>
      <c r="DG4" s="157">
        <f>+VALUE(AS3)</f>
        <v>0</v>
      </c>
      <c r="DH4" s="156"/>
      <c r="DI4" s="158"/>
      <c r="DJ4" s="156"/>
      <c r="DK4" s="158"/>
      <c r="DL4" s="156"/>
      <c r="DM4" s="156"/>
    </row>
  </sheetData>
  <sheetProtection algorithmName="SHA-512" hashValue="zSgYSzkHtPGMB2FxpJh+yVQ+Q30Q9nSesqIo21ipDA5gfMHmS1TJ8V+mARGu6p4dhTLwtP6Fb4LRfeOPvO6Jkw==" saltValue="OYrF8GjK6akR8lwBhrUpYA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29" priority="15" operator="equal">
      <formula>#N/A</formula>
    </cfRule>
  </conditionalFormatting>
  <conditionalFormatting sqref="E1">
    <cfRule type="cellIs" dxfId="128" priority="14" operator="equal">
      <formula>#N/A</formula>
    </cfRule>
  </conditionalFormatting>
  <conditionalFormatting sqref="I1">
    <cfRule type="cellIs" dxfId="127" priority="13" operator="equal">
      <formula>#N/A</formula>
    </cfRule>
  </conditionalFormatting>
  <conditionalFormatting sqref="J1">
    <cfRule type="cellIs" dxfId="126" priority="12" operator="equal">
      <formula>#N/A</formula>
    </cfRule>
  </conditionalFormatting>
  <conditionalFormatting sqref="J1">
    <cfRule type="containsText" dxfId="125" priority="10" operator="containsText" text="All Data Import Successfully">
      <formula>NOT(ISERROR(SEARCH("All Data Import Successfully",J1)))</formula>
    </cfRule>
    <cfRule type="containsText" dxfId="124" priority="11" operator="containsText" text="Difference Entry">
      <formula>NOT(ISERROR(SEARCH("Difference Entry",J1)))</formula>
    </cfRule>
  </conditionalFormatting>
  <conditionalFormatting sqref="L2 E2:G2">
    <cfRule type="cellIs" dxfId="123" priority="9" operator="equal">
      <formula>#N/A</formula>
    </cfRule>
  </conditionalFormatting>
  <conditionalFormatting sqref="H2">
    <cfRule type="cellIs" dxfId="122" priority="8" operator="equal">
      <formula>#N/A</formula>
    </cfRule>
  </conditionalFormatting>
  <conditionalFormatting sqref="I2">
    <cfRule type="cellIs" dxfId="121" priority="7" operator="equal">
      <formula>#N/A</formula>
    </cfRule>
  </conditionalFormatting>
  <conditionalFormatting sqref="J2">
    <cfRule type="cellIs" dxfId="120" priority="6" operator="equal">
      <formula>#N/A</formula>
    </cfRule>
  </conditionalFormatting>
  <conditionalFormatting sqref="J2">
    <cfRule type="cellIs" dxfId="119" priority="5" operator="equal">
      <formula>0</formula>
    </cfRule>
  </conditionalFormatting>
  <conditionalFormatting sqref="K2">
    <cfRule type="cellIs" dxfId="118" priority="4" operator="equal">
      <formula>#N/A</formula>
    </cfRule>
  </conditionalFormatting>
  <conditionalFormatting sqref="GD1">
    <cfRule type="cellIs" dxfId="117" priority="3" operator="equal">
      <formula>#N/A</formula>
    </cfRule>
  </conditionalFormatting>
  <conditionalFormatting sqref="GD1">
    <cfRule type="containsText" dxfId="116" priority="1" operator="containsText" text="Others">
      <formula>NOT(ISERROR(SEARCH("Others",GD1)))</formula>
    </cfRule>
    <cfRule type="containsText" dxfId="115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00000000-0002-0000-0C00-000000000000}">
      <formula1>"HSN+%"</formula1>
    </dataValidation>
    <dataValidation type="list" allowBlank="1" showInputMessage="1" showErrorMessage="1" sqref="B1" xr:uid="{00000000-0002-0000-0C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9" tint="0.59999389629810485"/>
  </sheetPr>
  <dimension ref="A1:GV4"/>
  <sheetViews>
    <sheetView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31" width="9.140625" style="16"/>
    <col min="32" max="32" width="23" style="16" customWidth="1"/>
    <col min="33" max="33" width="11.85546875" style="16" customWidth="1"/>
    <col min="34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7</v>
      </c>
      <c r="AC1" s="16"/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0" t="str">
        <f>IF(GB1="", IF(FZ1&lt;&gt;"", SUMPRODUCT((#REF!=FZ1)*(#REF!)), ""), "")</f>
        <v/>
      </c>
      <c r="GB1" s="98" t="str">
        <f>+$A$3</f>
        <v>Gujarat</v>
      </c>
      <c r="GC1" s="99" t="str">
        <f>IF(FZ1&lt;&gt;"", INDEX(#REF!, MATCH(FZ1,#REF!, 0)), "")</f>
        <v/>
      </c>
      <c r="GD1" s="100" t="s">
        <v>85</v>
      </c>
      <c r="GE1" s="100" t="str">
        <f>+CONCATENATE(GK1,"%",," ","(",GJ1,")")</f>
        <v>% ()</v>
      </c>
      <c r="GF1" s="99" t="e">
        <f>IF(GG1="",VLOOKUP(FZ1,CHOOSE({1,2},#REF!,#REF!),2,0),VLOOKUP(VALUE(LEFT(GG1,2)),Help!$E$2:$F$49,2,0))</f>
        <v>#N/A</v>
      </c>
      <c r="GG1" s="98" t="str">
        <f>IF(GA1="", "", IFERROR(INDEX(#REF!, MATCH(FZ1,#REF!, 0)), ""))</f>
        <v/>
      </c>
      <c r="GH1" s="99" t="str">
        <f>IF(FZ1="", "", IFERROR(INDEX(#REF!, MATCH(FZ1,#REF!, 0)), ""))</f>
        <v/>
      </c>
      <c r="GI1" s="98" t="str">
        <f>SUBSTITUTE(FZ1,"R-","")</f>
        <v/>
      </c>
      <c r="GJ1" s="104" t="str">
        <f>IF($DY1="", "", IFERROR(VALUE(INDEX(#REF!, MATCH($DY1,#REF!, 0))), ""))</f>
        <v/>
      </c>
      <c r="GK1" s="104" t="str">
        <f>IF($DY1="", "", IFERROR(VALUE(INDEX(#REF!, MATCH($DY1,#REF!, 0))), ""))</f>
        <v/>
      </c>
      <c r="GL1" s="100" t="s">
        <v>85</v>
      </c>
      <c r="GM1" s="101" t="str">
        <f>IF(FZ1="","",SUMPRODUCT((#REF!=FZ1)*(#REF!)))</f>
        <v/>
      </c>
      <c r="GN1" s="101" t="str">
        <f>IF(FZ1="","",SUMPRODUCT((#REF!=FZ1)*(#REF!)))</f>
        <v/>
      </c>
      <c r="GO1" s="102" t="s">
        <v>85</v>
      </c>
      <c r="GP1" s="102" t="s">
        <v>85</v>
      </c>
      <c r="GQ1" s="98" t="str">
        <f>+IF(GM1&lt;0,"Increase Sales","Decrease Sales")</f>
        <v>Decrease Sales</v>
      </c>
      <c r="GR1" s="141" t="str">
        <f>+IF(GB1=$EE1,"Sales A/c. (GST)","Sales A/c. (IGST)")</f>
        <v>Sales A/c. (IGST)</v>
      </c>
      <c r="GS1" s="98" t="str">
        <f>+IF(GM1&gt;0,IF(GB1=$EE1,"GST (SRet.)","IGST (SRet.) "),IF(GB1=$EE1,"GST (PRet.)","IGST (PRet.)"))</f>
        <v xml:space="preserve">IGST (SRet.) </v>
      </c>
      <c r="GT1" s="100" t="s">
        <v>85</v>
      </c>
      <c r="GU1" s="100" t="s">
        <v>85</v>
      </c>
      <c r="GV1" s="142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3">
        <f>+SUM(DL:DL)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791</v>
      </c>
      <c r="AF2" s="85" t="s">
        <v>789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Shop101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204" customFormat="1" x14ac:dyDescent="0.25">
      <c r="A3" s="62" t="s">
        <v>5</v>
      </c>
      <c r="B3" s="63" t="s">
        <v>102</v>
      </c>
      <c r="C3" s="8"/>
      <c r="D3" s="8" t="s">
        <v>824</v>
      </c>
      <c r="E3" s="8"/>
      <c r="F3" s="8"/>
      <c r="G3" s="9"/>
      <c r="H3" s="10"/>
      <c r="I3" s="8"/>
      <c r="J3" s="8"/>
      <c r="K3" s="8"/>
      <c r="L3" s="8" t="s">
        <v>929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7" t="s">
        <v>85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7" t="s">
        <v>85</v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+S3</f>
        <v>0</v>
      </c>
      <c r="DK3" s="26">
        <f>+I3</f>
        <v>0</v>
      </c>
      <c r="DL3" s="26">
        <f>+T3</f>
        <v>0</v>
      </c>
      <c r="DM3" s="27">
        <f>+AA3+AB3</f>
        <v>0</v>
      </c>
      <c r="DN3" s="26">
        <f>IF(DE3="+++++++++",M3,"")</f>
        <v>0</v>
      </c>
    </row>
    <row r="4" spans="1:204" customFormat="1" x14ac:dyDescent="0.25">
      <c r="A4" s="7" t="s">
        <v>71</v>
      </c>
      <c r="B4" s="7" t="s">
        <v>72</v>
      </c>
      <c r="C4" s="7" t="s">
        <v>73</v>
      </c>
      <c r="D4" s="7" t="s">
        <v>81</v>
      </c>
      <c r="E4" s="7" t="s">
        <v>1</v>
      </c>
      <c r="F4" s="7" t="s">
        <v>74</v>
      </c>
      <c r="G4" s="7" t="s">
        <v>75</v>
      </c>
      <c r="H4" s="7" t="s">
        <v>76</v>
      </c>
      <c r="I4" s="7" t="s">
        <v>77</v>
      </c>
      <c r="J4" s="7" t="s">
        <v>54</v>
      </c>
      <c r="K4" s="7" t="s">
        <v>78</v>
      </c>
      <c r="L4" s="7" t="s">
        <v>79</v>
      </c>
      <c r="M4" s="7" t="s">
        <v>80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VLUD2tx/mPAN634bE3c/MRRTIV/joQfPDtDncwH+AwUt97ngn5UOEqteEJMQJOp+B1XXM4aHQJ74yYN1ur/8aA==" saltValue="DZ14MBr4jvoW5kpjITVYIA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14" priority="15" operator="equal">
      <formula>#N/A</formula>
    </cfRule>
  </conditionalFormatting>
  <conditionalFormatting sqref="E1">
    <cfRule type="cellIs" dxfId="113" priority="14" operator="equal">
      <formula>#N/A</formula>
    </cfRule>
  </conditionalFormatting>
  <conditionalFormatting sqref="I1">
    <cfRule type="cellIs" dxfId="112" priority="13" operator="equal">
      <formula>#N/A</formula>
    </cfRule>
  </conditionalFormatting>
  <conditionalFormatting sqref="J1">
    <cfRule type="cellIs" dxfId="111" priority="12" operator="equal">
      <formula>#N/A</formula>
    </cfRule>
  </conditionalFormatting>
  <conditionalFormatting sqref="J1">
    <cfRule type="containsText" dxfId="110" priority="10" operator="containsText" text="All Data Import Successfully">
      <formula>NOT(ISERROR(SEARCH("All Data Import Successfully",J1)))</formula>
    </cfRule>
    <cfRule type="containsText" dxfId="109" priority="11" operator="containsText" text="Difference Entry">
      <formula>NOT(ISERROR(SEARCH("Difference Entry",J1)))</formula>
    </cfRule>
  </conditionalFormatting>
  <conditionalFormatting sqref="L2 E2:G2">
    <cfRule type="cellIs" dxfId="108" priority="9" operator="equal">
      <formula>#N/A</formula>
    </cfRule>
  </conditionalFormatting>
  <conditionalFormatting sqref="H2">
    <cfRule type="cellIs" dxfId="107" priority="8" operator="equal">
      <formula>#N/A</formula>
    </cfRule>
  </conditionalFormatting>
  <conditionalFormatting sqref="I2">
    <cfRule type="cellIs" dxfId="106" priority="7" operator="equal">
      <formula>#N/A</formula>
    </cfRule>
  </conditionalFormatting>
  <conditionalFormatting sqref="J2">
    <cfRule type="cellIs" dxfId="105" priority="6" operator="equal">
      <formula>#N/A</formula>
    </cfRule>
  </conditionalFormatting>
  <conditionalFormatting sqref="J2">
    <cfRule type="cellIs" dxfId="104" priority="5" operator="equal">
      <formula>0</formula>
    </cfRule>
  </conditionalFormatting>
  <conditionalFormatting sqref="K2">
    <cfRule type="cellIs" dxfId="103" priority="4" operator="equal">
      <formula>#N/A</formula>
    </cfRule>
  </conditionalFormatting>
  <conditionalFormatting sqref="GD1">
    <cfRule type="cellIs" dxfId="102" priority="3" operator="equal">
      <formula>#N/A</formula>
    </cfRule>
  </conditionalFormatting>
  <conditionalFormatting sqref="GD1">
    <cfRule type="containsText" dxfId="101" priority="1" operator="containsText" text="Others">
      <formula>NOT(ISERROR(SEARCH("Others",GD1)))</formula>
    </cfRule>
    <cfRule type="containsText" dxfId="100" priority="2" operator="containsText" text="#N/A">
      <formula>NOT(ISERROR(SEARCH("#N/A",GD1)))</formula>
    </cfRule>
  </conditionalFormatting>
  <dataValidations count="2">
    <dataValidation type="list" allowBlank="1" showInputMessage="1" showErrorMessage="1" sqref="B1" xr:uid="{00000000-0002-0000-0D00-000000000000}">
      <formula1>"1,2"</formula1>
    </dataValidation>
    <dataValidation type="list" allowBlank="1" showInputMessage="1" showErrorMessage="1" sqref="P2" xr:uid="{00000000-0002-0000-0D00-000001000000}">
      <formula1>"HSN+%"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92AE-62B3-4299-A796-A1772B959839}">
  <sheetPr codeName="Sheet20">
    <tabColor theme="9" tint="0.59999389629810485"/>
  </sheetPr>
  <dimension ref="A1:GV4"/>
  <sheetViews>
    <sheetView showRuler="0" topLeftCell="CY1" workbookViewId="0">
      <selection activeCell="DL3" sqref="DL3"/>
    </sheetView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19" width="9.140625" style="16"/>
    <col min="20" max="20" width="11.85546875" style="16" bestFit="1" customWidth="1"/>
    <col min="21" max="21" width="18" style="16" bestFit="1" customWidth="1"/>
    <col min="22" max="22" width="9.140625" style="16"/>
    <col min="23" max="23" width="46.42578125" style="16" bestFit="1" customWidth="1"/>
    <col min="24" max="27" width="9.140625" style="16"/>
    <col min="28" max="28" width="167" style="16" bestFit="1" customWidth="1"/>
    <col min="29" max="31" width="9.140625" style="16"/>
    <col min="32" max="32" width="23" style="16" customWidth="1"/>
    <col min="33" max="33" width="11.85546875" style="16" customWidth="1"/>
    <col min="34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42" t="s">
        <v>468</v>
      </c>
      <c r="L1" s="18"/>
      <c r="M1" s="3"/>
      <c r="N1" s="83" t="s">
        <v>245</v>
      </c>
      <c r="O1" s="404" t="s">
        <v>235</v>
      </c>
      <c r="P1" s="405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0" t="str">
        <f>IF(GB1="", IF(FZ1&lt;&gt;"", SUMPRODUCT((#REF!=FZ1)*(#REF!)), ""), "")</f>
        <v/>
      </c>
      <c r="GB1" s="98">
        <f>+$A$3</f>
        <v>0</v>
      </c>
      <c r="GC1" s="99" t="str">
        <f>IF(FZ1&lt;&gt;"", INDEX(#REF!, MATCH(FZ1,#REF!, 0)), "")</f>
        <v/>
      </c>
      <c r="GD1" s="100" t="s">
        <v>85</v>
      </c>
      <c r="GE1" s="100" t="str">
        <f>+CONCATENATE(GK1,"%",," ","(",GJ1,")")</f>
        <v>% ()</v>
      </c>
      <c r="GF1" s="99" t="e">
        <f>IF(GG1="",VLOOKUP(FZ1,CHOOSE({1,2},#REF!,#REF!),2,0),VLOOKUP(VALUE(LEFT(GG1,2)),Help!$E$2:$F$49,2,0))</f>
        <v>#N/A</v>
      </c>
      <c r="GG1" s="98" t="str">
        <f>IF(GA1="", "", IFERROR(INDEX(#REF!, MATCH(FZ1,#REF!, 0)), ""))</f>
        <v/>
      </c>
      <c r="GH1" s="99" t="str">
        <f>IF(FZ1="", "", IFERROR(INDEX(#REF!, MATCH(FZ1,#REF!, 0)), ""))</f>
        <v/>
      </c>
      <c r="GI1" s="98" t="str">
        <f>SUBSTITUTE(FZ1,"R-","")</f>
        <v/>
      </c>
      <c r="GJ1" s="104" t="str">
        <f>IF($DY1="", "", IFERROR(VALUE(INDEX(#REF!, MATCH($DY1,#REF!, 0))), ""))</f>
        <v/>
      </c>
      <c r="GK1" s="104" t="str">
        <f>IF($DY1="", "", IFERROR(VALUE(INDEX(#REF!, MATCH($DY1,#REF!, 0))), ""))</f>
        <v/>
      </c>
      <c r="GL1" s="100" t="s">
        <v>85</v>
      </c>
      <c r="GM1" s="101" t="str">
        <f>IF(FZ1="","",SUMPRODUCT((#REF!=FZ1)*(#REF!)))</f>
        <v/>
      </c>
      <c r="GN1" s="101" t="str">
        <f>IF(FZ1="","",SUMPRODUCT((#REF!=FZ1)*(#REF!)))</f>
        <v/>
      </c>
      <c r="GO1" s="102" t="s">
        <v>85</v>
      </c>
      <c r="GP1" s="102" t="s">
        <v>85</v>
      </c>
      <c r="GQ1" s="98" t="str">
        <f>+IF(GM1&lt;0,"Increase Sales","Decrease Sales")</f>
        <v>Decrease Sales</v>
      </c>
      <c r="GR1" s="141" t="str">
        <f>+IF(GB1=$EE1,"Sales A/c. (GST)","Sales A/c. (IGST)")</f>
        <v>Sales A/c. (GST)</v>
      </c>
      <c r="GS1" s="98" t="str">
        <f>+IF(GM1&gt;0,IF(GB1=$EE1,"GST (SRet.)","IGST (SRet.) "),IF(GB1=$EE1,"GST (PRet.)","IGST (PRet.)"))</f>
        <v>GST (SRet.)</v>
      </c>
      <c r="GT1" s="100" t="s">
        <v>85</v>
      </c>
      <c r="GU1" s="100" t="s">
        <v>85</v>
      </c>
      <c r="GV1" s="142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3">
        <f>+SUM(DL:DL)</f>
        <v>0</v>
      </c>
      <c r="J2" s="40">
        <f>+E2-H2</f>
        <v>0</v>
      </c>
      <c r="K2" s="40">
        <f>+SUM(DM:DM)</f>
        <v>0</v>
      </c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791</v>
      </c>
      <c r="AF2" s="85" t="s">
        <v>789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">
        <v>71</v>
      </c>
      <c r="DB2" s="90" t="s">
        <v>874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204" customFormat="1" x14ac:dyDescent="0.25">
      <c r="A3" s="62"/>
      <c r="B3" s="63" t="s">
        <v>102</v>
      </c>
      <c r="C3" s="8"/>
      <c r="D3" s="8" t="s">
        <v>921</v>
      </c>
      <c r="E3" s="8"/>
      <c r="F3" s="8"/>
      <c r="G3" s="9"/>
      <c r="H3" s="10"/>
      <c r="I3" s="8"/>
      <c r="J3" s="8"/>
      <c r="K3" s="8"/>
      <c r="L3" s="8" t="s">
        <v>929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VLOOKUP(VALUE(LEFT(AE3,2)),Help!$E$2:$F$45,2,0)</f>
        <v>#VALUE!</v>
      </c>
      <c r="DB3" s="26" t="str">
        <f>+$B$3</f>
        <v>Shop101</v>
      </c>
      <c r="DC3" s="27" t="s">
        <v>85</v>
      </c>
      <c r="DD3" s="57" t="e">
        <f>+CONCATENATE(DJ3,"%",," ","(",DI3,")")</f>
        <v>#VALUE!</v>
      </c>
      <c r="DE3" s="26" t="str">
        <f>IFERROR(VLOOKUP(AB3,Help!$A$2:$B$136,2,0),"+++++++++")</f>
        <v>+++++++++</v>
      </c>
      <c r="DF3" s="27" t="str">
        <f>+IF(U3="","",U3)</f>
        <v/>
      </c>
      <c r="DG3" s="28">
        <f>+VALUE(F3)</f>
        <v>0</v>
      </c>
      <c r="DH3" s="26">
        <f>+E3</f>
        <v>0</v>
      </c>
      <c r="DI3" s="29" t="e">
        <f>VALUE(LEFT(G3,8))</f>
        <v>#VALUE!</v>
      </c>
      <c r="DJ3" s="26">
        <f>+H3</f>
        <v>0</v>
      </c>
      <c r="DK3" s="26">
        <f>+K3</f>
        <v>0</v>
      </c>
      <c r="DL3" s="26">
        <f>+IF(M3="INV",O3,-O3)</f>
        <v>0</v>
      </c>
      <c r="DM3" s="27" t="str">
        <f>IF(Z3="B2CS",IF(M3="INV",N3,-N3),"")</f>
        <v/>
      </c>
      <c r="DN3" s="26">
        <f>IF(DE3="+++++++++",AB3,"")</f>
        <v>0</v>
      </c>
    </row>
    <row r="4" spans="1:204" customFormat="1" x14ac:dyDescent="0.25">
      <c r="A4" s="393" t="s">
        <v>155</v>
      </c>
      <c r="B4" s="393" t="s">
        <v>494</v>
      </c>
      <c r="C4" s="393" t="s">
        <v>826</v>
      </c>
      <c r="D4" s="393" t="s">
        <v>158</v>
      </c>
      <c r="E4" s="393" t="s">
        <v>827</v>
      </c>
      <c r="F4" s="393" t="s">
        <v>828</v>
      </c>
      <c r="G4" s="393" t="s">
        <v>236</v>
      </c>
      <c r="H4" s="393" t="s">
        <v>509</v>
      </c>
      <c r="I4" s="393" t="s">
        <v>251</v>
      </c>
      <c r="J4" s="393" t="s">
        <v>302</v>
      </c>
      <c r="K4" s="393" t="s">
        <v>498</v>
      </c>
      <c r="L4" s="393" t="s">
        <v>829</v>
      </c>
      <c r="M4" s="393" t="s">
        <v>830</v>
      </c>
      <c r="N4" s="393" t="s">
        <v>80</v>
      </c>
      <c r="O4" s="393" t="s">
        <v>831</v>
      </c>
      <c r="P4" s="393" t="s">
        <v>409</v>
      </c>
      <c r="Q4" s="393" t="s">
        <v>412</v>
      </c>
      <c r="R4" s="393" t="s">
        <v>410</v>
      </c>
      <c r="S4" s="393" t="s">
        <v>832</v>
      </c>
      <c r="T4" s="393" t="s">
        <v>833</v>
      </c>
      <c r="U4" s="393" t="s">
        <v>505</v>
      </c>
      <c r="V4" s="393" t="s">
        <v>501</v>
      </c>
      <c r="W4" s="393" t="s">
        <v>834</v>
      </c>
      <c r="X4" s="393" t="s">
        <v>835</v>
      </c>
      <c r="Y4" s="393" t="s">
        <v>836</v>
      </c>
      <c r="Z4" s="393" t="s">
        <v>838</v>
      </c>
      <c r="AA4" s="393" t="s">
        <v>839</v>
      </c>
      <c r="AB4" s="393" t="s">
        <v>840</v>
      </c>
      <c r="AC4" s="393" t="s">
        <v>841</v>
      </c>
      <c r="AD4" s="393" t="s">
        <v>842</v>
      </c>
      <c r="AE4" s="393" t="s">
        <v>843</v>
      </c>
      <c r="AF4" s="393" t="s">
        <v>478</v>
      </c>
      <c r="AG4" s="393" t="s">
        <v>837</v>
      </c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7NA7Q+Jj/ld9taCWbYCRej1libHsPXaUjzXTf2kQ7Ml+0VO7s7pcRGZBeQjVMK3Ec1uVHP7tPtdGCplH5otqyw==" saltValue="WzPYZCXNvOUKzTzRei4VVg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99" priority="15" operator="equal">
      <formula>#N/A</formula>
    </cfRule>
  </conditionalFormatting>
  <conditionalFormatting sqref="E1">
    <cfRule type="cellIs" dxfId="98" priority="14" operator="equal">
      <formula>#N/A</formula>
    </cfRule>
  </conditionalFormatting>
  <conditionalFormatting sqref="I1">
    <cfRule type="cellIs" dxfId="97" priority="13" operator="equal">
      <formula>#N/A</formula>
    </cfRule>
  </conditionalFormatting>
  <conditionalFormatting sqref="J1:K1">
    <cfRule type="cellIs" dxfId="96" priority="12" operator="equal">
      <formula>#N/A</formula>
    </cfRule>
  </conditionalFormatting>
  <conditionalFormatting sqref="J1:K1">
    <cfRule type="containsText" dxfId="95" priority="10" operator="containsText" text="All Data Import Successfully">
      <formula>NOT(ISERROR(SEARCH("All Data Import Successfully",J1)))</formula>
    </cfRule>
    <cfRule type="containsText" dxfId="94" priority="11" operator="containsText" text="Difference Entry">
      <formula>NOT(ISERROR(SEARCH("Difference Entry",J1)))</formula>
    </cfRule>
  </conditionalFormatting>
  <conditionalFormatting sqref="L2 E2:G2">
    <cfRule type="cellIs" dxfId="93" priority="9" operator="equal">
      <formula>#N/A</formula>
    </cfRule>
  </conditionalFormatting>
  <conditionalFormatting sqref="H2">
    <cfRule type="cellIs" dxfId="92" priority="8" operator="equal">
      <formula>#N/A</formula>
    </cfRule>
  </conditionalFormatting>
  <conditionalFormatting sqref="I2">
    <cfRule type="cellIs" dxfId="91" priority="7" operator="equal">
      <formula>#N/A</formula>
    </cfRule>
  </conditionalFormatting>
  <conditionalFormatting sqref="J2:K2">
    <cfRule type="cellIs" dxfId="90" priority="6" operator="equal">
      <formula>#N/A</formula>
    </cfRule>
  </conditionalFormatting>
  <conditionalFormatting sqref="J2:K2">
    <cfRule type="cellIs" dxfId="89" priority="5" operator="equal">
      <formula>0</formula>
    </cfRule>
  </conditionalFormatting>
  <conditionalFormatting sqref="GD1">
    <cfRule type="cellIs" dxfId="88" priority="3" operator="equal">
      <formula>#N/A</formula>
    </cfRule>
  </conditionalFormatting>
  <conditionalFormatting sqref="GD1">
    <cfRule type="containsText" dxfId="87" priority="1" operator="containsText" text="Others">
      <formula>NOT(ISERROR(SEARCH("Others",GD1)))</formula>
    </cfRule>
    <cfRule type="containsText" dxfId="86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93E321F8-6E55-4FAC-9C97-F258384A4325}">
      <formula1>"HSN+%"</formula1>
    </dataValidation>
    <dataValidation type="list" allowBlank="1" showInputMessage="1" showErrorMessage="1" sqref="B1" xr:uid="{D34BD156-63B7-4C18-811D-AED3B6BB7CD4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theme="4" tint="0.39997558519241921"/>
  </sheetPr>
  <dimension ref="A1:DT4"/>
  <sheetViews>
    <sheetView workbookViewId="0">
      <selection activeCell="G14" sqref="G14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6" width="9.140625" style="16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AB1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D2" s="85" t="s">
        <v>16</v>
      </c>
      <c r="AE2" s="85" t="s">
        <v>788</v>
      </c>
      <c r="AF2" s="85" t="s">
        <v>790</v>
      </c>
      <c r="AG2" s="85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tr">
        <f>+A3</f>
        <v>Gujarat</v>
      </c>
      <c r="DB2" s="90" t="str">
        <f>+B3</f>
        <v>VMART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4" customFormat="1" ht="15.75" thickBot="1" x14ac:dyDescent="0.3">
      <c r="A3" s="62" t="s">
        <v>5</v>
      </c>
      <c r="B3" s="63" t="s">
        <v>606</v>
      </c>
      <c r="C3" s="8"/>
      <c r="D3" s="62" t="s">
        <v>754</v>
      </c>
      <c r="E3" s="8"/>
      <c r="F3" s="8"/>
      <c r="G3" s="8"/>
      <c r="H3" s="8"/>
      <c r="I3" s="8"/>
      <c r="J3" s="8"/>
      <c r="K3" s="8"/>
      <c r="L3" s="8" t="s">
        <v>929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VMART</v>
      </c>
      <c r="DC3" s="27" t="s">
        <v>85</v>
      </c>
      <c r="DD3" s="29" t="str">
        <f>IF($O$2=2,IFERROR(VLOOKUP(H3,Help!X$3:Z$50000,3,0),"+++++++++"),IF($O$2=3,H3,CONCATENATE(DJ3,"%",," ","(",DI3,")")))</f>
        <v>0% ()</v>
      </c>
      <c r="DE3" s="29" t="str">
        <f>IFERROR(VLOOKUP(H3,Help!$A$2:C$170,2,0),"+++++++++")</f>
        <v>+++++++++</v>
      </c>
      <c r="DF3" s="27" t="s">
        <v>85</v>
      </c>
      <c r="DG3" s="28" t="str">
        <f>CONCATENATE(MID(F3,9,2),"/",MID(F3,6,2),"/",MID(F3,1,4))</f>
        <v>//</v>
      </c>
      <c r="DH3" s="58">
        <f>+E3</f>
        <v>0</v>
      </c>
      <c r="DI3" s="29" t="str">
        <f>+IF(ISBLANK(S3),"",S3)</f>
        <v/>
      </c>
      <c r="DJ3" s="184">
        <f>+VALUE((V3))</f>
        <v>0</v>
      </c>
      <c r="DK3" s="29">
        <f>+VALUE(U3)</f>
        <v>0</v>
      </c>
      <c r="DL3" s="72">
        <f>+IF(B3="sale",VALUE(AF3),VALUE(AF3)*-1)</f>
        <v>0</v>
      </c>
      <c r="DM3" s="72">
        <f>++IF(B3="sale",VALUE(AG3),VALUE(AG3)*-1)</f>
        <v>0</v>
      </c>
      <c r="DN3" s="26" t="str">
        <f>CONCATENATE(IF(DE3="+++++++++","State",""),IF(DD3="+++++++++","PrctName",""))</f>
        <v>State</v>
      </c>
      <c r="DO3" s="26" t="str">
        <f>CONCATENATE(IF(DE3="+++++++++",H3,""),IF(DD3="+++++++++",H3,""))</f>
        <v/>
      </c>
      <c r="DP3" s="27" t="s">
        <v>85</v>
      </c>
      <c r="DQ3" s="117"/>
      <c r="DR3" s="118" t="s">
        <v>85</v>
      </c>
      <c r="DS3" s="118" t="s">
        <v>85</v>
      </c>
      <c r="DT3" s="118" t="s">
        <v>85</v>
      </c>
    </row>
    <row r="4" spans="1:124" customFormat="1" ht="15.75" thickBot="1" x14ac:dyDescent="0.3">
      <c r="A4" s="171" t="s">
        <v>607</v>
      </c>
      <c r="B4" s="172" t="s">
        <v>608</v>
      </c>
      <c r="C4" s="172" t="s">
        <v>609</v>
      </c>
      <c r="D4" s="172" t="s">
        <v>610</v>
      </c>
      <c r="E4" s="172" t="s">
        <v>611</v>
      </c>
      <c r="F4" s="172" t="s">
        <v>612</v>
      </c>
      <c r="G4" s="172" t="s">
        <v>613</v>
      </c>
      <c r="H4" s="172" t="s">
        <v>614</v>
      </c>
      <c r="I4" s="172" t="s">
        <v>615</v>
      </c>
      <c r="J4" s="172" t="s">
        <v>616</v>
      </c>
      <c r="K4" s="172" t="s">
        <v>617</v>
      </c>
      <c r="L4" s="172" t="s">
        <v>618</v>
      </c>
      <c r="M4" s="172" t="s">
        <v>619</v>
      </c>
      <c r="N4" s="172" t="s">
        <v>620</v>
      </c>
      <c r="O4" s="172" t="s">
        <v>621</v>
      </c>
      <c r="P4" s="172" t="s">
        <v>622</v>
      </c>
      <c r="Q4" s="172" t="s">
        <v>623</v>
      </c>
      <c r="R4" s="172" t="s">
        <v>624</v>
      </c>
      <c r="S4" s="172" t="s">
        <v>625</v>
      </c>
      <c r="T4" s="172" t="s">
        <v>626</v>
      </c>
      <c r="U4" s="172" t="s">
        <v>116</v>
      </c>
      <c r="V4" s="172" t="s">
        <v>627</v>
      </c>
      <c r="W4" s="172" t="s">
        <v>412</v>
      </c>
      <c r="X4" s="172" t="s">
        <v>409</v>
      </c>
      <c r="Y4" s="172" t="s">
        <v>410</v>
      </c>
      <c r="Z4" s="172" t="s">
        <v>628</v>
      </c>
      <c r="AA4" s="172" t="s">
        <v>629</v>
      </c>
      <c r="AB4" s="172" t="s">
        <v>630</v>
      </c>
      <c r="AC4" s="172" t="s">
        <v>631</v>
      </c>
      <c r="AD4" s="172" t="s">
        <v>632</v>
      </c>
      <c r="AE4" s="172" t="s">
        <v>633</v>
      </c>
      <c r="AF4" s="172" t="s">
        <v>634</v>
      </c>
      <c r="AG4" s="172" t="s">
        <v>635</v>
      </c>
      <c r="AH4" s="172" t="s">
        <v>636</v>
      </c>
      <c r="AI4" s="172" t="s">
        <v>637</v>
      </c>
      <c r="AJ4" s="172" t="s">
        <v>638</v>
      </c>
      <c r="AK4" s="172" t="s">
        <v>639</v>
      </c>
      <c r="AL4" s="172" t="s">
        <v>640</v>
      </c>
      <c r="AM4" s="172" t="s">
        <v>641</v>
      </c>
      <c r="AN4" s="173"/>
      <c r="AP4" s="95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9" t="str">
        <f>+DA3</f>
        <v>Gujarat</v>
      </c>
      <c r="DB4" s="119" t="str">
        <f>+DB3</f>
        <v>VMART</v>
      </c>
      <c r="DC4" s="120"/>
      <c r="DD4" s="119"/>
      <c r="DE4" s="119"/>
      <c r="DF4" s="120"/>
      <c r="DG4" s="121"/>
      <c r="DH4" s="122"/>
      <c r="DI4" s="123"/>
      <c r="DJ4" s="124"/>
      <c r="DK4" s="123"/>
      <c r="DL4" s="125"/>
      <c r="DM4" s="125"/>
      <c r="DN4" s="119"/>
      <c r="DO4" s="119"/>
      <c r="DP4" s="120"/>
    </row>
  </sheetData>
  <sheetProtection algorithmName="SHA-512" hashValue="CqFRDYQ3D6k+xrWBPs2N/X/E0rZxdcnKp1sX7PbgNWZi8FFxwoQ3qNeWfRhYHnYIMSKIrY6PYAsuWo6dRULlgA==" saltValue="fpdwH66O0okl/CB0R5fD8w==" spinCount="100000" sheet="1" objects="1" scenarios="1"/>
  <mergeCells count="1">
    <mergeCell ref="O1:P1"/>
  </mergeCells>
  <conditionalFormatting sqref="H1">
    <cfRule type="cellIs" dxfId="85" priority="12" operator="equal">
      <formula>#N/A</formula>
    </cfRule>
  </conditionalFormatting>
  <conditionalFormatting sqref="E1">
    <cfRule type="cellIs" dxfId="84" priority="11" operator="equal">
      <formula>#N/A</formula>
    </cfRule>
  </conditionalFormatting>
  <conditionalFormatting sqref="I1">
    <cfRule type="cellIs" dxfId="83" priority="10" operator="equal">
      <formula>#N/A</formula>
    </cfRule>
  </conditionalFormatting>
  <conditionalFormatting sqref="J1">
    <cfRule type="cellIs" dxfId="82" priority="9" operator="equal">
      <formula>#N/A</formula>
    </cfRule>
  </conditionalFormatting>
  <conditionalFormatting sqref="J1">
    <cfRule type="containsText" dxfId="81" priority="7" operator="containsText" text="All Data Import Successfully">
      <formula>NOT(ISERROR(SEARCH("All Data Import Successfully",J1)))</formula>
    </cfRule>
    <cfRule type="containsText" dxfId="80" priority="8" operator="containsText" text="Difference Entry">
      <formula>NOT(ISERROR(SEARCH("Difference Entry",J1)))</formula>
    </cfRule>
  </conditionalFormatting>
  <conditionalFormatting sqref="L2 E2:G2">
    <cfRule type="cellIs" dxfId="79" priority="6" operator="equal">
      <formula>#N/A</formula>
    </cfRule>
  </conditionalFormatting>
  <conditionalFormatting sqref="H2">
    <cfRule type="cellIs" dxfId="78" priority="5" operator="equal">
      <formula>#N/A</formula>
    </cfRule>
  </conditionalFormatting>
  <conditionalFormatting sqref="I2">
    <cfRule type="cellIs" dxfId="77" priority="4" operator="equal">
      <formula>#N/A</formula>
    </cfRule>
  </conditionalFormatting>
  <conditionalFormatting sqref="J2">
    <cfRule type="cellIs" dxfId="76" priority="3" operator="equal">
      <formula>#N/A</formula>
    </cfRule>
  </conditionalFormatting>
  <conditionalFormatting sqref="J2">
    <cfRule type="cellIs" dxfId="75" priority="2" operator="equal">
      <formula>0</formula>
    </cfRule>
  </conditionalFormatting>
  <conditionalFormatting sqref="K2">
    <cfRule type="cellIs" dxfId="74" priority="1" operator="equal">
      <formula>#N/A</formula>
    </cfRule>
  </conditionalFormatting>
  <dataValidations count="2">
    <dataValidation type="list" allowBlank="1" showInputMessage="1" showErrorMessage="1" sqref="P2" xr:uid="{00000000-0002-0000-0E00-000000000000}">
      <formula1>"HSN+%,Alias,Product"</formula1>
    </dataValidation>
    <dataValidation type="list" allowBlank="1" showInputMessage="1" showErrorMessage="1" sqref="B1" xr:uid="{00000000-0002-0000-0E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A7988-F172-4AB8-B207-2F9EF326F2F1}">
  <sheetPr codeName="Sheet22">
    <tabColor theme="4" tint="0.39997558519241921"/>
  </sheetPr>
  <dimension ref="A1:DT4"/>
  <sheetViews>
    <sheetView workbookViewId="0">
      <selection activeCell="G21" sqref="G2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0" width="9.140625" style="16"/>
    <col min="21" max="21" width="22.85546875" style="16" bestFit="1" customWidth="1"/>
    <col min="22" max="22" width="9.140625" style="16"/>
    <col min="23" max="23" width="12" style="16" bestFit="1" customWidth="1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45" width="9.140625" style="16"/>
    <col min="46" max="46" width="30.28515625" style="16" bestFit="1" customWidth="1"/>
    <col min="47" max="47" width="20.7109375" style="16" bestFit="1" customWidth="1"/>
    <col min="48" max="50" width="9.140625" style="16"/>
    <col min="51" max="51" width="20.140625" style="16" bestFit="1" customWidth="1"/>
    <col min="52" max="52" width="22.140625" style="16" bestFit="1" customWidth="1"/>
    <col min="53" max="53" width="23" style="16" bestFit="1" customWidth="1"/>
    <col min="54" max="54" width="9.140625" style="16"/>
    <col min="55" max="56" width="19.85546875" style="16" bestFit="1" customWidth="1"/>
    <col min="57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AB1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5" t="e">
        <f>+IF(ISBLANK(DO3),TRIM(DN3),DO3)</f>
        <v>#N/A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4">
        <f>+IF(O2=2,COUNTIF(DD:DE,"+++++++++")-2,COUNTIF(DD:DE,"+++++++++"))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791</v>
      </c>
      <c r="AF2" s="85" t="s">
        <v>789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">
        <v>865</v>
      </c>
      <c r="DB2" s="90" t="s">
        <v>866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4" customFormat="1" x14ac:dyDescent="0.25">
      <c r="A3" s="62" t="s">
        <v>5</v>
      </c>
      <c r="B3" s="63" t="s">
        <v>864</v>
      </c>
      <c r="C3" s="8"/>
      <c r="D3" s="62" t="s">
        <v>884</v>
      </c>
      <c r="E3" s="8"/>
      <c r="F3" s="8"/>
      <c r="G3" s="8"/>
      <c r="H3" s="8"/>
      <c r="I3" s="8"/>
      <c r="J3" s="8"/>
      <c r="K3" s="73"/>
      <c r="L3" s="8" t="s">
        <v>929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+$A$3</f>
        <v>Gujarat</v>
      </c>
      <c r="DB3" s="29">
        <f>+E3</f>
        <v>0</v>
      </c>
      <c r="DC3" s="202">
        <f>+M3</f>
        <v>0</v>
      </c>
      <c r="DD3" s="29" t="e">
        <f>IF($O$2=2,IFERROR(VLOOKUP(H3,Help!X$3:Z$50000,3,0),"+++++++++"),IF($O$2=3,H3,CONCATENATE(DJ3,"%",," ","(",DI3,")")))</f>
        <v>#VALUE!</v>
      </c>
      <c r="DE3" s="29" t="e">
        <f>+VLOOKUP(TRIM(R3),Help!$A$2:$B$250,2,0)</f>
        <v>#N/A</v>
      </c>
      <c r="DF3" s="202" t="str">
        <f>+IF(RIGHT(BL3,6)="Return",IF(ISBLANK(BD3),"",BD3),IF(ISBLANK(BC3),"",BC3))</f>
        <v/>
      </c>
      <c r="DG3" s="28">
        <f>+VALUE(AY3)</f>
        <v>0</v>
      </c>
      <c r="DH3" s="29" t="str">
        <f>+IF(RIGHT(BL3,6)="Return",IF(ISBLANK(AZ3),"",AZ3),IF(ISBLANK(C3),"",C3))</f>
        <v/>
      </c>
      <c r="DI3" s="202" t="str">
        <f>+IF(RIGHT(BL3,6)="Return",IF(ISBLANK(BK3),"",BK3),IF(ISBLANK(BT3),"",BT3))</f>
        <v/>
      </c>
      <c r="DJ3" s="61" t="e" cm="1">
        <f t="array" ref="DJ3">--MID(Y3, MIN(SEARCH({0,1,2,3,4,5,6,7,8,9}, Y3 &amp; "0123456789")), FIND("%", Y3) - MIN(SEARCH({0,1,2,3,4,5,6,7,8,9}, Y3 &amp; "0123456789")))</f>
        <v>#VALUE!</v>
      </c>
      <c r="DK3" s="29">
        <f>+H3</f>
        <v>0</v>
      </c>
      <c r="DL3" s="26">
        <f>IFERROR(IF(ISBLANK(X3),0,IF(RIGHT(BL3,6)="Return",-X3,X3)),"0")</f>
        <v>0</v>
      </c>
      <c r="DM3" s="200" t="s">
        <v>85</v>
      </c>
      <c r="DN3" s="26" t="e">
        <f>CONCATENATE(IF(DE3="+++++++++","State",""),IF(DD3="+++++++++","PrctName",""))</f>
        <v>#N/A</v>
      </c>
      <c r="DO3" s="26" t="e">
        <f>CONCATENATE(IF(DE3="+++++++++",AN3,""),IF(DD3="+++++++++",H3,""))</f>
        <v>#N/A</v>
      </c>
      <c r="DP3" s="27" t="s">
        <v>85</v>
      </c>
      <c r="DQ3" s="117"/>
      <c r="DR3" s="118" t="s">
        <v>85</v>
      </c>
      <c r="DS3" s="118" t="s">
        <v>85</v>
      </c>
      <c r="DT3" s="118" t="s">
        <v>85</v>
      </c>
    </row>
    <row r="4" spans="1:124" customFormat="1" x14ac:dyDescent="0.25">
      <c r="A4" s="356" t="s">
        <v>417</v>
      </c>
      <c r="B4" s="356" t="s">
        <v>418</v>
      </c>
      <c r="C4" s="356" t="s">
        <v>419</v>
      </c>
      <c r="D4" s="356" t="s">
        <v>420</v>
      </c>
      <c r="E4" s="356" t="s">
        <v>421</v>
      </c>
      <c r="F4" s="356" t="s">
        <v>302</v>
      </c>
      <c r="G4" s="356" t="s">
        <v>422</v>
      </c>
      <c r="H4" s="356" t="s">
        <v>423</v>
      </c>
      <c r="I4" s="356" t="s">
        <v>424</v>
      </c>
      <c r="J4" s="356" t="s">
        <v>425</v>
      </c>
      <c r="K4" s="356" t="s">
        <v>426</v>
      </c>
      <c r="L4" s="356" t="s">
        <v>427</v>
      </c>
      <c r="M4" s="356" t="s">
        <v>73</v>
      </c>
      <c r="N4" s="356" t="s">
        <v>428</v>
      </c>
      <c r="O4" s="356" t="s">
        <v>429</v>
      </c>
      <c r="P4" s="356" t="s">
        <v>430</v>
      </c>
      <c r="Q4" s="356" t="s">
        <v>431</v>
      </c>
      <c r="R4" s="356" t="s">
        <v>432</v>
      </c>
      <c r="S4" s="356" t="s">
        <v>433</v>
      </c>
      <c r="T4" s="356" t="s">
        <v>434</v>
      </c>
      <c r="U4" s="356" t="s">
        <v>435</v>
      </c>
      <c r="V4" s="356" t="s">
        <v>436</v>
      </c>
      <c r="W4" s="356" t="s">
        <v>437</v>
      </c>
      <c r="X4" s="356" t="s">
        <v>438</v>
      </c>
      <c r="Y4" s="356" t="s">
        <v>439</v>
      </c>
      <c r="Z4" s="356" t="s">
        <v>409</v>
      </c>
      <c r="AA4" s="356" t="s">
        <v>275</v>
      </c>
      <c r="AB4" s="356" t="s">
        <v>410</v>
      </c>
      <c r="AC4" s="356" t="s">
        <v>440</v>
      </c>
      <c r="AD4" s="356" t="s">
        <v>412</v>
      </c>
      <c r="AE4" s="356" t="s">
        <v>273</v>
      </c>
      <c r="AF4" s="356" t="s">
        <v>411</v>
      </c>
      <c r="AG4" s="356" t="s">
        <v>441</v>
      </c>
      <c r="AH4" s="356" t="s">
        <v>442</v>
      </c>
      <c r="AI4" s="356" t="s">
        <v>443</v>
      </c>
      <c r="AJ4" s="356" t="s">
        <v>444</v>
      </c>
      <c r="AK4" s="356" t="s">
        <v>445</v>
      </c>
      <c r="AL4" s="356" t="s">
        <v>446</v>
      </c>
      <c r="AM4" s="356" t="s">
        <v>447</v>
      </c>
      <c r="AN4" s="356" t="s">
        <v>448</v>
      </c>
      <c r="AO4" s="356" t="s">
        <v>449</v>
      </c>
      <c r="AP4" s="356" t="s">
        <v>450</v>
      </c>
      <c r="AQ4" s="356" t="s">
        <v>451</v>
      </c>
      <c r="AR4" s="356" t="s">
        <v>452</v>
      </c>
      <c r="AS4" s="356" t="s">
        <v>453</v>
      </c>
      <c r="AT4" s="356" t="s">
        <v>454</v>
      </c>
      <c r="AU4" s="356" t="s">
        <v>455</v>
      </c>
      <c r="AV4" s="356" t="s">
        <v>456</v>
      </c>
      <c r="AW4" s="356" t="s">
        <v>457</v>
      </c>
      <c r="AX4" s="356" t="s">
        <v>458</v>
      </c>
      <c r="AY4" s="356" t="s">
        <v>459</v>
      </c>
      <c r="AZ4" s="356" t="s">
        <v>460</v>
      </c>
      <c r="BA4" s="356" t="s">
        <v>461</v>
      </c>
      <c r="BB4" s="356" t="s">
        <v>462</v>
      </c>
      <c r="BC4" s="356" t="s">
        <v>463</v>
      </c>
      <c r="BD4" s="356" t="s">
        <v>464</v>
      </c>
      <c r="BE4" s="356" t="s">
        <v>465</v>
      </c>
      <c r="BF4" s="356" t="s">
        <v>466</v>
      </c>
      <c r="BG4" s="356" t="s">
        <v>467</v>
      </c>
      <c r="BH4" s="356" t="s">
        <v>468</v>
      </c>
      <c r="BI4" s="356" t="s">
        <v>469</v>
      </c>
      <c r="BJ4" s="356" t="s">
        <v>470</v>
      </c>
      <c r="BK4" s="356" t="s">
        <v>471</v>
      </c>
      <c r="BL4" s="356" t="s">
        <v>472</v>
      </c>
      <c r="BM4" s="356" t="s">
        <v>473</v>
      </c>
      <c r="BN4" s="356" t="s">
        <v>474</v>
      </c>
      <c r="BO4" s="356" t="s">
        <v>475</v>
      </c>
      <c r="BP4" s="356" t="s">
        <v>476</v>
      </c>
      <c r="BQ4" s="356" t="s">
        <v>477</v>
      </c>
      <c r="BR4" s="356" t="s">
        <v>478</v>
      </c>
      <c r="BS4" s="356" t="s">
        <v>479</v>
      </c>
      <c r="BT4" s="356" t="s">
        <v>55</v>
      </c>
      <c r="BU4" s="356" t="s">
        <v>480</v>
      </c>
      <c r="BV4" s="356" t="s">
        <v>481</v>
      </c>
      <c r="BW4" s="356" t="s">
        <v>482</v>
      </c>
      <c r="BX4" s="356" t="s">
        <v>483</v>
      </c>
      <c r="BY4" s="356" t="s">
        <v>484</v>
      </c>
      <c r="BZ4" s="356"/>
      <c r="CA4" s="356"/>
      <c r="CB4" s="356"/>
      <c r="CC4" s="356"/>
      <c r="CD4" s="356"/>
      <c r="CE4" s="356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3"/>
      <c r="DB4" s="123"/>
      <c r="DC4" s="350"/>
      <c r="DD4" s="123"/>
      <c r="DE4" s="123"/>
      <c r="DF4" s="350"/>
      <c r="DG4" s="352"/>
      <c r="DH4" s="123"/>
      <c r="DI4" s="123"/>
      <c r="DJ4" s="351"/>
      <c r="DK4" s="123"/>
      <c r="DL4" s="119"/>
      <c r="DM4" s="125"/>
      <c r="DN4" s="119"/>
      <c r="DO4" s="119"/>
      <c r="DP4" s="120"/>
    </row>
  </sheetData>
  <sheetProtection algorithmName="SHA-512" hashValue="dEP9OBJ1mm/A7iROlIBK9Yoyo7eurldMbHGO5MaHvEkQ+BCc0vMIOTxmccugehFkjRTgKw6DFUUvf+DPVv76mw==" saltValue="IPustz4WQEAwv1meHIwLTg==" spinCount="100000" sheet="1" objects="1" scenarios="1"/>
  <mergeCells count="1">
    <mergeCell ref="O1:P1"/>
  </mergeCells>
  <conditionalFormatting sqref="H1">
    <cfRule type="cellIs" dxfId="73" priority="12" operator="equal">
      <formula>#N/A</formula>
    </cfRule>
  </conditionalFormatting>
  <conditionalFormatting sqref="E1">
    <cfRule type="cellIs" dxfId="72" priority="11" operator="equal">
      <formula>#N/A</formula>
    </cfRule>
  </conditionalFormatting>
  <conditionalFormatting sqref="I1">
    <cfRule type="cellIs" dxfId="71" priority="10" operator="equal">
      <formula>#N/A</formula>
    </cfRule>
  </conditionalFormatting>
  <conditionalFormatting sqref="J1">
    <cfRule type="cellIs" dxfId="70" priority="9" operator="equal">
      <formula>#N/A</formula>
    </cfRule>
  </conditionalFormatting>
  <conditionalFormatting sqref="J1">
    <cfRule type="containsText" dxfId="69" priority="7" operator="containsText" text="All Data Import Successfully">
      <formula>NOT(ISERROR(SEARCH("All Data Import Successfully",J1)))</formula>
    </cfRule>
    <cfRule type="containsText" dxfId="68" priority="8" operator="containsText" text="Difference Entry">
      <formula>NOT(ISERROR(SEARCH("Difference Entry",J1)))</formula>
    </cfRule>
  </conditionalFormatting>
  <conditionalFormatting sqref="L2 E2:G2">
    <cfRule type="cellIs" dxfId="67" priority="6" operator="equal">
      <formula>#N/A</formula>
    </cfRule>
  </conditionalFormatting>
  <conditionalFormatting sqref="H2">
    <cfRule type="cellIs" dxfId="66" priority="5" operator="equal">
      <formula>#N/A</formula>
    </cfRule>
  </conditionalFormatting>
  <conditionalFormatting sqref="I2">
    <cfRule type="cellIs" dxfId="65" priority="4" operator="equal">
      <formula>#N/A</formula>
    </cfRule>
  </conditionalFormatting>
  <conditionalFormatting sqref="J2">
    <cfRule type="cellIs" dxfId="64" priority="3" operator="equal">
      <formula>#N/A</formula>
    </cfRule>
  </conditionalFormatting>
  <conditionalFormatting sqref="J2">
    <cfRule type="cellIs" dxfId="63" priority="2" operator="equal">
      <formula>0</formula>
    </cfRule>
  </conditionalFormatting>
  <conditionalFormatting sqref="K2">
    <cfRule type="cellIs" dxfId="62" priority="1" operator="equal">
      <formula>#N/A</formula>
    </cfRule>
  </conditionalFormatting>
  <dataValidations count="2">
    <dataValidation type="list" allowBlank="1" showInputMessage="1" showErrorMessage="1" sqref="P2" xr:uid="{1A112E8A-E0E0-4FFE-B842-BE9E3E329045}">
      <formula1>"HSN+%,Alias,Product"</formula1>
    </dataValidation>
    <dataValidation type="list" allowBlank="1" showInputMessage="1" showErrorMessage="1" sqref="B1" xr:uid="{7C60172C-4AA3-48B6-9696-6AECE844F454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402F-0004-48B9-BA3E-7A9AD82F52BB}">
  <sheetPr codeName="Sheet21">
    <tabColor theme="8" tint="0.79998168889431442"/>
  </sheetPr>
  <dimension ref="A1:DX4"/>
  <sheetViews>
    <sheetView showRuler="0" workbookViewId="0">
      <selection activeCell="E19" sqref="E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21.7109375" style="17" bestFit="1" customWidth="1"/>
    <col min="106" max="106" width="12.5703125" style="17" bestFit="1" customWidth="1"/>
    <col min="107" max="107" width="27" style="16" customWidth="1"/>
    <col min="108" max="108" width="33.42578125" style="16" customWidth="1"/>
    <col min="109" max="109" width="23" style="17" customWidth="1"/>
    <col min="110" max="110" width="31.7109375" style="16" customWidth="1"/>
    <col min="111" max="111" width="22.28515625" style="16" bestFit="1" customWidth="1"/>
    <col min="112" max="112" width="29" style="17" customWidth="1"/>
    <col min="113" max="113" width="19.85546875" style="16" customWidth="1"/>
    <col min="114" max="114" width="13.85546875" style="16" customWidth="1"/>
    <col min="115" max="115" width="20.28515625" style="17" customWidth="1"/>
    <col min="116" max="116" width="22.140625" style="17" customWidth="1"/>
    <col min="117" max="117" width="9.42578125" style="16" bestFit="1" customWidth="1"/>
    <col min="118" max="118" width="24" style="16" customWidth="1"/>
    <col min="119" max="119" width="22.140625" style="17" customWidth="1"/>
    <col min="120" max="120" width="9.28515625" style="16" bestFit="1" customWidth="1"/>
    <col min="121" max="121" width="12.140625" style="16" customWidth="1"/>
    <col min="122" max="122" width="22.85546875" style="17" bestFit="1" customWidth="1"/>
    <col min="123" max="123" width="13.7109375" style="16" customWidth="1"/>
    <col min="124" max="124" width="21.28515625" style="16" bestFit="1" customWidth="1"/>
    <col min="125" max="125" width="21.28515625" style="17" bestFit="1" customWidth="1"/>
    <col min="126" max="128" width="21.28515625" style="17" customWidth="1"/>
    <col min="129" max="129" width="21.7109375" style="16" bestFit="1" customWidth="1"/>
    <col min="130" max="130" width="5.42578125" style="16" bestFit="1" customWidth="1"/>
    <col min="131" max="132" width="18.28515625" style="16" bestFit="1" customWidth="1"/>
    <col min="133" max="133" width="6.140625" style="16" bestFit="1" customWidth="1"/>
    <col min="134" max="134" width="15.42578125" style="16" bestFit="1" customWidth="1"/>
    <col min="135" max="135" width="22.28515625" style="16" bestFit="1" customWidth="1"/>
    <col min="136" max="136" width="26.7109375" style="16" bestFit="1" customWidth="1"/>
    <col min="137" max="137" width="9.140625" style="16"/>
    <col min="138" max="138" width="10.85546875" style="16" bestFit="1" customWidth="1"/>
    <col min="139" max="139" width="8.140625" style="16" bestFit="1" customWidth="1"/>
    <col min="140" max="140" width="16.85546875" style="16" bestFit="1" customWidth="1"/>
    <col min="141" max="141" width="8.28515625" style="16" bestFit="1" customWidth="1"/>
    <col min="142" max="142" width="11.5703125" style="16" bestFit="1" customWidth="1"/>
    <col min="143" max="143" width="11" style="16" bestFit="1" customWidth="1"/>
    <col min="144" max="144" width="5.42578125" style="16" bestFit="1" customWidth="1"/>
    <col min="145" max="145" width="8.28515625" style="16" bestFit="1" customWidth="1"/>
    <col min="146" max="146" width="15.5703125" style="16" bestFit="1" customWidth="1"/>
    <col min="147" max="147" width="10.28515625" style="16" bestFit="1" customWidth="1"/>
    <col min="148" max="148" width="21.42578125" style="16" bestFit="1" customWidth="1"/>
    <col min="149" max="149" width="18.28515625" style="16" bestFit="1" customWidth="1"/>
    <col min="150" max="16384" width="9.140625" style="16"/>
  </cols>
  <sheetData>
    <row r="1" spans="1:128" customFormat="1" ht="38.1" customHeight="1" thickBot="1" x14ac:dyDescent="0.3">
      <c r="A1" s="282"/>
      <c r="B1" s="283">
        <v>1</v>
      </c>
      <c r="C1" s="284"/>
      <c r="D1" s="285"/>
      <c r="E1" s="286" t="s">
        <v>96</v>
      </c>
      <c r="F1" s="287" t="s">
        <v>87</v>
      </c>
      <c r="G1" s="288" t="s">
        <v>870</v>
      </c>
      <c r="H1" s="289" t="s">
        <v>882</v>
      </c>
      <c r="I1" s="289" t="s">
        <v>883</v>
      </c>
      <c r="J1" s="291" t="s">
        <v>99</v>
      </c>
      <c r="K1" s="292" t="s">
        <v>100</v>
      </c>
      <c r="L1" s="293" t="str">
        <f>+IF(L2=0,"All Data Import Successfully","Difference Entry")</f>
        <v>All Data Import Successfully</v>
      </c>
      <c r="M1" s="307"/>
      <c r="N1" s="83" t="s">
        <v>245</v>
      </c>
      <c r="O1" s="404" t="s">
        <v>235</v>
      </c>
      <c r="P1" s="405"/>
      <c r="AB1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5" t="str">
        <f>+IF(ISBLANK(DO4),TRIM(DN4),DO4)</f>
        <v/>
      </c>
      <c r="AL1" s="5"/>
      <c r="BZ1" s="6"/>
      <c r="DA1" s="17">
        <v>1</v>
      </c>
      <c r="DB1" s="17">
        <v>2</v>
      </c>
      <c r="DC1" s="16">
        <v>3</v>
      </c>
      <c r="DD1" s="16">
        <v>4</v>
      </c>
      <c r="DE1" s="17">
        <v>5</v>
      </c>
      <c r="DF1" s="16">
        <v>6</v>
      </c>
      <c r="DG1" s="16">
        <v>7</v>
      </c>
      <c r="DH1" s="17">
        <v>8</v>
      </c>
      <c r="DI1" s="16">
        <v>9</v>
      </c>
      <c r="DJ1" s="16">
        <v>10</v>
      </c>
      <c r="DK1" s="17">
        <v>11</v>
      </c>
      <c r="DL1" s="17">
        <v>12</v>
      </c>
      <c r="DM1" s="16">
        <v>13</v>
      </c>
      <c r="DN1" s="16">
        <v>14</v>
      </c>
      <c r="DO1" s="17">
        <v>15</v>
      </c>
      <c r="DP1" s="16">
        <v>16</v>
      </c>
      <c r="DQ1" s="16"/>
      <c r="DR1" s="17">
        <v>18</v>
      </c>
      <c r="DS1" s="16"/>
      <c r="DT1" s="16">
        <v>20</v>
      </c>
      <c r="DU1" s="17">
        <v>21</v>
      </c>
      <c r="DV1" s="17"/>
      <c r="DW1" s="17"/>
      <c r="DX1" s="17"/>
    </row>
    <row r="2" spans="1:128" customFormat="1" ht="38.1" customHeight="1" thickBot="1" x14ac:dyDescent="0.4">
      <c r="A2" s="294" t="s">
        <v>85</v>
      </c>
      <c r="B2" s="281" t="s">
        <v>85</v>
      </c>
      <c r="C2" s="281"/>
      <c r="D2" s="295" t="s">
        <v>85</v>
      </c>
      <c r="E2" s="296">
        <f>+COUNTA(A:A)-2</f>
        <v>0</v>
      </c>
      <c r="F2" s="297">
        <f>+COUNTIF($DR:$DR,"Sales")</f>
        <v>0</v>
      </c>
      <c r="G2" s="298">
        <f>+COUNTIF($DR:$DR,"Purchase Return")-1</f>
        <v>0</v>
      </c>
      <c r="H2" s="299">
        <f>SUMIF(DS:DS, "&gt;0")</f>
        <v>0</v>
      </c>
      <c r="I2" s="299">
        <f>SUMIF(DS:DS, "&lt;0")</f>
        <v>0</v>
      </c>
      <c r="J2" s="301">
        <f>+F2+G2</f>
        <v>0</v>
      </c>
      <c r="K2" s="302">
        <f>+SUM(DS:DS)</f>
        <v>0</v>
      </c>
      <c r="L2" s="303">
        <f>+(E2-J2)-COUNTIF(AK:AK,"0")</f>
        <v>0</v>
      </c>
      <c r="M2" s="308"/>
      <c r="N2" s="309">
        <f>+IF(O2=2,COUNTIF(DD:DE,"+++++++++")-2,COUNTIF(DD:DE,"+++++++++"))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16</v>
      </c>
      <c r="AE2" s="85" t="s">
        <v>788</v>
      </c>
      <c r="AF2" s="85" t="s">
        <v>790</v>
      </c>
      <c r="AG2" s="85">
        <v>123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358" t="s">
        <v>857</v>
      </c>
      <c r="DB2" s="358" t="s">
        <v>776</v>
      </c>
      <c r="DC2" s="358" t="s">
        <v>228</v>
      </c>
      <c r="DD2" s="358" t="s">
        <v>868</v>
      </c>
      <c r="DE2" s="358" t="s">
        <v>778</v>
      </c>
      <c r="DF2" s="358" t="s">
        <v>858</v>
      </c>
      <c r="DG2" s="359" t="s">
        <v>779</v>
      </c>
      <c r="DH2" s="358" t="s">
        <v>780</v>
      </c>
      <c r="DI2" s="358" t="s">
        <v>781</v>
      </c>
      <c r="DJ2" s="358" t="s">
        <v>417</v>
      </c>
      <c r="DK2" s="358" t="s">
        <v>76</v>
      </c>
      <c r="DL2" s="358" t="s">
        <v>400</v>
      </c>
      <c r="DM2" s="358" t="s">
        <v>782</v>
      </c>
      <c r="DN2" s="358" t="s">
        <v>783</v>
      </c>
      <c r="DO2" s="358" t="s">
        <v>784</v>
      </c>
      <c r="DP2" s="358" t="s">
        <v>423</v>
      </c>
      <c r="DQ2" s="358" t="s">
        <v>315</v>
      </c>
      <c r="DR2" s="360" t="s">
        <v>794</v>
      </c>
      <c r="DS2" s="358" t="s">
        <v>106</v>
      </c>
      <c r="DT2" s="358" t="s">
        <v>869</v>
      </c>
      <c r="DU2" s="358" t="s">
        <v>867</v>
      </c>
      <c r="DV2" s="17"/>
      <c r="DW2" s="17"/>
      <c r="DX2" s="17"/>
    </row>
    <row r="3" spans="1:128" customFormat="1" ht="15.75" thickBot="1" x14ac:dyDescent="0.3">
      <c r="A3" s="342"/>
      <c r="B3" s="343"/>
      <c r="C3" s="305"/>
      <c r="D3" s="306" t="s">
        <v>897</v>
      </c>
      <c r="E3" s="341"/>
      <c r="F3" s="344"/>
      <c r="G3" s="341"/>
      <c r="H3" s="305"/>
      <c r="I3" s="348"/>
      <c r="J3" s="346"/>
      <c r="K3" s="349"/>
      <c r="L3" s="347" t="s">
        <v>929</v>
      </c>
      <c r="M3" s="345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 t="s">
        <v>438</v>
      </c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9">
        <f>+G3</f>
        <v>0</v>
      </c>
      <c r="DB3" s="29" t="s">
        <v>786</v>
      </c>
      <c r="DC3" s="29" t="e">
        <f>+VLOOKUP(DD3,Help!$AC$3:$AD$20,2,0)</f>
        <v>#N/A</v>
      </c>
      <c r="DD3" s="202">
        <f>+A3</f>
        <v>0</v>
      </c>
      <c r="DE3" s="202">
        <f>+B3</f>
        <v>0</v>
      </c>
      <c r="DF3" s="29" t="str">
        <f>+L3</f>
        <v>295 - KETAN JOGANI</v>
      </c>
      <c r="DG3" s="26" t="s">
        <v>774</v>
      </c>
      <c r="DH3" s="29" t="str">
        <f>+IF(DF3=DA3,"GST","IGST")</f>
        <v>IGST</v>
      </c>
      <c r="DI3" s="29" t="s">
        <v>861</v>
      </c>
      <c r="DJ3" s="28">
        <f>+VALUE(P3)</f>
        <v>0</v>
      </c>
      <c r="DK3" s="29">
        <f>+O3</f>
        <v>0</v>
      </c>
      <c r="DL3" s="29" t="str">
        <f>CONCATENATE("GST", " ", DM3, "%", " ", "(", DO3, REPT(" ", 8 - LEN(DO3)), ")")</f>
        <v>GST 0% (        )</v>
      </c>
      <c r="DM3" s="184">
        <f>+IF(X3=0,0,W3*100)</f>
        <v>0</v>
      </c>
      <c r="DN3" s="27" t="s">
        <v>85</v>
      </c>
      <c r="DO3" s="202" t="s">
        <v>85</v>
      </c>
      <c r="DP3" s="29">
        <f>+IF(X3=0,0,T3)</f>
        <v>0</v>
      </c>
      <c r="DQ3" s="88" t="e">
        <f>+DS3/DP3</f>
        <v>#DIV/0!</v>
      </c>
      <c r="DR3" s="202" t="str">
        <f>+IF(B3="FC_TRANSFER","Sales","Purchase Return")</f>
        <v>Purchase Return</v>
      </c>
      <c r="DS3" s="381">
        <f>+IF(B3="FC_REMOVAL",VALUE(IF(X3=0,0,V3*-1)),VALUE(IF(X3=0,0,V3)))</f>
        <v>0</v>
      </c>
      <c r="DT3" s="361" t="e">
        <f>+VLOOKUP(DU3,Help!$AC$3:$AD$20,2,0)</f>
        <v>#N/A</v>
      </c>
      <c r="DU3" s="362" t="str">
        <f>+AG3</f>
        <v>Sales</v>
      </c>
      <c r="DV3" s="357"/>
      <c r="DW3" s="357"/>
      <c r="DX3" s="357"/>
    </row>
    <row r="4" spans="1:128" s="2" customFormat="1" x14ac:dyDescent="0.25">
      <c r="A4" s="353" t="s">
        <v>848</v>
      </c>
      <c r="B4" s="353" t="s">
        <v>154</v>
      </c>
      <c r="C4" s="353" t="s">
        <v>522</v>
      </c>
      <c r="D4" s="353" t="s">
        <v>155</v>
      </c>
      <c r="E4" s="353" t="s">
        <v>849</v>
      </c>
      <c r="F4" s="353" t="s">
        <v>170</v>
      </c>
      <c r="G4" s="353" t="s">
        <v>171</v>
      </c>
      <c r="H4" s="353" t="s">
        <v>172</v>
      </c>
      <c r="I4" s="353" t="s">
        <v>173</v>
      </c>
      <c r="J4" s="353" t="s">
        <v>850</v>
      </c>
      <c r="K4" s="353" t="s">
        <v>174</v>
      </c>
      <c r="L4" s="353" t="s">
        <v>175</v>
      </c>
      <c r="M4" s="353" t="s">
        <v>176</v>
      </c>
      <c r="N4" s="353" t="s">
        <v>177</v>
      </c>
      <c r="O4" s="353" t="s">
        <v>152</v>
      </c>
      <c r="P4" s="353" t="s">
        <v>153</v>
      </c>
      <c r="Q4" s="353" t="s">
        <v>376</v>
      </c>
      <c r="R4" s="353" t="s">
        <v>162</v>
      </c>
      <c r="S4" s="353" t="s">
        <v>164</v>
      </c>
      <c r="T4" s="353" t="s">
        <v>160</v>
      </c>
      <c r="U4" s="353" t="s">
        <v>742</v>
      </c>
      <c r="V4" s="353" t="s">
        <v>537</v>
      </c>
      <c r="W4" s="353" t="s">
        <v>184</v>
      </c>
      <c r="X4" s="353" t="s">
        <v>851</v>
      </c>
      <c r="Y4" s="353" t="s">
        <v>182</v>
      </c>
      <c r="Z4" s="353" t="s">
        <v>852</v>
      </c>
      <c r="AA4" s="353" t="s">
        <v>183</v>
      </c>
      <c r="AB4" s="353" t="s">
        <v>853</v>
      </c>
      <c r="AC4" s="353" t="s">
        <v>181</v>
      </c>
      <c r="AD4" s="353" t="s">
        <v>854</v>
      </c>
      <c r="AE4" s="353" t="s">
        <v>185</v>
      </c>
      <c r="AF4" s="353" t="s">
        <v>855</v>
      </c>
      <c r="AG4" s="353" t="s">
        <v>856</v>
      </c>
      <c r="AH4" s="353" t="s">
        <v>231</v>
      </c>
      <c r="AI4" s="353" t="s">
        <v>232</v>
      </c>
      <c r="AJ4" s="353" t="s">
        <v>233</v>
      </c>
      <c r="AK4" s="353" t="s">
        <v>234</v>
      </c>
      <c r="AP4" s="279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4"/>
      <c r="DD4" s="17"/>
      <c r="DE4" s="273"/>
      <c r="DF4" s="17"/>
      <c r="DG4" s="16"/>
      <c r="DH4" s="17"/>
      <c r="DI4" s="274" t="s">
        <v>85</v>
      </c>
      <c r="DJ4" s="17"/>
      <c r="DK4" s="273"/>
      <c r="DL4" s="123"/>
      <c r="DM4" s="280"/>
      <c r="DN4" s="273"/>
      <c r="DO4" s="273"/>
      <c r="DP4" s="274" t="s">
        <v>85</v>
      </c>
      <c r="DS4" s="380"/>
    </row>
  </sheetData>
  <sheetProtection algorithmName="SHA-512" hashValue="pQchSylL/dPGxtCHWgbPxklomywFGXf+jLuS7p1SMZGLW8m0/ceCxSWyuXKW0lEbw4Yw+XVgckSG6WoJU/GDgQ==" saltValue="OpdeiZp/FV1QsFFza4tQGw==" spinCount="100000" sheet="1" objects="1" scenarios="1"/>
  <mergeCells count="1">
    <mergeCell ref="O1:P1"/>
  </mergeCells>
  <conditionalFormatting sqref="J1">
    <cfRule type="cellIs" dxfId="61" priority="11" operator="equal">
      <formula>#N/A</formula>
    </cfRule>
  </conditionalFormatting>
  <conditionalFormatting sqref="E1">
    <cfRule type="cellIs" dxfId="60" priority="10" operator="equal">
      <formula>#N/A</formula>
    </cfRule>
  </conditionalFormatting>
  <conditionalFormatting sqref="K1">
    <cfRule type="cellIs" dxfId="59" priority="9" operator="equal">
      <formula>#N/A</formula>
    </cfRule>
  </conditionalFormatting>
  <conditionalFormatting sqref="L1">
    <cfRule type="cellIs" dxfId="58" priority="8" operator="equal">
      <formula>#N/A</formula>
    </cfRule>
  </conditionalFormatting>
  <conditionalFormatting sqref="L1">
    <cfRule type="containsText" dxfId="57" priority="6" operator="containsText" text="All Data Import Successfully">
      <formula>NOT(ISERROR(SEARCH("All Data Import Successfully",L1)))</formula>
    </cfRule>
    <cfRule type="containsText" dxfId="56" priority="7" operator="containsText" text="Difference Entry">
      <formula>NOT(ISERROR(SEARCH("Difference Entry",L1)))</formula>
    </cfRule>
  </conditionalFormatting>
  <conditionalFormatting sqref="E2:I2">
    <cfRule type="cellIs" dxfId="55" priority="5" operator="equal">
      <formula>#N/A</formula>
    </cfRule>
  </conditionalFormatting>
  <conditionalFormatting sqref="J2">
    <cfRule type="cellIs" dxfId="54" priority="4" operator="equal">
      <formula>#N/A</formula>
    </cfRule>
  </conditionalFormatting>
  <conditionalFormatting sqref="K2">
    <cfRule type="cellIs" dxfId="53" priority="3" operator="equal">
      <formula>#N/A</formula>
    </cfRule>
  </conditionalFormatting>
  <conditionalFormatting sqref="L2">
    <cfRule type="cellIs" dxfId="52" priority="2" operator="equal">
      <formula>#N/A</formula>
    </cfRule>
  </conditionalFormatting>
  <conditionalFormatting sqref="L2">
    <cfRule type="cellIs" dxfId="51" priority="1" operator="equal">
      <formula>0</formula>
    </cfRule>
  </conditionalFormatting>
  <dataValidations disablePrompts="1" count="2">
    <dataValidation type="list" allowBlank="1" showInputMessage="1" showErrorMessage="1" sqref="P2" xr:uid="{27E10B3D-CC75-4159-93FF-3CDFEA1580FC}">
      <formula1>"HSN+%,Alias,Product"</formula1>
    </dataValidation>
    <dataValidation type="list" allowBlank="1" showInputMessage="1" showErrorMessage="1" sqref="B1" xr:uid="{32C72DAE-192D-488B-86BD-5BC2FF3E427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theme="2" tint="-9.9978637043366805E-2"/>
  </sheetPr>
  <dimension ref="A1:EG4"/>
  <sheetViews>
    <sheetView showRuler="0" workbookViewId="0">
      <selection activeCell="E23" sqref="E23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11.7109375" style="16" bestFit="1" customWidth="1"/>
    <col min="106" max="106" width="12.57031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13.85546875" style="16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7" customWidth="1"/>
    <col min="120" max="120" width="9.140625" style="16"/>
    <col min="121" max="121" width="15.28515625" style="16" customWidth="1"/>
    <col min="122" max="122" width="22.85546875" style="16" bestFit="1" customWidth="1"/>
    <col min="123" max="16384" width="9.140625" style="16"/>
  </cols>
  <sheetData>
    <row r="1" spans="1:137" customFormat="1" ht="38.1" customHeight="1" thickBot="1" x14ac:dyDescent="0.3">
      <c r="A1" s="282"/>
      <c r="B1" s="283"/>
      <c r="C1" s="284"/>
      <c r="D1" s="285"/>
      <c r="E1" s="286" t="s">
        <v>96</v>
      </c>
      <c r="F1" s="287" t="s">
        <v>795</v>
      </c>
      <c r="G1" s="288" t="s">
        <v>796</v>
      </c>
      <c r="H1" s="289" t="s">
        <v>797</v>
      </c>
      <c r="I1" s="290" t="s">
        <v>798</v>
      </c>
      <c r="J1" s="291" t="s">
        <v>99</v>
      </c>
      <c r="K1" s="292" t="s">
        <v>100</v>
      </c>
      <c r="L1" s="293" t="str">
        <f>+IF(L2=0,"All Data Import Successfully","Difference Entry")</f>
        <v>All Data Import Successfully</v>
      </c>
      <c r="M1" s="307"/>
      <c r="N1" s="83" t="s">
        <v>245</v>
      </c>
      <c r="O1" s="404" t="s">
        <v>235</v>
      </c>
      <c r="P1" s="405"/>
      <c r="AB1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5" t="str">
        <f>+IF(ISBLANK(DO4),TRIM(DN4),DO4)</f>
        <v/>
      </c>
      <c r="AL1" s="5"/>
      <c r="BZ1" s="6"/>
      <c r="DA1" s="16">
        <v>1</v>
      </c>
      <c r="DB1" s="16">
        <v>2</v>
      </c>
      <c r="DC1" s="16">
        <v>3</v>
      </c>
      <c r="DD1" s="16">
        <v>4</v>
      </c>
      <c r="DE1" s="16">
        <v>5</v>
      </c>
      <c r="DF1" s="16">
        <v>6</v>
      </c>
      <c r="DG1" s="16">
        <v>7</v>
      </c>
      <c r="DH1" s="16">
        <v>8</v>
      </c>
      <c r="DI1" s="16">
        <v>9</v>
      </c>
      <c r="DJ1" s="16">
        <v>10</v>
      </c>
      <c r="DK1" s="16">
        <v>11</v>
      </c>
      <c r="DL1" s="16">
        <v>12</v>
      </c>
      <c r="DM1" s="16">
        <v>13</v>
      </c>
      <c r="DN1" s="16">
        <v>14</v>
      </c>
      <c r="DO1" s="16">
        <v>15</v>
      </c>
      <c r="DP1" s="16">
        <v>16</v>
      </c>
      <c r="DQ1" s="16"/>
      <c r="DR1" s="16">
        <v>18</v>
      </c>
      <c r="DS1" s="16">
        <v>19</v>
      </c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</row>
    <row r="2" spans="1:137" customFormat="1" ht="38.1" customHeight="1" thickBot="1" x14ac:dyDescent="0.4">
      <c r="A2" s="294" t="s">
        <v>85</v>
      </c>
      <c r="B2" s="281" t="s">
        <v>85</v>
      </c>
      <c r="C2" s="281"/>
      <c r="D2" s="295" t="s">
        <v>85</v>
      </c>
      <c r="E2" s="296">
        <f>+COUNTA(A:A)-2</f>
        <v>0</v>
      </c>
      <c r="F2" s="297">
        <f>+COUNTIF($DR:$DR,"Purchase")-1</f>
        <v>0</v>
      </c>
      <c r="G2" s="298">
        <f>+COUNTIF($DR:$DR,"GST Expense")</f>
        <v>0</v>
      </c>
      <c r="H2" s="299">
        <f>+COUNTIF($DR:$DR,"Pur CN")</f>
        <v>0</v>
      </c>
      <c r="I2" s="300">
        <f>+COUNTIF($DR:$DR,"Pur DN")</f>
        <v>0</v>
      </c>
      <c r="J2" s="301">
        <f>+F2+G2+H2+I2</f>
        <v>0</v>
      </c>
      <c r="K2" s="302">
        <f>+SUM(DQ:DQ)</f>
        <v>0</v>
      </c>
      <c r="L2" s="303">
        <f>+E2-J2</f>
        <v>0</v>
      </c>
      <c r="M2" s="308"/>
      <c r="N2" s="309">
        <f>+IF(O2=2,COUNTIF(DD:DE,"+++++++++")-2,COUNTIF(DD:DE,"+++++++++"))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16</v>
      </c>
      <c r="AE2" s="85" t="s">
        <v>788</v>
      </c>
      <c r="AF2" s="85" t="s">
        <v>790</v>
      </c>
      <c r="AG2" s="85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75" t="s">
        <v>71</v>
      </c>
      <c r="DB2" s="275" t="s">
        <v>776</v>
      </c>
      <c r="DC2" s="275" t="s">
        <v>72</v>
      </c>
      <c r="DD2" s="275" t="s">
        <v>777</v>
      </c>
      <c r="DE2" s="275" t="s">
        <v>778</v>
      </c>
      <c r="DF2" s="275" t="s">
        <v>775</v>
      </c>
      <c r="DG2" s="275" t="s">
        <v>779</v>
      </c>
      <c r="DH2" s="275" t="s">
        <v>780</v>
      </c>
      <c r="DI2" s="275" t="s">
        <v>781</v>
      </c>
      <c r="DJ2" s="275" t="s">
        <v>417</v>
      </c>
      <c r="DK2" s="275" t="s">
        <v>76</v>
      </c>
      <c r="DL2" s="275" t="s">
        <v>400</v>
      </c>
      <c r="DM2" s="275" t="s">
        <v>782</v>
      </c>
      <c r="DN2" s="275" t="s">
        <v>783</v>
      </c>
      <c r="DO2" s="275" t="s">
        <v>784</v>
      </c>
      <c r="DP2" s="275" t="s">
        <v>423</v>
      </c>
      <c r="DQ2" s="275" t="s">
        <v>793</v>
      </c>
      <c r="DR2" s="276" t="s">
        <v>794</v>
      </c>
      <c r="DS2" s="275" t="s">
        <v>785</v>
      </c>
    </row>
    <row r="3" spans="1:137" customFormat="1" ht="15.75" thickBot="1" x14ac:dyDescent="0.3">
      <c r="A3" s="342"/>
      <c r="B3" s="343"/>
      <c r="C3" s="305"/>
      <c r="D3" s="306" t="s">
        <v>85</v>
      </c>
      <c r="E3" s="341"/>
      <c r="F3" s="344"/>
      <c r="G3" s="341"/>
      <c r="H3" s="305"/>
      <c r="I3" s="349" t="s">
        <v>845</v>
      </c>
      <c r="J3" s="391"/>
      <c r="K3" s="349" t="s">
        <v>844</v>
      </c>
      <c r="L3" s="392" t="s">
        <v>929</v>
      </c>
      <c r="M3" s="345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+IF(D3="Regular",G3,H3)</f>
        <v>0</v>
      </c>
      <c r="DB3" s="26" t="s">
        <v>786</v>
      </c>
      <c r="DC3" s="26">
        <f>+B3</f>
        <v>0</v>
      </c>
      <c r="DD3" s="202">
        <f>+A3</f>
        <v>0</v>
      </c>
      <c r="DE3" s="27" t="s">
        <v>85</v>
      </c>
      <c r="DF3" s="29" t="str">
        <f>IFERROR(VLOOKUP(VALUE(LEFT(A3,2)),Help!$E$2:G$50,2,0),"+++++++++")</f>
        <v>+++++++++</v>
      </c>
      <c r="DG3" s="26" t="s">
        <v>774</v>
      </c>
      <c r="DH3" s="26" t="str">
        <f>+IF(DF3=DA3,"GST","IGST")</f>
        <v>IGST</v>
      </c>
      <c r="DI3" s="29" t="str">
        <f>IF(D3="Regular",IF(I3=0,"Bill","Tax"),IF(J3=0,"Bill","Tax"))</f>
        <v>Bill</v>
      </c>
      <c r="DJ3" s="28">
        <f>+IF(D3="Regular",VALUE(E3),VALUE(F3))</f>
        <v>0</v>
      </c>
      <c r="DK3" s="278">
        <f>+C3</f>
        <v>0</v>
      </c>
      <c r="DL3" s="278" t="str">
        <f>CONCATENATE("GST", " ", DM3, "%", " ", "(", DO3, REPT(" ", 8 - LEN(DO3)), ")")</f>
        <v>GST % (        )</v>
      </c>
      <c r="DM3" s="184" t="str">
        <f>IFERROR(IF(D3="Regular", ROUND(((J3+K3+L3)*100/I3),0), ROUND(((K3+L3+M3)*100/J3),0)),"")</f>
        <v/>
      </c>
      <c r="DN3" s="27" t="s">
        <v>85</v>
      </c>
      <c r="DO3" s="202" t="s">
        <v>85</v>
      </c>
      <c r="DP3" s="29">
        <v>1</v>
      </c>
      <c r="DQ3" s="72">
        <f>+IF(D3="Regular",I3,J3)</f>
        <v>0</v>
      </c>
      <c r="DR3" s="27" t="str">
        <f>+IF(D3="Regular","Purchase",IF(D3="Credit Note","Pur CN","Purchase"))</f>
        <v>Purchase</v>
      </c>
      <c r="DS3" s="118" t="s">
        <v>85</v>
      </c>
    </row>
    <row r="4" spans="1:137" s="2" customFormat="1" ht="24" x14ac:dyDescent="0.25">
      <c r="A4" s="304" t="s">
        <v>758</v>
      </c>
      <c r="B4" s="304" t="s">
        <v>759</v>
      </c>
      <c r="C4" s="272" t="s">
        <v>419</v>
      </c>
      <c r="D4" s="272" t="s">
        <v>769</v>
      </c>
      <c r="E4" s="272" t="s">
        <v>153</v>
      </c>
      <c r="F4" s="272" t="s">
        <v>770</v>
      </c>
      <c r="G4" s="304" t="s">
        <v>760</v>
      </c>
      <c r="H4" s="304" t="s">
        <v>761</v>
      </c>
      <c r="I4" s="304" t="s">
        <v>762</v>
      </c>
      <c r="J4" s="272" t="s">
        <v>919</v>
      </c>
      <c r="K4" s="272" t="s">
        <v>771</v>
      </c>
      <c r="L4" s="272" t="s">
        <v>772</v>
      </c>
      <c r="M4" s="272" t="s">
        <v>773</v>
      </c>
      <c r="N4" s="272" t="s">
        <v>847</v>
      </c>
      <c r="O4" s="272" t="s">
        <v>763</v>
      </c>
      <c r="P4" s="272" t="s">
        <v>764</v>
      </c>
      <c r="Q4" s="272" t="s">
        <v>765</v>
      </c>
      <c r="R4" s="272" t="s">
        <v>766</v>
      </c>
      <c r="S4" s="272" t="s">
        <v>767</v>
      </c>
      <c r="T4" s="272" t="s">
        <v>478</v>
      </c>
      <c r="U4" s="272" t="s">
        <v>768</v>
      </c>
      <c r="V4" s="16"/>
      <c r="AP4" s="279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4"/>
      <c r="DD4" s="17"/>
      <c r="DE4" s="273"/>
      <c r="DF4" s="17"/>
      <c r="DG4" s="17"/>
      <c r="DH4" s="17"/>
      <c r="DI4" s="274" t="s">
        <v>85</v>
      </c>
      <c r="DJ4" s="17"/>
      <c r="DK4" s="273"/>
      <c r="DL4" s="340"/>
      <c r="DM4" s="280"/>
      <c r="DN4" s="273"/>
      <c r="DO4" s="273"/>
      <c r="DP4" s="274" t="s">
        <v>85</v>
      </c>
    </row>
  </sheetData>
  <sheetProtection algorithmName="SHA-512" hashValue="Q3DUtOYxnue/Qks0KYw+1Iqo94ErKhlWvZahQGVTntO6HhX0usAOgbEbS8jqKpQGnLJZ4iATNGy/rYdJxXKrng==" saltValue="Tdo/v4djLeJoCPKDWQe5+Q==" spinCount="100000" sheet="1" objects="1" scenarios="1"/>
  <mergeCells count="1">
    <mergeCell ref="O1:P1"/>
  </mergeCells>
  <phoneticPr fontId="43" type="noConversion"/>
  <conditionalFormatting sqref="H1:J1">
    <cfRule type="cellIs" dxfId="50" priority="12" operator="equal">
      <formula>#N/A</formula>
    </cfRule>
  </conditionalFormatting>
  <conditionalFormatting sqref="E1">
    <cfRule type="cellIs" dxfId="49" priority="11" operator="equal">
      <formula>#N/A</formula>
    </cfRule>
  </conditionalFormatting>
  <conditionalFormatting sqref="K1">
    <cfRule type="cellIs" dxfId="48" priority="10" operator="equal">
      <formula>#N/A</formula>
    </cfRule>
  </conditionalFormatting>
  <conditionalFormatting sqref="L1">
    <cfRule type="cellIs" dxfId="47" priority="9" operator="equal">
      <formula>#N/A</formula>
    </cfRule>
  </conditionalFormatting>
  <conditionalFormatting sqref="L1">
    <cfRule type="containsText" dxfId="46" priority="7" operator="containsText" text="All Data Import Successfully">
      <formula>NOT(ISERROR(SEARCH("All Data Import Successfully",L1)))</formula>
    </cfRule>
    <cfRule type="containsText" dxfId="45" priority="8" operator="containsText" text="Difference Entry">
      <formula>NOT(ISERROR(SEARCH("Difference Entry",L1)))</formula>
    </cfRule>
  </conditionalFormatting>
  <conditionalFormatting sqref="E2:G2">
    <cfRule type="cellIs" dxfId="44" priority="6" operator="equal">
      <formula>#N/A</formula>
    </cfRule>
  </conditionalFormatting>
  <conditionalFormatting sqref="H2:J2">
    <cfRule type="cellIs" dxfId="43" priority="5" operator="equal">
      <formula>#N/A</formula>
    </cfRule>
  </conditionalFormatting>
  <conditionalFormatting sqref="K2">
    <cfRule type="cellIs" dxfId="42" priority="4" operator="equal">
      <formula>#N/A</formula>
    </cfRule>
  </conditionalFormatting>
  <conditionalFormatting sqref="L2">
    <cfRule type="cellIs" dxfId="41" priority="3" operator="equal">
      <formula>#N/A</formula>
    </cfRule>
  </conditionalFormatting>
  <conditionalFormatting sqref="L2">
    <cfRule type="cellIs" dxfId="40" priority="2" operator="equal">
      <formula>0</formula>
    </cfRule>
  </conditionalFormatting>
  <dataValidations disablePrompts="1" count="2">
    <dataValidation type="list" allowBlank="1" showInputMessage="1" showErrorMessage="1" sqref="B1" xr:uid="{00000000-0002-0000-0F00-000000000000}">
      <formula1>"1,2"</formula1>
    </dataValidation>
    <dataValidation type="list" allowBlank="1" showInputMessage="1" showErrorMessage="1" sqref="P2" xr:uid="{00000000-0002-0000-0F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>
    <tabColor theme="9" tint="-0.249977111117893"/>
  </sheetPr>
  <dimension ref="A1:XEK537"/>
  <sheetViews>
    <sheetView showRuler="0" workbookViewId="0">
      <pane ySplit="1" topLeftCell="A2" activePane="bottomLeft" state="frozen"/>
      <selection activeCell="G24" sqref="G24"/>
      <selection pane="bottomLeft" activeCell="A136" sqref="A136"/>
    </sheetView>
  </sheetViews>
  <sheetFormatPr defaultRowHeight="15" x14ac:dyDescent="0.25"/>
  <cols>
    <col min="1" max="2" width="35.7109375" style="139" customWidth="1"/>
    <col min="3" max="3" width="15" style="140" customWidth="1"/>
    <col min="4" max="4" width="19.28515625" style="16" customWidth="1"/>
    <col min="5" max="5" width="19.5703125" style="16" customWidth="1"/>
    <col min="6" max="6" width="26.5703125" style="16" customWidth="1"/>
    <col min="7" max="7" width="19" style="16" customWidth="1"/>
    <col min="8" max="8" width="9.140625" style="16"/>
    <col min="9" max="9" width="23.140625" style="16" customWidth="1"/>
    <col min="10" max="10" width="6.7109375" style="16" customWidth="1"/>
    <col min="11" max="11" width="9.28515625" style="16" customWidth="1"/>
    <col min="12" max="12" width="15.7109375" style="16" customWidth="1"/>
    <col min="13" max="13" width="16.28515625" style="16" customWidth="1"/>
    <col min="14" max="14" width="22.28515625" style="16" customWidth="1"/>
    <col min="15" max="15" width="29.85546875" style="16" customWidth="1"/>
    <col min="16" max="16" width="11.140625" style="16" customWidth="1"/>
    <col min="17" max="17" width="6" style="16" customWidth="1"/>
    <col min="18" max="18" width="3" style="16" customWidth="1"/>
    <col min="19" max="19" width="24.5703125" style="16" customWidth="1"/>
    <col min="20" max="25" width="20.140625" style="16" customWidth="1"/>
    <col min="26" max="26" width="22.28515625" style="16" customWidth="1"/>
    <col min="27" max="27" width="33.7109375" style="16" customWidth="1"/>
    <col min="28" max="28" width="9.140625" style="16"/>
    <col min="29" max="29" width="26.28515625" style="16" customWidth="1"/>
    <col min="30" max="30" width="32.7109375" style="21" customWidth="1"/>
    <col min="31" max="83" width="9.140625" style="16"/>
    <col min="84" max="84" width="10.7109375" style="16" bestFit="1" customWidth="1"/>
    <col min="85" max="16384" width="9.140625" style="16"/>
  </cols>
  <sheetData>
    <row r="1" spans="1:135" customFormat="1" ht="24" thickBot="1" x14ac:dyDescent="0.4">
      <c r="A1" s="194" t="s">
        <v>104</v>
      </c>
      <c r="B1" s="195" t="s">
        <v>303</v>
      </c>
      <c r="C1" s="181" t="s">
        <v>54</v>
      </c>
      <c r="D1" s="182" t="s">
        <v>55</v>
      </c>
      <c r="E1" s="185" t="s">
        <v>0</v>
      </c>
      <c r="F1" s="186" t="s">
        <v>1</v>
      </c>
      <c r="G1" s="187"/>
      <c r="H1" s="188"/>
      <c r="I1" s="406"/>
      <c r="J1" s="407"/>
      <c r="K1" s="408"/>
      <c r="N1" s="409" t="s">
        <v>806</v>
      </c>
      <c r="O1" s="410"/>
      <c r="P1" s="16"/>
      <c r="T1" s="85">
        <v>7</v>
      </c>
      <c r="U1" s="85">
        <v>6</v>
      </c>
      <c r="V1" s="85">
        <v>5</v>
      </c>
      <c r="W1" s="85">
        <v>4</v>
      </c>
      <c r="X1" s="85">
        <v>3</v>
      </c>
      <c r="Y1" s="85">
        <v>2</v>
      </c>
      <c r="Z1" s="85">
        <v>1</v>
      </c>
      <c r="AD1" s="6"/>
      <c r="AO1" s="366" t="str">
        <f>IF(AP1="",IF(AN1&lt;&gt;"", SUMIFS($L$5:$L$150000, $N$5:$N$150000, AN1), ""),"")</f>
        <v/>
      </c>
      <c r="AP1" s="367" t="str">
        <f>IF(AN1="", "", INDEX($A$5:$A$150000, MATCH(AN1, $N$5:$N$150000, 0)))</f>
        <v/>
      </c>
      <c r="AQ1" s="368" t="str">
        <f>IF(AN1="", "", INDEX($B$5:$B$150000, MATCH(AN1, $N$5:$N$150000, 0)))</f>
        <v/>
      </c>
      <c r="AR1" s="366" t="str">
        <f>IF(AN1="", "", INDEX($C$5:$C$150000, MATCH(AN1, $N$5:$N$150000, 0)))</f>
        <v/>
      </c>
      <c r="AS1" s="366" t="str">
        <f>AY1 &amp; "%" &amp; " (" &amp; AX1 &amp; ")"</f>
        <v>% ()</v>
      </c>
      <c r="AT1" s="368" t="e">
        <f>+IF(AU1="",INDEX($E$5:$E$150000,MATCH(AN1,$N$5:$N$150000,0)),INDEX(Help!$F$2:$F$49,MATCH(VALUE(LEFT(AU1,2)),Help!$E$2:$E$49,0)))</f>
        <v>#N/A</v>
      </c>
      <c r="AU1" s="369" t="str">
        <f>IF(AN1="", "", IFERROR(INDEX($F$5:$F$150000, MATCH(AN1, $N$5:$N$150000, 0)), ""))</f>
        <v/>
      </c>
      <c r="AV1" s="368" t="str">
        <f>IF(AN1="", "", IFERROR(INDEX($O$5:$O$150000, MATCH(AN1, $N$5:$N$150000, 0)), ""))</f>
        <v/>
      </c>
      <c r="AW1" s="367" t="str">
        <f>SUBSTITUTE(AN1,"R-","")</f>
        <v/>
      </c>
      <c r="AX1" s="367" t="str">
        <f>IF($Q1="", "", IFERROR(VALUE(INDEX($I$5:$I$150000, MATCH($Q1, $N$5:$N$150000, 0))), ""))</f>
        <v/>
      </c>
      <c r="AY1" s="367" t="str">
        <f>IF($Q1="", "", IFERROR(INDEX($J$5:$J$150000, MATCH($Q1, $N$5:$N$150000, 0)), ""))</f>
        <v/>
      </c>
      <c r="AZ1" s="367">
        <f>IF(VALUE(SUMIF($N$5:$N$150000,AN1,$K$5:$K$150000))=0, 1, VALUE(SUMIF($N$5:$N$150000,AN1,$K$5:$K$150000)))</f>
        <v>1</v>
      </c>
      <c r="BA1" s="101" t="str">
        <f>IF(AN1="", "", SUMIFS($L$5:$L$150000, $N$5:$N$150000, AN1))</f>
        <v/>
      </c>
      <c r="BB1" s="101" t="str">
        <f>IF(AN1="", "", SUMIFS($M$5:$M$150000, $N$5:$N$150000, AN1))</f>
        <v/>
      </c>
      <c r="BC1" s="326" t="e">
        <f>+BA1/AZ1</f>
        <v>#VALUE!</v>
      </c>
      <c r="BD1" s="102" t="s">
        <v>85</v>
      </c>
      <c r="BE1" s="98" t="e">
        <f>+IF(AT1=AP1,"ECom GST","ECom IGST")</f>
        <v>#N/A</v>
      </c>
    </row>
    <row r="2" spans="1:135" customFormat="1" ht="17.25" x14ac:dyDescent="0.25">
      <c r="A2" s="192" t="s">
        <v>2</v>
      </c>
      <c r="B2" s="193" t="s">
        <v>2</v>
      </c>
      <c r="C2" s="179">
        <v>0</v>
      </c>
      <c r="D2" s="180">
        <v>0</v>
      </c>
      <c r="E2" s="174">
        <v>37</v>
      </c>
      <c r="F2" s="165" t="s">
        <v>3</v>
      </c>
      <c r="G2" s="165" t="s">
        <v>4</v>
      </c>
      <c r="H2" s="166"/>
      <c r="I2" s="189"/>
      <c r="J2" s="190"/>
      <c r="K2" s="191"/>
      <c r="M2" s="16"/>
      <c r="N2" s="315"/>
      <c r="O2" s="317"/>
      <c r="P2" s="16"/>
      <c r="T2" s="86" t="s">
        <v>86</v>
      </c>
      <c r="U2" s="86" t="s">
        <v>84</v>
      </c>
      <c r="V2" s="86" t="s">
        <v>83</v>
      </c>
      <c r="W2" s="86" t="s">
        <v>238</v>
      </c>
      <c r="X2" s="86" t="s">
        <v>239</v>
      </c>
      <c r="Y2" s="86" t="s">
        <v>240</v>
      </c>
      <c r="Z2" s="86" t="s">
        <v>242</v>
      </c>
      <c r="AA2" s="86" t="s">
        <v>241</v>
      </c>
      <c r="AC2" s="384" t="s">
        <v>859</v>
      </c>
      <c r="AD2" s="385" t="s">
        <v>72</v>
      </c>
      <c r="AO2" t="s">
        <v>485</v>
      </c>
      <c r="BA2" s="65">
        <v>0</v>
      </c>
      <c r="BB2" s="65"/>
      <c r="BC2" s="65">
        <v>0</v>
      </c>
      <c r="DA2" t="s">
        <v>489</v>
      </c>
    </row>
    <row r="3" spans="1:135" customFormat="1" ht="17.25" x14ac:dyDescent="0.25">
      <c r="A3" s="137" t="s">
        <v>5</v>
      </c>
      <c r="B3" s="176" t="s">
        <v>5</v>
      </c>
      <c r="C3" s="177">
        <v>3</v>
      </c>
      <c r="D3" s="178"/>
      <c r="E3" s="175">
        <v>12</v>
      </c>
      <c r="F3" s="163" t="s">
        <v>6</v>
      </c>
      <c r="G3" s="163" t="s">
        <v>7</v>
      </c>
      <c r="H3" s="164" t="s">
        <v>101</v>
      </c>
      <c r="I3" s="189"/>
      <c r="J3" s="398"/>
      <c r="K3" s="397"/>
      <c r="L3" t="s">
        <v>929</v>
      </c>
      <c r="M3" s="16"/>
      <c r="N3" s="315"/>
      <c r="O3" s="317"/>
      <c r="P3" s="16"/>
      <c r="T3" s="16" t="s">
        <v>922</v>
      </c>
      <c r="Z3" s="87"/>
      <c r="AA3" s="87"/>
      <c r="AC3" s="386"/>
      <c r="AD3" s="387"/>
    </row>
    <row r="4" spans="1:135" customFormat="1" ht="17.25" x14ac:dyDescent="0.25">
      <c r="A4" s="137" t="s">
        <v>8</v>
      </c>
      <c r="B4" s="176" t="s">
        <v>8</v>
      </c>
      <c r="C4" s="177">
        <v>5</v>
      </c>
      <c r="D4" s="178"/>
      <c r="E4" s="175">
        <v>18</v>
      </c>
      <c r="F4" s="163" t="s">
        <v>9</v>
      </c>
      <c r="G4" s="163" t="s">
        <v>10</v>
      </c>
      <c r="H4" s="164" t="s">
        <v>101</v>
      </c>
      <c r="I4" s="189"/>
      <c r="J4" s="190"/>
      <c r="K4" s="191"/>
      <c r="N4" s="315"/>
      <c r="O4" s="316"/>
      <c r="P4" s="16"/>
      <c r="T4" s="87"/>
      <c r="Z4" s="87"/>
      <c r="AA4" s="87"/>
      <c r="AC4" s="386"/>
      <c r="AD4" s="387"/>
    </row>
    <row r="5" spans="1:135" customFormat="1" ht="17.25" x14ac:dyDescent="0.25">
      <c r="A5" s="225" t="s">
        <v>11</v>
      </c>
      <c r="B5" s="226" t="s">
        <v>11</v>
      </c>
      <c r="C5" s="227">
        <v>12</v>
      </c>
      <c r="D5" s="228"/>
      <c r="E5" s="229">
        <v>10</v>
      </c>
      <c r="F5" s="230" t="s">
        <v>12</v>
      </c>
      <c r="G5" s="230" t="s">
        <v>13</v>
      </c>
      <c r="H5" s="231" t="s">
        <v>101</v>
      </c>
      <c r="I5" s="232"/>
      <c r="J5" s="233"/>
      <c r="K5" s="234"/>
      <c r="L5" s="16"/>
      <c r="M5" s="17"/>
      <c r="N5" s="315"/>
      <c r="O5" s="317"/>
      <c r="P5" s="16"/>
      <c r="Q5" s="16"/>
      <c r="R5" s="16"/>
      <c r="S5" s="16"/>
      <c r="T5" s="87"/>
      <c r="Z5" s="87"/>
      <c r="AA5" s="87"/>
      <c r="AB5" s="16"/>
      <c r="AC5" s="386"/>
      <c r="AD5" s="387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235" t="s">
        <v>5</v>
      </c>
      <c r="DB5" s="235" t="s">
        <v>84</v>
      </c>
      <c r="DC5" s="236" t="s">
        <v>85</v>
      </c>
      <c r="DD5" s="235" t="s">
        <v>491</v>
      </c>
      <c r="DE5" s="235" t="s">
        <v>491</v>
      </c>
      <c r="DF5" s="236" t="s">
        <v>85</v>
      </c>
      <c r="DG5" s="237" t="e">
        <v>#VALUE!</v>
      </c>
      <c r="DH5" s="235">
        <v>9648.5200000000677</v>
      </c>
      <c r="DI5" s="238" t="e">
        <v>#N/A</v>
      </c>
      <c r="DJ5" s="235">
        <v>0</v>
      </c>
      <c r="DK5" s="239" t="s">
        <v>85</v>
      </c>
      <c r="DL5" s="240">
        <v>0</v>
      </c>
      <c r="DM5" s="240">
        <v>0</v>
      </c>
      <c r="DN5" s="235" t="s">
        <v>493</v>
      </c>
      <c r="DO5" s="235" t="s">
        <v>492</v>
      </c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</row>
    <row r="6" spans="1:135" customFormat="1" ht="17.25" x14ac:dyDescent="0.25">
      <c r="A6" s="225" t="s">
        <v>12</v>
      </c>
      <c r="B6" s="226" t="s">
        <v>12</v>
      </c>
      <c r="C6" s="227">
        <v>18</v>
      </c>
      <c r="D6" s="228"/>
      <c r="E6" s="229">
        <v>22</v>
      </c>
      <c r="F6" s="230" t="s">
        <v>46</v>
      </c>
      <c r="G6" s="230" t="s">
        <v>318</v>
      </c>
      <c r="H6" s="231" t="s">
        <v>101</v>
      </c>
      <c r="I6" s="232"/>
      <c r="J6" s="233"/>
      <c r="K6" s="234"/>
      <c r="L6" s="16"/>
      <c r="M6" s="16"/>
      <c r="N6" s="319" t="s">
        <v>800</v>
      </c>
      <c r="O6" s="320"/>
      <c r="P6" s="16"/>
      <c r="Q6" s="16"/>
      <c r="R6" s="16"/>
      <c r="S6" s="16"/>
      <c r="T6" s="87"/>
      <c r="U6" s="87"/>
      <c r="Z6" s="87"/>
      <c r="AA6" s="87"/>
      <c r="AB6" s="16"/>
      <c r="AC6" s="386"/>
      <c r="AD6" s="387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</row>
    <row r="7" spans="1:135" customFormat="1" ht="18" thickBot="1" x14ac:dyDescent="0.3">
      <c r="A7" s="225" t="s">
        <v>14</v>
      </c>
      <c r="B7" s="226" t="s">
        <v>14</v>
      </c>
      <c r="C7" s="241">
        <v>28</v>
      </c>
      <c r="D7" s="242"/>
      <c r="E7" s="229">
        <v>7</v>
      </c>
      <c r="F7" s="230" t="s">
        <v>15</v>
      </c>
      <c r="G7" s="230" t="s">
        <v>16</v>
      </c>
      <c r="H7" s="231" t="s">
        <v>101</v>
      </c>
      <c r="I7" s="232"/>
      <c r="J7" s="233"/>
      <c r="K7" s="234"/>
      <c r="L7" s="318" t="s">
        <v>823</v>
      </c>
      <c r="M7" s="318" t="b">
        <v>1</v>
      </c>
      <c r="N7" s="319" t="s">
        <v>72</v>
      </c>
      <c r="O7" s="320"/>
      <c r="P7" s="16"/>
      <c r="Q7" s="16"/>
      <c r="R7" s="16"/>
      <c r="S7" s="16"/>
      <c r="T7" s="87"/>
      <c r="Z7" s="87"/>
      <c r="AA7" s="87"/>
      <c r="AB7" s="16"/>
      <c r="AC7" s="386"/>
      <c r="AD7" s="387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</row>
    <row r="8" spans="1:135" customFormat="1" ht="17.25" x14ac:dyDescent="0.25">
      <c r="A8" s="225" t="s">
        <v>17</v>
      </c>
      <c r="B8" s="243" t="s">
        <v>17</v>
      </c>
      <c r="C8" s="244" t="str">
        <f t="shared" ref="C8:C21" si="0">+IFERROR(IF(B8="","",(VLOOKUP(B8,$F$2:$H$55,3,0))),"State Wrong")</f>
        <v>OK</v>
      </c>
      <c r="D8" s="16"/>
      <c r="E8" s="245">
        <v>30</v>
      </c>
      <c r="F8" s="230" t="s">
        <v>18</v>
      </c>
      <c r="G8" s="230" t="s">
        <v>19</v>
      </c>
      <c r="H8" s="231" t="s">
        <v>101</v>
      </c>
      <c r="I8" s="232"/>
      <c r="J8" s="233"/>
      <c r="K8" s="234"/>
      <c r="L8" s="318" t="s">
        <v>822</v>
      </c>
      <c r="M8" s="318" t="b">
        <v>1</v>
      </c>
      <c r="N8" s="319" t="s">
        <v>801</v>
      </c>
      <c r="O8" s="320"/>
      <c r="P8" s="16"/>
      <c r="Q8" s="16"/>
      <c r="R8" s="16"/>
      <c r="S8" s="16"/>
      <c r="T8" s="87"/>
      <c r="Z8" s="87"/>
      <c r="AA8" s="87"/>
      <c r="AB8" s="16"/>
      <c r="AC8" s="386"/>
      <c r="AD8" s="387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</row>
    <row r="9" spans="1:135" customFormat="1" ht="17.25" x14ac:dyDescent="0.25">
      <c r="A9" s="225" t="s">
        <v>20</v>
      </c>
      <c r="B9" s="243" t="s">
        <v>20</v>
      </c>
      <c r="C9" s="140" t="str">
        <f t="shared" si="0"/>
        <v>OK</v>
      </c>
      <c r="D9" s="16"/>
      <c r="E9" s="245">
        <v>24</v>
      </c>
      <c r="F9" s="230" t="s">
        <v>5</v>
      </c>
      <c r="G9" s="230" t="s">
        <v>21</v>
      </c>
      <c r="H9" s="231" t="s">
        <v>101</v>
      </c>
      <c r="I9" s="232"/>
      <c r="J9" s="233"/>
      <c r="K9" s="234"/>
      <c r="L9" s="318" t="s">
        <v>807</v>
      </c>
      <c r="M9" s="318" t="b">
        <v>0</v>
      </c>
      <c r="N9" s="319" t="s">
        <v>802</v>
      </c>
      <c r="O9" s="321"/>
      <c r="P9" s="16"/>
      <c r="Q9" s="16"/>
      <c r="R9" s="16"/>
      <c r="S9" s="16"/>
      <c r="T9" s="87"/>
      <c r="W9" s="87"/>
      <c r="X9" s="87"/>
      <c r="Z9" s="87"/>
      <c r="AA9" s="87"/>
      <c r="AB9" s="16"/>
      <c r="AC9" s="386"/>
      <c r="AD9" s="387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</row>
    <row r="10" spans="1:135" customFormat="1" ht="17.25" x14ac:dyDescent="0.25">
      <c r="A10" s="138" t="s">
        <v>144</v>
      </c>
      <c r="B10" s="246" t="s">
        <v>66</v>
      </c>
      <c r="C10" s="140" t="str">
        <f t="shared" si="0"/>
        <v>OK</v>
      </c>
      <c r="D10" s="16"/>
      <c r="E10" s="245">
        <v>6</v>
      </c>
      <c r="F10" s="230" t="s">
        <v>23</v>
      </c>
      <c r="G10" s="230" t="s">
        <v>24</v>
      </c>
      <c r="H10" s="231" t="s">
        <v>101</v>
      </c>
      <c r="I10" s="232"/>
      <c r="J10" s="233"/>
      <c r="K10" s="234"/>
      <c r="L10" s="318" t="s">
        <v>908</v>
      </c>
      <c r="M10" s="318" t="b">
        <v>0</v>
      </c>
      <c r="N10" s="319" t="s">
        <v>804</v>
      </c>
      <c r="O10" s="320"/>
      <c r="P10" s="16"/>
      <c r="Q10" s="16"/>
      <c r="R10" s="16"/>
      <c r="S10" s="16"/>
      <c r="T10" s="87"/>
      <c r="U10" s="87"/>
      <c r="W10" s="87"/>
      <c r="X10" s="87"/>
      <c r="Z10" s="87"/>
      <c r="AA10" s="87"/>
      <c r="AB10" s="16"/>
      <c r="AC10" s="386"/>
      <c r="AD10" s="387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</row>
    <row r="11" spans="1:135" customFormat="1" ht="17.25" x14ac:dyDescent="0.25">
      <c r="A11" s="225" t="s">
        <v>22</v>
      </c>
      <c r="B11" s="243" t="s">
        <v>50</v>
      </c>
      <c r="C11" s="140" t="str">
        <f t="shared" si="0"/>
        <v>OK</v>
      </c>
      <c r="D11" s="16"/>
      <c r="E11" s="245">
        <v>2</v>
      </c>
      <c r="F11" s="230" t="s">
        <v>26</v>
      </c>
      <c r="G11" s="230" t="s">
        <v>27</v>
      </c>
      <c r="H11" s="231" t="s">
        <v>101</v>
      </c>
      <c r="I11" s="232"/>
      <c r="J11" s="233"/>
      <c r="K11" s="234"/>
      <c r="L11" s="318" t="s">
        <v>808</v>
      </c>
      <c r="M11" s="318" t="b">
        <v>1</v>
      </c>
      <c r="N11" s="319" t="s">
        <v>805</v>
      </c>
      <c r="O11" s="321"/>
      <c r="P11" s="16"/>
      <c r="Q11" s="16"/>
      <c r="R11" s="16"/>
      <c r="S11" s="16"/>
      <c r="AA11" s="87"/>
      <c r="AB11" s="16"/>
      <c r="AC11" s="388"/>
      <c r="AD11" s="387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</row>
    <row r="12" spans="1:135" customFormat="1" ht="17.25" x14ac:dyDescent="0.25">
      <c r="A12" s="225" t="s">
        <v>25</v>
      </c>
      <c r="B12" s="243" t="s">
        <v>25</v>
      </c>
      <c r="C12" s="140" t="str">
        <f t="shared" si="0"/>
        <v>OK</v>
      </c>
      <c r="D12" s="16"/>
      <c r="E12" s="245">
        <v>1</v>
      </c>
      <c r="F12" s="230" t="s">
        <v>29</v>
      </c>
      <c r="G12" s="230" t="s">
        <v>30</v>
      </c>
      <c r="H12" s="231" t="s">
        <v>101</v>
      </c>
      <c r="I12" s="232"/>
      <c r="J12" s="233"/>
      <c r="K12" s="234"/>
      <c r="L12" s="16" t="s">
        <v>896</v>
      </c>
      <c r="M12" s="318" t="b">
        <v>1</v>
      </c>
      <c r="N12" s="319" t="s">
        <v>803</v>
      </c>
      <c r="O12" s="321"/>
      <c r="P12" s="16"/>
      <c r="Q12" s="16"/>
      <c r="R12" s="16"/>
      <c r="S12" s="16"/>
      <c r="T12" s="87"/>
      <c r="U12" s="87"/>
      <c r="Z12" s="87"/>
      <c r="AA12" s="87"/>
      <c r="AB12" s="16"/>
      <c r="AC12" s="388"/>
      <c r="AD12" s="387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</row>
    <row r="13" spans="1:135" customFormat="1" ht="18" thickBot="1" x14ac:dyDescent="0.3">
      <c r="A13" s="225" t="s">
        <v>28</v>
      </c>
      <c r="B13" s="243" t="s">
        <v>28</v>
      </c>
      <c r="C13" s="140" t="str">
        <f t="shared" si="0"/>
        <v>OK</v>
      </c>
      <c r="D13" s="16"/>
      <c r="E13" s="245">
        <v>20</v>
      </c>
      <c r="F13" s="230" t="s">
        <v>8</v>
      </c>
      <c r="G13" s="230" t="s">
        <v>32</v>
      </c>
      <c r="H13" s="231" t="s">
        <v>101</v>
      </c>
      <c r="I13" s="232"/>
      <c r="J13" s="233"/>
      <c r="K13" s="234"/>
      <c r="L13" s="318" t="s">
        <v>809</v>
      </c>
      <c r="M13" s="318" t="b">
        <v>0</v>
      </c>
      <c r="N13" s="322" t="s">
        <v>825</v>
      </c>
      <c r="O13" s="325"/>
      <c r="P13" s="16"/>
      <c r="Q13" s="16"/>
      <c r="R13" s="16"/>
      <c r="S13" s="16"/>
      <c r="T13" s="82"/>
      <c r="Z13" s="82"/>
      <c r="AA13" s="87"/>
      <c r="AB13" s="16"/>
      <c r="AC13" s="388"/>
      <c r="AD13" s="387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</row>
    <row r="14" spans="1:135" customFormat="1" ht="17.25" x14ac:dyDescent="0.25">
      <c r="A14" s="225" t="s">
        <v>31</v>
      </c>
      <c r="B14" s="243" t="s">
        <v>31</v>
      </c>
      <c r="C14" s="140" t="str">
        <f t="shared" si="0"/>
        <v>OK</v>
      </c>
      <c r="D14" s="16"/>
      <c r="E14" s="245">
        <v>29</v>
      </c>
      <c r="F14" s="230" t="s">
        <v>14</v>
      </c>
      <c r="G14" s="230" t="s">
        <v>34</v>
      </c>
      <c r="H14" s="231" t="s">
        <v>101</v>
      </c>
      <c r="I14" s="232"/>
      <c r="J14" s="233"/>
      <c r="K14" s="234"/>
      <c r="L14" s="318" t="s">
        <v>810</v>
      </c>
      <c r="M14" s="318" t="b">
        <v>1</v>
      </c>
      <c r="N14" s="324"/>
      <c r="O14" s="18"/>
      <c r="P14" s="16"/>
      <c r="Q14" s="16"/>
      <c r="R14" s="16"/>
      <c r="S14" s="16"/>
      <c r="T14" s="82"/>
      <c r="Z14" s="82"/>
      <c r="AA14" s="87"/>
      <c r="AB14" s="16"/>
      <c r="AC14" s="388"/>
      <c r="AD14" s="387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</row>
    <row r="15" spans="1:135" customFormat="1" ht="17.25" x14ac:dyDescent="0.25">
      <c r="A15" s="225" t="s">
        <v>33</v>
      </c>
      <c r="B15" s="243" t="s">
        <v>33</v>
      </c>
      <c r="C15" s="140" t="str">
        <f t="shared" si="0"/>
        <v>OK</v>
      </c>
      <c r="D15" s="16"/>
      <c r="E15" s="245">
        <v>32</v>
      </c>
      <c r="F15" s="230" t="s">
        <v>11</v>
      </c>
      <c r="G15" s="230" t="s">
        <v>35</v>
      </c>
      <c r="H15" s="231" t="s">
        <v>101</v>
      </c>
      <c r="I15" s="232"/>
      <c r="J15" s="233"/>
      <c r="K15" s="234"/>
      <c r="L15" s="318" t="s">
        <v>811</v>
      </c>
      <c r="M15" s="318" t="b">
        <v>1</v>
      </c>
      <c r="N15" s="16"/>
      <c r="O15" s="16"/>
      <c r="P15" s="16"/>
      <c r="Q15" s="16"/>
      <c r="R15" s="16"/>
      <c r="S15" s="16"/>
      <c r="T15" s="87"/>
      <c r="U15" s="87"/>
      <c r="Z15" s="87"/>
      <c r="AA15" s="87"/>
      <c r="AB15" s="16"/>
      <c r="AC15" s="388"/>
      <c r="AD15" s="387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</row>
    <row r="16" spans="1:135" customFormat="1" ht="17.25" x14ac:dyDescent="0.25">
      <c r="A16" s="225" t="s">
        <v>3</v>
      </c>
      <c r="B16" s="243" t="s">
        <v>3</v>
      </c>
      <c r="C16" s="140">
        <f t="shared" si="0"/>
        <v>0</v>
      </c>
      <c r="D16" s="16"/>
      <c r="E16" s="245">
        <v>31</v>
      </c>
      <c r="F16" s="230" t="s">
        <v>319</v>
      </c>
      <c r="G16" s="230" t="s">
        <v>320</v>
      </c>
      <c r="H16" s="231" t="s">
        <v>101</v>
      </c>
      <c r="I16" s="232"/>
      <c r="J16" s="233"/>
      <c r="K16" s="234"/>
      <c r="L16" s="318" t="s">
        <v>812</v>
      </c>
      <c r="M16" s="318" t="b">
        <v>1</v>
      </c>
      <c r="N16" s="16"/>
      <c r="O16" s="313"/>
      <c r="P16" s="16"/>
      <c r="Q16" s="16"/>
      <c r="R16" s="16"/>
      <c r="S16" s="16"/>
      <c r="AA16" s="87"/>
      <c r="AB16" s="16"/>
      <c r="AC16" s="388"/>
      <c r="AD16" s="387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</row>
    <row r="17" spans="1:135 16348:16365" customFormat="1" ht="17.25" x14ac:dyDescent="0.25">
      <c r="A17" s="225" t="s">
        <v>36</v>
      </c>
      <c r="B17" s="243" t="s">
        <v>51</v>
      </c>
      <c r="C17" s="140" t="str">
        <f t="shared" si="0"/>
        <v>OK</v>
      </c>
      <c r="D17" s="16"/>
      <c r="E17" s="245">
        <v>23</v>
      </c>
      <c r="F17" s="230" t="s">
        <v>17</v>
      </c>
      <c r="G17" s="230" t="s">
        <v>38</v>
      </c>
      <c r="H17" s="231" t="s">
        <v>101</v>
      </c>
      <c r="I17" s="232"/>
      <c r="J17" s="233"/>
      <c r="K17" s="234"/>
      <c r="L17" s="318" t="s">
        <v>909</v>
      </c>
      <c r="M17" s="318" t="b">
        <v>0</v>
      </c>
      <c r="N17" s="16" t="s">
        <v>911</v>
      </c>
      <c r="O17" s="179">
        <v>0</v>
      </c>
      <c r="P17" s="16"/>
      <c r="Q17" s="16"/>
      <c r="R17" s="16"/>
      <c r="S17" s="16"/>
      <c r="T17" s="87"/>
      <c r="U17" s="87"/>
      <c r="Z17" s="87"/>
      <c r="AA17" s="87"/>
      <c r="AB17" s="16"/>
      <c r="AC17" s="388"/>
      <c r="AD17" s="387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</row>
    <row r="18" spans="1:135 16348:16365" customFormat="1" ht="17.25" x14ac:dyDescent="0.25">
      <c r="A18" s="225" t="s">
        <v>37</v>
      </c>
      <c r="B18" s="243" t="s">
        <v>37</v>
      </c>
      <c r="C18" s="140" t="str">
        <f t="shared" si="0"/>
        <v>OK</v>
      </c>
      <c r="D18" s="16"/>
      <c r="E18" s="245">
        <v>27</v>
      </c>
      <c r="F18" s="230" t="s">
        <v>2</v>
      </c>
      <c r="G18" s="230" t="s">
        <v>40</v>
      </c>
      <c r="H18" s="231" t="s">
        <v>101</v>
      </c>
      <c r="I18" s="232"/>
      <c r="J18" s="233"/>
      <c r="K18" s="234"/>
      <c r="L18" s="318" t="s">
        <v>815</v>
      </c>
      <c r="M18" s="318" t="b">
        <v>0</v>
      </c>
      <c r="N18" s="16" t="s">
        <v>912</v>
      </c>
      <c r="O18" s="177">
        <v>3</v>
      </c>
      <c r="P18" s="16"/>
      <c r="Q18" s="16"/>
      <c r="R18" s="16"/>
      <c r="S18" s="16"/>
      <c r="AA18" s="87"/>
      <c r="AB18" s="16"/>
      <c r="AC18" s="388"/>
      <c r="AD18" s="387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</row>
    <row r="19" spans="1:135 16348:16365" customFormat="1" ht="17.25" x14ac:dyDescent="0.25">
      <c r="A19" s="225" t="s">
        <v>39</v>
      </c>
      <c r="B19" s="243" t="s">
        <v>39</v>
      </c>
      <c r="C19" s="140" t="str">
        <f t="shared" si="0"/>
        <v>OK</v>
      </c>
      <c r="D19" s="16"/>
      <c r="E19" s="245">
        <v>14</v>
      </c>
      <c r="F19" s="230" t="s">
        <v>39</v>
      </c>
      <c r="G19" s="230" t="s">
        <v>41</v>
      </c>
      <c r="H19" s="231" t="s">
        <v>101</v>
      </c>
      <c r="I19" s="232"/>
      <c r="J19" s="233"/>
      <c r="K19" s="234"/>
      <c r="L19" s="318" t="s">
        <v>813</v>
      </c>
      <c r="M19" s="318" t="b">
        <v>0</v>
      </c>
      <c r="N19" s="16" t="s">
        <v>913</v>
      </c>
      <c r="O19" s="177">
        <v>5</v>
      </c>
      <c r="P19" s="16"/>
      <c r="Q19" s="16"/>
      <c r="R19" s="16"/>
      <c r="S19" s="16"/>
      <c r="T19" s="87"/>
      <c r="U19" s="87"/>
      <c r="Z19" s="87"/>
      <c r="AA19" s="87"/>
      <c r="AB19" s="16"/>
      <c r="AC19" s="388"/>
      <c r="AD19" s="387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</row>
    <row r="20" spans="1:135 16348:16365" customFormat="1" ht="17.25" x14ac:dyDescent="0.25">
      <c r="A20" s="225" t="s">
        <v>15</v>
      </c>
      <c r="B20" s="243" t="s">
        <v>15</v>
      </c>
      <c r="C20" s="140" t="str">
        <f t="shared" si="0"/>
        <v>OK</v>
      </c>
      <c r="D20" s="16"/>
      <c r="E20" s="245">
        <v>17</v>
      </c>
      <c r="F20" s="230" t="s">
        <v>42</v>
      </c>
      <c r="G20" s="230" t="s">
        <v>43</v>
      </c>
      <c r="H20" s="231" t="s">
        <v>101</v>
      </c>
      <c r="I20" s="232"/>
      <c r="J20" s="233"/>
      <c r="K20" s="234"/>
      <c r="L20" s="318" t="s">
        <v>814</v>
      </c>
      <c r="M20" s="318" t="b">
        <v>0</v>
      </c>
      <c r="N20" s="16" t="s">
        <v>914</v>
      </c>
      <c r="O20" s="227">
        <v>12</v>
      </c>
      <c r="P20" s="16"/>
      <c r="Q20" s="16"/>
      <c r="R20" s="16"/>
      <c r="S20" s="16"/>
      <c r="AA20" s="87"/>
      <c r="AB20" s="16"/>
      <c r="AC20" s="388"/>
      <c r="AD20" s="387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</row>
    <row r="21" spans="1:135 16348:16365" customFormat="1" ht="17.25" x14ac:dyDescent="0.25">
      <c r="A21" s="225" t="s">
        <v>9</v>
      </c>
      <c r="B21" s="243" t="s">
        <v>9</v>
      </c>
      <c r="C21" s="140" t="str">
        <f t="shared" si="0"/>
        <v>OK</v>
      </c>
      <c r="D21" s="16"/>
      <c r="E21" s="245">
        <v>15</v>
      </c>
      <c r="F21" s="230" t="s">
        <v>44</v>
      </c>
      <c r="G21" s="230" t="s">
        <v>45</v>
      </c>
      <c r="H21" s="231" t="s">
        <v>101</v>
      </c>
      <c r="I21" s="232"/>
      <c r="J21" s="233"/>
      <c r="K21" s="234"/>
      <c r="L21" s="318" t="s">
        <v>816</v>
      </c>
      <c r="M21" s="318" t="b">
        <v>0</v>
      </c>
      <c r="N21" s="16" t="s">
        <v>915</v>
      </c>
      <c r="O21" s="227">
        <v>18</v>
      </c>
      <c r="P21" s="16"/>
      <c r="Q21" s="16"/>
      <c r="R21" s="16"/>
      <c r="S21" s="16"/>
      <c r="T21" s="87"/>
      <c r="Z21" s="87"/>
      <c r="AA21" s="87"/>
      <c r="AB21" s="16"/>
      <c r="AC21" s="388"/>
      <c r="AD21" s="387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</row>
    <row r="22" spans="1:135 16348:16365" customFormat="1" ht="18" thickBot="1" x14ac:dyDescent="0.3">
      <c r="A22" s="225" t="s">
        <v>23</v>
      </c>
      <c r="B22" s="243" t="s">
        <v>23</v>
      </c>
      <c r="C22" s="140" t="str">
        <f t="shared" ref="C22:C76" si="1">+IFERROR(IF(B22="","",(VLOOKUP(B22,$F$2:$H$55,3,0))),"State Wrong")</f>
        <v>OK</v>
      </c>
      <c r="D22" s="16"/>
      <c r="E22" s="245">
        <v>13</v>
      </c>
      <c r="F22" s="230" t="s">
        <v>47</v>
      </c>
      <c r="G22" s="230" t="s">
        <v>48</v>
      </c>
      <c r="H22" s="231" t="s">
        <v>101</v>
      </c>
      <c r="I22" s="232"/>
      <c r="J22" s="233"/>
      <c r="K22" s="234"/>
      <c r="L22" s="318" t="s">
        <v>817</v>
      </c>
      <c r="M22" s="318" t="b">
        <v>0</v>
      </c>
      <c r="N22" s="16" t="s">
        <v>916</v>
      </c>
      <c r="O22" s="241">
        <v>28</v>
      </c>
      <c r="P22" s="16"/>
      <c r="Q22" s="16"/>
      <c r="R22" s="16"/>
      <c r="S22" s="16"/>
      <c r="T22" s="87"/>
      <c r="U22" s="87"/>
      <c r="Z22" s="87"/>
      <c r="AA22" s="87"/>
      <c r="AB22" s="16"/>
      <c r="AC22" s="389"/>
      <c r="AD22" s="390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</row>
    <row r="23" spans="1:135 16348:16365" customFormat="1" ht="17.25" x14ac:dyDescent="0.25">
      <c r="A23" s="225" t="s">
        <v>46</v>
      </c>
      <c r="B23" s="243" t="s">
        <v>46</v>
      </c>
      <c r="C23" s="140" t="str">
        <f t="shared" si="1"/>
        <v>OK</v>
      </c>
      <c r="D23" s="16"/>
      <c r="E23" s="245">
        <v>21</v>
      </c>
      <c r="F23" s="230" t="s">
        <v>50</v>
      </c>
      <c r="G23" s="230" t="s">
        <v>321</v>
      </c>
      <c r="H23" s="231" t="s">
        <v>101</v>
      </c>
      <c r="I23" s="232"/>
      <c r="J23" s="233"/>
      <c r="K23" s="234"/>
      <c r="L23" s="318" t="s">
        <v>818</v>
      </c>
      <c r="M23" s="318" t="b">
        <v>0</v>
      </c>
      <c r="N23" s="16"/>
      <c r="O23" s="16"/>
      <c r="P23" s="16"/>
      <c r="Q23" s="16"/>
      <c r="R23" s="16"/>
      <c r="S23" s="16"/>
      <c r="T23" s="87"/>
      <c r="U23" s="87"/>
      <c r="Z23" s="87"/>
      <c r="AA23" s="87"/>
      <c r="AB23" s="16"/>
      <c r="AC23" s="16"/>
      <c r="AD23" s="21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</row>
    <row r="24" spans="1:135 16348:16365" customFormat="1" ht="17.25" x14ac:dyDescent="0.25">
      <c r="A24" s="225" t="s">
        <v>49</v>
      </c>
      <c r="B24" s="243" t="s">
        <v>49</v>
      </c>
      <c r="C24" s="140" t="str">
        <f t="shared" si="1"/>
        <v>OK</v>
      </c>
      <c r="D24" s="16"/>
      <c r="E24" s="245">
        <v>34</v>
      </c>
      <c r="F24" s="230" t="s">
        <v>51</v>
      </c>
      <c r="G24" s="230" t="s">
        <v>52</v>
      </c>
      <c r="H24" s="231" t="s">
        <v>101</v>
      </c>
      <c r="I24" s="232"/>
      <c r="J24" s="233"/>
      <c r="K24" s="234"/>
      <c r="L24" s="318" t="s">
        <v>819</v>
      </c>
      <c r="M24" s="318" t="b">
        <v>0</v>
      </c>
      <c r="N24" s="16"/>
      <c r="O24" s="16"/>
      <c r="P24" s="16"/>
      <c r="Q24" s="16"/>
      <c r="R24" s="16"/>
      <c r="S24" s="16"/>
      <c r="T24" s="87"/>
      <c r="Z24" s="87"/>
      <c r="AA24" s="87"/>
      <c r="AB24" s="16"/>
      <c r="AC24" s="16"/>
      <c r="AD24" s="21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</row>
    <row r="25" spans="1:135 16348:16365" customFormat="1" ht="17.25" x14ac:dyDescent="0.25">
      <c r="A25" s="225" t="s">
        <v>18</v>
      </c>
      <c r="B25" s="243" t="s">
        <v>18</v>
      </c>
      <c r="C25" s="140" t="str">
        <f t="shared" si="1"/>
        <v>OK</v>
      </c>
      <c r="D25" s="16"/>
      <c r="E25" s="245">
        <v>3</v>
      </c>
      <c r="F25" s="230" t="s">
        <v>33</v>
      </c>
      <c r="G25" s="230" t="s">
        <v>56</v>
      </c>
      <c r="H25" s="231" t="s">
        <v>101</v>
      </c>
      <c r="I25" s="232"/>
      <c r="J25" s="233"/>
      <c r="K25" s="234"/>
      <c r="L25" s="318" t="s">
        <v>846</v>
      </c>
      <c r="M25" s="16" t="b">
        <v>0</v>
      </c>
      <c r="N25" s="16"/>
      <c r="O25" s="16"/>
      <c r="P25" s="16"/>
      <c r="Q25" s="16"/>
      <c r="R25" s="16"/>
      <c r="S25" s="16"/>
      <c r="T25" s="87"/>
      <c r="Z25" s="87"/>
      <c r="AA25" s="87"/>
      <c r="AB25" s="16"/>
      <c r="AC25" s="16"/>
      <c r="AD25" s="21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</row>
    <row r="26" spans="1:135 16348:16365" customFormat="1" ht="17.25" x14ac:dyDescent="0.25">
      <c r="A26" s="225" t="s">
        <v>53</v>
      </c>
      <c r="B26" s="243" t="s">
        <v>53</v>
      </c>
      <c r="C26" s="140" t="str">
        <f t="shared" si="1"/>
        <v>OK</v>
      </c>
      <c r="D26" s="16"/>
      <c r="E26" s="245">
        <v>8</v>
      </c>
      <c r="F26" s="230" t="s">
        <v>20</v>
      </c>
      <c r="G26" s="230" t="s">
        <v>57</v>
      </c>
      <c r="H26" s="231" t="s">
        <v>101</v>
      </c>
      <c r="I26" s="232"/>
      <c r="J26" s="233"/>
      <c r="K26" s="234"/>
      <c r="L26" s="318" t="s">
        <v>820</v>
      </c>
      <c r="M26" s="16" t="b">
        <v>0</v>
      </c>
      <c r="N26" s="16"/>
      <c r="O26" s="16"/>
      <c r="P26" s="16"/>
      <c r="Q26" s="16"/>
      <c r="R26" s="16"/>
      <c r="S26" s="16"/>
      <c r="T26" s="87"/>
      <c r="Z26" s="87"/>
      <c r="AA26" s="87"/>
      <c r="AB26" s="16"/>
      <c r="AC26" s="16"/>
      <c r="AD26" s="21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</row>
    <row r="27" spans="1:135 16348:16365" customFormat="1" ht="17.25" x14ac:dyDescent="0.25">
      <c r="A27" s="225" t="s">
        <v>47</v>
      </c>
      <c r="B27" s="243" t="s">
        <v>47</v>
      </c>
      <c r="C27" s="140" t="str">
        <f t="shared" si="1"/>
        <v>OK</v>
      </c>
      <c r="D27" s="16"/>
      <c r="E27" s="245">
        <v>11</v>
      </c>
      <c r="F27" s="230" t="s">
        <v>59</v>
      </c>
      <c r="G27" s="230" t="s">
        <v>60</v>
      </c>
      <c r="H27" s="231" t="s">
        <v>101</v>
      </c>
      <c r="I27" s="232"/>
      <c r="J27" s="233"/>
      <c r="K27" s="234"/>
      <c r="L27" s="318" t="s">
        <v>863</v>
      </c>
      <c r="M27" s="16" t="b">
        <v>0</v>
      </c>
      <c r="N27" s="16"/>
      <c r="O27" s="16"/>
      <c r="P27" s="16"/>
      <c r="Q27" s="16"/>
      <c r="R27" s="16"/>
      <c r="S27" s="16"/>
      <c r="T27" s="87"/>
      <c r="Z27" s="87"/>
      <c r="AA27" s="87"/>
      <c r="AB27" s="16"/>
      <c r="AC27" s="16"/>
      <c r="AD27" s="21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</row>
    <row r="28" spans="1:135 16348:16365" customFormat="1" ht="17.25" x14ac:dyDescent="0.25">
      <c r="A28" s="225" t="s">
        <v>58</v>
      </c>
      <c r="B28" s="243" t="s">
        <v>58</v>
      </c>
      <c r="C28" s="140" t="str">
        <f t="shared" si="1"/>
        <v>OK</v>
      </c>
      <c r="D28" s="16"/>
      <c r="E28" s="245">
        <v>33</v>
      </c>
      <c r="F28" s="230" t="s">
        <v>28</v>
      </c>
      <c r="G28" s="230" t="s">
        <v>61</v>
      </c>
      <c r="H28" s="231" t="s">
        <v>101</v>
      </c>
      <c r="I28" s="232"/>
      <c r="J28" s="233"/>
      <c r="K28" s="234"/>
      <c r="L28" s="318" t="s">
        <v>860</v>
      </c>
      <c r="M28" s="16" t="b">
        <v>0</v>
      </c>
      <c r="N28" s="16"/>
      <c r="O28" s="16"/>
      <c r="P28" s="16"/>
      <c r="Q28" s="16"/>
      <c r="R28" s="16"/>
      <c r="S28" s="16"/>
      <c r="T28" s="87"/>
      <c r="Z28" s="87"/>
      <c r="AA28" s="87"/>
      <c r="AB28" s="16"/>
      <c r="AC28" s="16"/>
      <c r="AD28" s="21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</row>
    <row r="29" spans="1:135 16348:16365" customFormat="1" ht="17.25" x14ac:dyDescent="0.25">
      <c r="A29" s="225" t="s">
        <v>26</v>
      </c>
      <c r="B29" s="243" t="s">
        <v>26</v>
      </c>
      <c r="C29" s="140" t="str">
        <f t="shared" si="1"/>
        <v>OK</v>
      </c>
      <c r="D29" s="16"/>
      <c r="E29" s="245">
        <v>36</v>
      </c>
      <c r="F29" s="230" t="s">
        <v>31</v>
      </c>
      <c r="G29" s="230" t="s">
        <v>322</v>
      </c>
      <c r="H29" s="231" t="s">
        <v>101</v>
      </c>
      <c r="I29" s="232"/>
      <c r="J29" s="233"/>
      <c r="K29" s="234"/>
      <c r="L29" s="318" t="s">
        <v>821</v>
      </c>
      <c r="M29" s="16" t="b">
        <v>0</v>
      </c>
      <c r="N29" s="16"/>
      <c r="O29" s="16"/>
      <c r="P29" s="16"/>
      <c r="Q29" s="16"/>
      <c r="R29" s="16"/>
      <c r="S29" s="16"/>
      <c r="T29" s="87"/>
      <c r="Z29" s="87"/>
      <c r="AA29" s="87"/>
      <c r="AB29" s="16"/>
      <c r="AC29" s="16"/>
      <c r="AD29" s="21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</row>
    <row r="30" spans="1:135 16348:16365" customFormat="1" ht="17.25" x14ac:dyDescent="0.25">
      <c r="A30" s="225" t="s">
        <v>62</v>
      </c>
      <c r="B30" s="243" t="s">
        <v>62</v>
      </c>
      <c r="C30" s="140" t="str">
        <f t="shared" si="1"/>
        <v>OK</v>
      </c>
      <c r="D30" s="16"/>
      <c r="E30" s="245">
        <v>16</v>
      </c>
      <c r="F30" s="230" t="s">
        <v>53</v>
      </c>
      <c r="G30" s="230" t="s">
        <v>323</v>
      </c>
      <c r="H30" s="231" t="s">
        <v>101</v>
      </c>
      <c r="I30" s="232"/>
      <c r="J30" s="233"/>
      <c r="K30" s="234"/>
      <c r="L30" s="16"/>
      <c r="M30" s="16" t="b">
        <v>0</v>
      </c>
      <c r="O30" s="16"/>
      <c r="P30" s="16"/>
      <c r="Q30" s="16"/>
      <c r="R30" s="16"/>
      <c r="S30" s="16"/>
      <c r="AA30" s="87"/>
      <c r="AB30" s="16"/>
      <c r="AC30" s="16"/>
      <c r="AD30" s="21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</row>
    <row r="31" spans="1:135 16348:16365" customFormat="1" ht="17.25" x14ac:dyDescent="0.25">
      <c r="A31" s="225" t="s">
        <v>63</v>
      </c>
      <c r="B31" s="243" t="s">
        <v>63</v>
      </c>
      <c r="C31" s="140" t="str">
        <f t="shared" si="1"/>
        <v>OK</v>
      </c>
      <c r="D31" s="16"/>
      <c r="E31" s="245">
        <v>9</v>
      </c>
      <c r="F31" s="230" t="s">
        <v>25</v>
      </c>
      <c r="G31" s="230" t="s">
        <v>64</v>
      </c>
      <c r="H31" s="231" t="s">
        <v>101</v>
      </c>
      <c r="I31" s="232"/>
      <c r="J31" s="233"/>
      <c r="K31" s="234"/>
      <c r="L31" s="16"/>
      <c r="M31" s="16"/>
      <c r="O31" s="16"/>
      <c r="P31" s="16"/>
      <c r="Q31" s="16"/>
      <c r="R31" s="16"/>
      <c r="S31" s="16"/>
      <c r="AA31" s="87"/>
      <c r="AB31" s="16"/>
      <c r="AC31" s="16"/>
      <c r="AD31" s="21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</row>
    <row r="32" spans="1:135 16348:16365" customFormat="1" ht="18" thickBot="1" x14ac:dyDescent="0.3">
      <c r="A32" s="225" t="s">
        <v>42</v>
      </c>
      <c r="B32" s="243" t="s">
        <v>42</v>
      </c>
      <c r="C32" s="140" t="str">
        <f t="shared" si="1"/>
        <v>OK</v>
      </c>
      <c r="D32" s="16"/>
      <c r="E32" s="245">
        <v>5</v>
      </c>
      <c r="F32" s="230" t="s">
        <v>49</v>
      </c>
      <c r="G32" s="230" t="s">
        <v>324</v>
      </c>
      <c r="H32" s="231" t="s">
        <v>101</v>
      </c>
      <c r="I32" s="232"/>
      <c r="J32" s="247"/>
      <c r="K32" s="234"/>
      <c r="L32" s="16"/>
      <c r="M32" s="16"/>
      <c r="O32" s="16"/>
      <c r="P32" s="16"/>
      <c r="Q32" s="16"/>
      <c r="R32" s="16"/>
      <c r="S32" s="16"/>
      <c r="T32" s="87"/>
      <c r="Z32" s="87"/>
      <c r="AA32" s="87"/>
      <c r="AB32" s="16"/>
      <c r="AC32" s="16"/>
      <c r="AD32" s="21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XDT32" s="16"/>
      <c r="XDU32" s="67"/>
      <c r="XDV32" s="16"/>
      <c r="XDZ32" s="64"/>
      <c r="XEC32" s="64"/>
      <c r="XEE32" s="64"/>
      <c r="XEJ32" s="65"/>
      <c r="XEK32" s="65"/>
    </row>
    <row r="33" spans="1:135 16348:16365" customFormat="1" ht="18" thickBot="1" x14ac:dyDescent="0.3">
      <c r="A33" s="225" t="s">
        <v>6</v>
      </c>
      <c r="B33" s="243" t="s">
        <v>6</v>
      </c>
      <c r="C33" s="140" t="str">
        <f t="shared" si="1"/>
        <v>OK</v>
      </c>
      <c r="D33" s="16"/>
      <c r="E33" s="245">
        <v>19</v>
      </c>
      <c r="F33" s="230" t="s">
        <v>37</v>
      </c>
      <c r="G33" s="230" t="s">
        <v>65</v>
      </c>
      <c r="H33" s="231" t="s">
        <v>101</v>
      </c>
      <c r="I33" s="248"/>
      <c r="J33" s="233"/>
      <c r="K33" s="234"/>
      <c r="L33" s="16"/>
      <c r="M33" s="16"/>
      <c r="O33" s="16"/>
      <c r="P33" s="16"/>
      <c r="Q33" s="16"/>
      <c r="R33" s="16"/>
      <c r="S33" s="16"/>
      <c r="T33" s="87"/>
      <c r="U33" s="87"/>
      <c r="W33" s="87"/>
      <c r="X33" s="87"/>
      <c r="Z33" s="87"/>
      <c r="AA33" s="87"/>
      <c r="AB33" s="16"/>
      <c r="AC33" s="16"/>
      <c r="AD33" s="21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XDT33" s="55"/>
      <c r="XDU33" s="66"/>
      <c r="XDV33" s="55"/>
      <c r="XDY33" s="13"/>
      <c r="XDZ33" s="14"/>
      <c r="XEA33" s="14"/>
      <c r="XEB33" s="14"/>
      <c r="XEC33" s="14"/>
      <c r="XED33" s="14"/>
      <c r="XEE33" s="14"/>
      <c r="XEF33" s="14"/>
      <c r="XEG33" s="14"/>
      <c r="XEH33" s="14"/>
      <c r="XEI33" s="14"/>
      <c r="XEJ33" s="14"/>
      <c r="XEK33" s="15"/>
    </row>
    <row r="34" spans="1:135 16348:16365" customFormat="1" x14ac:dyDescent="0.25">
      <c r="A34" s="225" t="s">
        <v>59</v>
      </c>
      <c r="B34" s="243" t="s">
        <v>59</v>
      </c>
      <c r="C34" s="140" t="str">
        <f t="shared" si="1"/>
        <v>OK</v>
      </c>
      <c r="D34" s="16"/>
      <c r="E34" s="249">
        <v>26</v>
      </c>
      <c r="F34" s="250" t="s">
        <v>62</v>
      </c>
      <c r="G34" s="251" t="s">
        <v>325</v>
      </c>
      <c r="H34" s="231" t="s">
        <v>101</v>
      </c>
      <c r="I34" s="248"/>
      <c r="J34" s="233"/>
      <c r="K34" s="234"/>
      <c r="L34" s="16"/>
      <c r="M34" s="16"/>
      <c r="O34" s="16"/>
      <c r="P34" s="16"/>
      <c r="Q34" s="16"/>
      <c r="R34" s="16"/>
      <c r="S34" s="16"/>
      <c r="T34" s="87"/>
      <c r="U34" s="87"/>
      <c r="W34" s="87"/>
      <c r="X34" s="87"/>
      <c r="Z34" s="87"/>
      <c r="AA34" s="87"/>
      <c r="AB34" s="16"/>
      <c r="AC34" s="16"/>
      <c r="AD34" s="21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</row>
    <row r="35" spans="1:135 16348:16365" customFormat="1" x14ac:dyDescent="0.25">
      <c r="A35" s="225" t="s">
        <v>44</v>
      </c>
      <c r="B35" s="243" t="s">
        <v>44</v>
      </c>
      <c r="C35" s="140" t="str">
        <f t="shared" si="1"/>
        <v>OK</v>
      </c>
      <c r="D35" s="16"/>
      <c r="E35" s="249">
        <v>4</v>
      </c>
      <c r="F35" s="251" t="s">
        <v>66</v>
      </c>
      <c r="G35" s="251" t="s">
        <v>146</v>
      </c>
      <c r="H35" s="231" t="s">
        <v>101</v>
      </c>
      <c r="I35" s="248"/>
      <c r="J35" s="233"/>
      <c r="K35" s="234"/>
      <c r="L35" s="16"/>
      <c r="M35" s="16"/>
      <c r="O35" s="16"/>
      <c r="P35" s="16"/>
      <c r="Q35" s="16"/>
      <c r="R35" s="16"/>
      <c r="S35" s="16"/>
      <c r="T35" s="87"/>
      <c r="U35" s="87"/>
      <c r="Z35" s="87"/>
      <c r="AA35" s="87"/>
      <c r="AB35" s="16"/>
      <c r="AC35" s="16"/>
      <c r="AD35" s="21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  <c r="EB35" s="16"/>
      <c r="EC35" s="16"/>
      <c r="ED35" s="16"/>
      <c r="EE35" s="16"/>
    </row>
    <row r="36" spans="1:135 16348:16365" customFormat="1" x14ac:dyDescent="0.25">
      <c r="A36" s="225" t="s">
        <v>326</v>
      </c>
      <c r="B36" s="243" t="s">
        <v>11</v>
      </c>
      <c r="C36" s="140" t="str">
        <f t="shared" si="1"/>
        <v>OK</v>
      </c>
      <c r="D36" s="16"/>
      <c r="E36" s="249">
        <v>35</v>
      </c>
      <c r="F36" s="250" t="s">
        <v>63</v>
      </c>
      <c r="G36" s="251" t="s">
        <v>145</v>
      </c>
      <c r="H36" s="231" t="s">
        <v>101</v>
      </c>
      <c r="I36" s="248"/>
      <c r="J36" s="233"/>
      <c r="K36" s="234"/>
      <c r="L36" s="16"/>
      <c r="M36" s="16"/>
      <c r="O36" s="16"/>
      <c r="P36" s="16"/>
      <c r="Q36" s="16"/>
      <c r="R36" s="16"/>
      <c r="S36" s="16"/>
      <c r="T36" s="87"/>
      <c r="Z36" s="87"/>
      <c r="AA36" s="87"/>
      <c r="AB36" s="16"/>
      <c r="AC36" s="16"/>
      <c r="AD36" s="21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</row>
    <row r="37" spans="1:135 16348:16365" customFormat="1" ht="15.75" thickBot="1" x14ac:dyDescent="0.3">
      <c r="A37" s="225" t="s">
        <v>327</v>
      </c>
      <c r="B37" s="243" t="s">
        <v>17</v>
      </c>
      <c r="C37" s="140" t="str">
        <f t="shared" si="1"/>
        <v>OK</v>
      </c>
      <c r="D37" s="16"/>
      <c r="E37" s="252">
        <v>38</v>
      </c>
      <c r="F37" s="253" t="s">
        <v>108</v>
      </c>
      <c r="G37" s="253" t="s">
        <v>148</v>
      </c>
      <c r="H37" s="254" t="s">
        <v>101</v>
      </c>
      <c r="I37" s="255"/>
      <c r="J37" s="256"/>
      <c r="K37" s="257"/>
      <c r="L37" s="16"/>
      <c r="M37" s="16"/>
      <c r="O37" s="16"/>
      <c r="P37" s="16"/>
      <c r="Q37" s="16"/>
      <c r="R37" s="16"/>
      <c r="S37" s="16"/>
      <c r="T37" s="87"/>
      <c r="Z37" s="87"/>
      <c r="AA37" s="87"/>
      <c r="AB37" s="16"/>
      <c r="AC37" s="16"/>
      <c r="AD37" s="21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</row>
    <row r="38" spans="1:135 16348:16365" customFormat="1" x14ac:dyDescent="0.25">
      <c r="A38" s="225" t="s">
        <v>328</v>
      </c>
      <c r="B38" s="243" t="s">
        <v>17</v>
      </c>
      <c r="C38" s="140" t="str">
        <f t="shared" si="1"/>
        <v>OK</v>
      </c>
      <c r="D38" s="258"/>
      <c r="E38" s="258"/>
      <c r="F38" s="258"/>
      <c r="G38" s="258"/>
      <c r="H38" s="258"/>
      <c r="I38" s="259"/>
      <c r="J38" s="16"/>
      <c r="K38" s="16"/>
      <c r="L38" s="16"/>
      <c r="M38" s="16"/>
      <c r="O38" s="16"/>
      <c r="P38" s="16"/>
      <c r="Q38" s="16"/>
      <c r="R38" s="16"/>
      <c r="S38" s="16"/>
      <c r="T38" s="87"/>
      <c r="Z38" s="87"/>
      <c r="AA38" s="87"/>
      <c r="AB38" s="16"/>
      <c r="AC38" s="16"/>
      <c r="AD38" s="21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</row>
    <row r="39" spans="1:135 16348:16365" customFormat="1" x14ac:dyDescent="0.25">
      <c r="A39" s="225" t="s">
        <v>329</v>
      </c>
      <c r="B39" s="243" t="s">
        <v>22</v>
      </c>
      <c r="C39" s="140" t="str">
        <f t="shared" si="1"/>
        <v>OK</v>
      </c>
      <c r="D39" s="258"/>
      <c r="E39" s="258"/>
      <c r="F39" s="258"/>
      <c r="G39" s="258"/>
      <c r="H39" s="258"/>
      <c r="I39" s="259"/>
      <c r="J39" s="16"/>
      <c r="K39" s="16"/>
      <c r="L39" s="16"/>
      <c r="M39" s="16"/>
      <c r="O39" s="16"/>
      <c r="P39" s="16"/>
      <c r="Q39" s="16"/>
      <c r="R39" s="16"/>
      <c r="S39" s="16"/>
      <c r="T39" s="87"/>
      <c r="Z39" s="87"/>
      <c r="AA39" s="87"/>
      <c r="AB39" s="16"/>
      <c r="AC39" s="16"/>
      <c r="AD39" s="21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</row>
    <row r="40" spans="1:135 16348:16365" customFormat="1" x14ac:dyDescent="0.25">
      <c r="A40" s="225" t="s">
        <v>330</v>
      </c>
      <c r="B40" s="243" t="s">
        <v>22</v>
      </c>
      <c r="C40" s="140" t="str">
        <f t="shared" si="1"/>
        <v>OK</v>
      </c>
      <c r="D40" s="258"/>
      <c r="E40" s="258"/>
      <c r="F40" s="258"/>
      <c r="G40" s="258"/>
      <c r="H40" s="258"/>
      <c r="I40" s="259"/>
      <c r="J40" s="16"/>
      <c r="K40" s="16"/>
      <c r="L40" s="16"/>
      <c r="M40" s="16"/>
      <c r="O40" s="16"/>
      <c r="P40" s="16"/>
      <c r="Q40" s="16"/>
      <c r="R40" s="16"/>
      <c r="S40" s="16"/>
      <c r="T40" s="87"/>
      <c r="Z40" s="87"/>
      <c r="AA40" s="87"/>
      <c r="AB40" s="16"/>
      <c r="AC40" s="16"/>
      <c r="AD40" s="21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</row>
    <row r="41" spans="1:135 16348:16365" customFormat="1" x14ac:dyDescent="0.25">
      <c r="A41" s="225" t="s">
        <v>331</v>
      </c>
      <c r="B41" s="243" t="s">
        <v>25</v>
      </c>
      <c r="C41" s="140" t="str">
        <f t="shared" si="1"/>
        <v>OK</v>
      </c>
      <c r="D41" s="258"/>
      <c r="E41" s="258"/>
      <c r="F41" s="258"/>
      <c r="G41" s="258"/>
      <c r="H41" s="258"/>
      <c r="I41" s="259"/>
      <c r="J41" s="16"/>
      <c r="K41" s="16"/>
      <c r="L41" s="16"/>
      <c r="M41" s="16"/>
      <c r="O41" s="16"/>
      <c r="P41" s="16"/>
      <c r="Q41" s="16"/>
      <c r="R41" s="16"/>
      <c r="S41" s="16"/>
      <c r="T41" s="87"/>
      <c r="Z41" s="87"/>
      <c r="AA41" s="87"/>
      <c r="AB41" s="16"/>
      <c r="AC41" s="16"/>
      <c r="AD41" s="21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</row>
    <row r="42" spans="1:135 16348:16365" customFormat="1" x14ac:dyDescent="0.25">
      <c r="A42" s="225" t="s">
        <v>332</v>
      </c>
      <c r="B42" s="243" t="s">
        <v>25</v>
      </c>
      <c r="C42" s="140" t="str">
        <f t="shared" si="1"/>
        <v>OK</v>
      </c>
      <c r="D42" s="258"/>
      <c r="E42" s="258"/>
      <c r="F42" s="258"/>
      <c r="G42" s="258"/>
      <c r="H42" s="258"/>
      <c r="I42" s="259"/>
      <c r="J42" s="16"/>
      <c r="K42" s="16"/>
      <c r="L42" s="16"/>
      <c r="M42" s="16"/>
      <c r="O42" s="16"/>
      <c r="P42" s="16"/>
      <c r="Q42" s="16"/>
      <c r="R42" s="16"/>
      <c r="S42" s="16"/>
      <c r="T42" s="87"/>
      <c r="Z42" s="87"/>
      <c r="AA42" s="87"/>
      <c r="AB42" s="16"/>
      <c r="AC42" s="16"/>
      <c r="AD42" s="21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</row>
    <row r="43" spans="1:135 16348:16365" customFormat="1" x14ac:dyDescent="0.25">
      <c r="A43" s="225" t="s">
        <v>333</v>
      </c>
      <c r="B43" s="243" t="s">
        <v>28</v>
      </c>
      <c r="C43" s="140" t="str">
        <f t="shared" si="1"/>
        <v>OK</v>
      </c>
      <c r="D43" s="258"/>
      <c r="E43" s="258"/>
      <c r="F43" s="258"/>
      <c r="G43" s="258"/>
      <c r="H43" s="258"/>
      <c r="I43" s="259"/>
      <c r="J43" s="16"/>
      <c r="K43" s="16"/>
      <c r="L43" s="16"/>
      <c r="M43" s="16"/>
      <c r="O43" s="16"/>
      <c r="P43" s="16"/>
      <c r="Q43" s="16"/>
      <c r="R43" s="16"/>
      <c r="S43" s="16"/>
      <c r="T43" s="87"/>
      <c r="Z43" s="87"/>
      <c r="AA43" s="87"/>
      <c r="AB43" s="16"/>
      <c r="AC43" s="16"/>
      <c r="AD43" s="21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</row>
    <row r="44" spans="1:135 16348:16365" customFormat="1" x14ac:dyDescent="0.25">
      <c r="A44" s="225" t="s">
        <v>67</v>
      </c>
      <c r="B44" s="243" t="s">
        <v>28</v>
      </c>
      <c r="C44" s="140" t="str">
        <f t="shared" si="1"/>
        <v>OK</v>
      </c>
      <c r="D44" s="258"/>
      <c r="E44" s="258"/>
      <c r="F44" s="258"/>
      <c r="G44" s="258"/>
      <c r="H44" s="258"/>
      <c r="I44" s="259"/>
      <c r="J44" s="16"/>
      <c r="K44" s="16"/>
      <c r="L44" s="16"/>
      <c r="M44" s="16"/>
      <c r="O44" s="16"/>
      <c r="P44" s="16"/>
      <c r="Q44" s="16"/>
      <c r="R44" s="16"/>
      <c r="S44" s="16"/>
      <c r="T44" s="87"/>
      <c r="W44" s="87"/>
      <c r="X44" s="87"/>
      <c r="Z44" s="87"/>
      <c r="AA44" s="87"/>
      <c r="AB44" s="16"/>
      <c r="AC44" s="16"/>
      <c r="AD44" s="21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</row>
    <row r="45" spans="1:135 16348:16365" customFormat="1" x14ac:dyDescent="0.25">
      <c r="A45" s="225" t="s">
        <v>68</v>
      </c>
      <c r="B45" s="243" t="s">
        <v>3</v>
      </c>
      <c r="C45" s="140">
        <f t="shared" si="1"/>
        <v>0</v>
      </c>
      <c r="D45" s="258"/>
      <c r="E45" s="258"/>
      <c r="F45" s="258"/>
      <c r="G45" s="258"/>
      <c r="H45" s="258"/>
      <c r="I45" s="259"/>
      <c r="J45" s="16"/>
      <c r="K45" s="16"/>
      <c r="L45" s="16"/>
      <c r="M45" s="16"/>
      <c r="O45" s="16"/>
      <c r="P45" s="16"/>
      <c r="Q45" s="16"/>
      <c r="R45" s="16"/>
      <c r="S45" s="16"/>
      <c r="T45" s="87"/>
      <c r="U45" s="87"/>
      <c r="W45" s="87"/>
      <c r="X45" s="87"/>
      <c r="Z45" s="87"/>
      <c r="AA45" s="87"/>
      <c r="AB45" s="16"/>
      <c r="AC45" s="16"/>
      <c r="AD45" s="21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</row>
    <row r="46" spans="1:135 16348:16365" customFormat="1" x14ac:dyDescent="0.25">
      <c r="A46" s="225" t="s">
        <v>334</v>
      </c>
      <c r="B46" s="243" t="s">
        <v>3</v>
      </c>
      <c r="C46" s="140">
        <f t="shared" si="1"/>
        <v>0</v>
      </c>
      <c r="D46" s="258"/>
      <c r="E46" s="258"/>
      <c r="F46" s="258"/>
      <c r="G46" s="258"/>
      <c r="H46" s="258"/>
      <c r="I46" s="259"/>
      <c r="J46" s="16"/>
      <c r="K46" s="16"/>
      <c r="L46" s="16"/>
      <c r="M46" s="16"/>
      <c r="O46" s="16"/>
      <c r="P46" s="16"/>
      <c r="Q46" s="16"/>
      <c r="R46" s="16"/>
      <c r="S46" s="16"/>
      <c r="T46" s="87"/>
      <c r="W46" s="87"/>
      <c r="X46" s="87"/>
      <c r="Z46" s="87"/>
      <c r="AA46" s="87"/>
      <c r="AB46" s="16"/>
      <c r="AC46" s="16"/>
      <c r="AD46" s="21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</row>
    <row r="47" spans="1:135 16348:16365" customFormat="1" x14ac:dyDescent="0.25">
      <c r="A47" s="225" t="s">
        <v>335</v>
      </c>
      <c r="B47" s="243" t="s">
        <v>3</v>
      </c>
      <c r="C47" s="140">
        <f t="shared" si="1"/>
        <v>0</v>
      </c>
      <c r="D47" s="258"/>
      <c r="E47" s="258"/>
      <c r="F47" s="258"/>
      <c r="G47" s="258"/>
      <c r="H47" s="258"/>
      <c r="I47" s="259"/>
      <c r="J47" s="16"/>
      <c r="K47" s="16"/>
      <c r="L47" s="16"/>
      <c r="M47" s="16"/>
      <c r="O47" s="16"/>
      <c r="P47" s="16"/>
      <c r="Q47" s="16"/>
      <c r="R47" s="16"/>
      <c r="S47" s="16"/>
      <c r="T47" s="87"/>
      <c r="U47" s="87"/>
      <c r="Z47" s="87"/>
      <c r="AA47" s="87"/>
      <c r="AB47" s="16"/>
      <c r="AC47" s="16"/>
      <c r="AD47" s="21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</row>
    <row r="48" spans="1:135 16348:16365" customFormat="1" x14ac:dyDescent="0.25">
      <c r="A48" s="225" t="s">
        <v>336</v>
      </c>
      <c r="B48" s="243" t="s">
        <v>51</v>
      </c>
      <c r="C48" s="140" t="str">
        <f t="shared" si="1"/>
        <v>OK</v>
      </c>
      <c r="D48" s="258"/>
      <c r="E48" s="258"/>
      <c r="F48" s="258"/>
      <c r="G48" s="258"/>
      <c r="H48" s="258"/>
      <c r="I48" s="259"/>
      <c r="J48" s="16"/>
      <c r="K48" s="16"/>
      <c r="L48" s="16"/>
      <c r="M48" s="16"/>
      <c r="O48" s="16"/>
      <c r="P48" s="16"/>
      <c r="Q48" s="16"/>
      <c r="R48" s="16"/>
      <c r="S48" s="16"/>
      <c r="T48" s="87"/>
      <c r="U48" s="87"/>
      <c r="Z48" s="87"/>
      <c r="AA48" s="87"/>
      <c r="AB48" s="16"/>
      <c r="AC48" s="16"/>
      <c r="AD48" s="21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</row>
    <row r="49" spans="1:135" customFormat="1" x14ac:dyDescent="0.25">
      <c r="A49" s="225" t="s">
        <v>337</v>
      </c>
      <c r="B49" s="243" t="s">
        <v>46</v>
      </c>
      <c r="C49" s="140" t="str">
        <f t="shared" si="1"/>
        <v>OK</v>
      </c>
      <c r="D49" s="258"/>
      <c r="E49" s="258"/>
      <c r="F49" s="258"/>
      <c r="G49" s="258"/>
      <c r="H49" s="258"/>
      <c r="I49" s="259"/>
      <c r="J49" s="16"/>
      <c r="K49" s="16"/>
      <c r="L49" s="16"/>
      <c r="M49" s="16"/>
      <c r="O49" s="16"/>
      <c r="P49" s="16"/>
      <c r="Q49" s="16"/>
      <c r="R49" s="16"/>
      <c r="S49" s="16"/>
      <c r="T49" s="87"/>
      <c r="U49" s="87"/>
      <c r="W49" s="87"/>
      <c r="X49" s="87"/>
      <c r="Z49" s="87"/>
      <c r="AA49" s="87"/>
      <c r="AB49" s="16"/>
      <c r="AC49" s="16"/>
      <c r="AD49" s="21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</row>
    <row r="50" spans="1:135" customFormat="1" x14ac:dyDescent="0.25">
      <c r="A50" s="225" t="s">
        <v>69</v>
      </c>
      <c r="B50" s="243" t="s">
        <v>58</v>
      </c>
      <c r="C50" s="140" t="str">
        <f t="shared" si="1"/>
        <v>OK</v>
      </c>
      <c r="D50" s="258"/>
      <c r="E50" s="258"/>
      <c r="F50" s="258"/>
      <c r="G50" s="258"/>
      <c r="H50" s="258"/>
      <c r="I50" s="259"/>
      <c r="J50" s="16"/>
      <c r="K50" s="16"/>
      <c r="L50" s="16"/>
      <c r="M50" s="16"/>
      <c r="O50" s="16"/>
      <c r="P50" s="16"/>
      <c r="Q50" s="16"/>
      <c r="R50" s="16"/>
      <c r="S50" s="16"/>
      <c r="T50" s="87"/>
      <c r="Z50" s="87"/>
      <c r="AA50" s="87"/>
      <c r="AB50" s="16"/>
      <c r="AC50" s="16"/>
      <c r="AD50" s="21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</row>
    <row r="51" spans="1:135" customFormat="1" x14ac:dyDescent="0.25">
      <c r="A51" s="225" t="s">
        <v>338</v>
      </c>
      <c r="B51" s="243" t="s">
        <v>58</v>
      </c>
      <c r="C51" s="140" t="str">
        <f t="shared" si="1"/>
        <v>OK</v>
      </c>
      <c r="D51" s="16"/>
      <c r="E51" s="17"/>
      <c r="F51" s="16"/>
      <c r="G51" s="16"/>
      <c r="H51" s="16"/>
      <c r="I51" s="259"/>
      <c r="J51" s="16"/>
      <c r="K51" s="16"/>
      <c r="L51" s="16"/>
      <c r="M51" s="16"/>
      <c r="O51" s="16"/>
      <c r="P51" s="16"/>
      <c r="Q51" s="16"/>
      <c r="R51" s="16"/>
      <c r="S51" s="16"/>
      <c r="T51" s="87"/>
      <c r="Z51" s="87"/>
      <c r="AA51" s="87"/>
      <c r="AB51" s="16"/>
      <c r="AC51" s="16"/>
      <c r="AD51" s="21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</row>
    <row r="52" spans="1:135" customFormat="1" x14ac:dyDescent="0.25">
      <c r="A52" s="225" t="s">
        <v>339</v>
      </c>
      <c r="B52" s="243" t="s">
        <v>62</v>
      </c>
      <c r="C52" s="140" t="str">
        <f t="shared" si="1"/>
        <v>OK</v>
      </c>
      <c r="D52" s="16"/>
      <c r="E52" s="17"/>
      <c r="F52" s="16"/>
      <c r="G52" s="16"/>
      <c r="H52" s="16"/>
      <c r="I52" s="259"/>
      <c r="J52" s="16"/>
      <c r="K52" s="16"/>
      <c r="L52" s="16"/>
      <c r="M52" s="16"/>
      <c r="O52" s="16"/>
      <c r="P52" s="16"/>
      <c r="Q52" s="16"/>
      <c r="R52" s="16"/>
      <c r="S52" s="16"/>
      <c r="T52" s="87"/>
      <c r="Z52" s="87"/>
      <c r="AA52" s="87"/>
      <c r="AB52" s="16"/>
      <c r="AC52" s="16"/>
      <c r="AD52" s="21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</row>
    <row r="53" spans="1:135" customFormat="1" x14ac:dyDescent="0.25">
      <c r="A53" s="225" t="s">
        <v>70</v>
      </c>
      <c r="B53" s="243" t="s">
        <v>62</v>
      </c>
      <c r="C53" s="140" t="str">
        <f t="shared" si="1"/>
        <v>OK</v>
      </c>
      <c r="D53" s="16"/>
      <c r="E53" s="17"/>
      <c r="F53" s="16"/>
      <c r="G53" s="16"/>
      <c r="H53" s="16"/>
      <c r="I53" s="259"/>
      <c r="J53" s="16"/>
      <c r="K53" s="16"/>
      <c r="L53" s="16"/>
      <c r="M53" s="16"/>
      <c r="O53" s="16"/>
      <c r="P53" s="16"/>
      <c r="Q53" s="16"/>
      <c r="R53" s="16"/>
      <c r="S53" s="16"/>
      <c r="T53" s="87"/>
      <c r="Z53" s="87"/>
      <c r="AA53" s="87"/>
      <c r="AB53" s="16"/>
      <c r="AC53" s="16"/>
      <c r="AD53" s="21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</row>
    <row r="54" spans="1:135" customFormat="1" x14ac:dyDescent="0.25">
      <c r="A54" s="225" t="s">
        <v>340</v>
      </c>
      <c r="B54" s="243" t="s">
        <v>62</v>
      </c>
      <c r="C54" s="140" t="str">
        <f t="shared" si="1"/>
        <v>OK</v>
      </c>
      <c r="D54" s="16"/>
      <c r="E54" s="17"/>
      <c r="F54" s="16"/>
      <c r="G54" s="16"/>
      <c r="H54" s="16"/>
      <c r="I54" s="259"/>
      <c r="J54" s="16"/>
      <c r="K54" s="16"/>
      <c r="L54" s="16"/>
      <c r="M54" s="16"/>
      <c r="O54" s="16"/>
      <c r="P54" s="16"/>
      <c r="Q54" s="16"/>
      <c r="R54" s="16"/>
      <c r="S54" s="16"/>
      <c r="T54" s="87"/>
      <c r="Z54" s="87"/>
      <c r="AA54" s="87"/>
      <c r="AB54" s="16"/>
      <c r="AC54" s="16"/>
      <c r="AD54" s="21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</row>
    <row r="55" spans="1:135" customFormat="1" x14ac:dyDescent="0.25">
      <c r="A55" s="225" t="s">
        <v>341</v>
      </c>
      <c r="B55" s="243" t="s">
        <v>62</v>
      </c>
      <c r="C55" s="140" t="str">
        <f t="shared" si="1"/>
        <v>OK</v>
      </c>
      <c r="D55" s="16"/>
      <c r="E55" s="17"/>
      <c r="F55" s="16"/>
      <c r="G55" s="16"/>
      <c r="H55" s="16"/>
      <c r="I55" s="259"/>
      <c r="J55" s="16"/>
      <c r="K55" s="16"/>
      <c r="L55" s="16"/>
      <c r="M55" s="16"/>
      <c r="O55" s="16"/>
      <c r="P55" s="16"/>
      <c r="Q55" s="16"/>
      <c r="R55" s="16"/>
      <c r="S55" s="16"/>
      <c r="T55" s="87"/>
      <c r="Z55" s="87"/>
      <c r="AA55" s="87"/>
      <c r="AB55" s="16"/>
      <c r="AC55" s="16"/>
      <c r="AD55" s="21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</row>
    <row r="56" spans="1:135" customFormat="1" x14ac:dyDescent="0.25">
      <c r="A56" s="225" t="s">
        <v>342</v>
      </c>
      <c r="B56" s="243" t="s">
        <v>62</v>
      </c>
      <c r="C56" s="140" t="str">
        <f t="shared" si="1"/>
        <v>OK</v>
      </c>
      <c r="D56" s="16"/>
      <c r="E56" s="17"/>
      <c r="F56" s="16"/>
      <c r="G56" s="16"/>
      <c r="H56" s="16"/>
      <c r="I56" s="259"/>
      <c r="J56" s="16"/>
      <c r="K56" s="16"/>
      <c r="L56" s="16"/>
      <c r="M56" s="16"/>
      <c r="O56" s="16"/>
      <c r="P56" s="16"/>
      <c r="Q56" s="16"/>
      <c r="R56" s="16"/>
      <c r="S56" s="16"/>
      <c r="T56" s="87"/>
      <c r="Z56" s="87"/>
      <c r="AA56" s="87"/>
      <c r="AB56" s="16"/>
      <c r="AC56" s="16"/>
      <c r="AD56" s="21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</row>
    <row r="57" spans="1:135" customFormat="1" x14ac:dyDescent="0.25">
      <c r="A57" s="225" t="s">
        <v>343</v>
      </c>
      <c r="B57" s="243" t="s">
        <v>63</v>
      </c>
      <c r="C57" s="140" t="str">
        <f t="shared" si="1"/>
        <v>OK</v>
      </c>
      <c r="D57" s="16"/>
      <c r="E57" s="17"/>
      <c r="F57" s="16"/>
      <c r="G57" s="16"/>
      <c r="H57" s="16"/>
      <c r="I57" s="259"/>
      <c r="J57" s="16"/>
      <c r="K57" s="16"/>
      <c r="L57" s="16"/>
      <c r="M57" s="16"/>
      <c r="O57" s="16"/>
      <c r="P57" s="16"/>
      <c r="Q57" s="16"/>
      <c r="R57" s="16"/>
      <c r="S57" s="16"/>
      <c r="T57" s="87"/>
      <c r="Z57" s="87"/>
      <c r="AA57" s="87"/>
      <c r="AB57" s="16"/>
      <c r="AC57" s="16"/>
      <c r="AD57" s="21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</row>
    <row r="58" spans="1:135" customFormat="1" x14ac:dyDescent="0.25">
      <c r="A58" s="260" t="s">
        <v>344</v>
      </c>
      <c r="B58" s="243" t="s">
        <v>63</v>
      </c>
      <c r="C58" s="140" t="str">
        <f t="shared" si="1"/>
        <v>OK</v>
      </c>
      <c r="D58" s="16"/>
      <c r="E58" s="17"/>
      <c r="F58" s="16"/>
      <c r="G58" s="16"/>
      <c r="H58" s="16"/>
      <c r="I58" s="259"/>
      <c r="J58" s="16"/>
      <c r="K58" s="16"/>
      <c r="L58" s="16"/>
      <c r="M58" s="16"/>
      <c r="O58" s="16"/>
      <c r="P58" s="16"/>
      <c r="Q58" s="16"/>
      <c r="R58" s="16"/>
      <c r="S58" s="16"/>
      <c r="AA58" s="87"/>
      <c r="AB58" s="16"/>
      <c r="AC58" s="16"/>
      <c r="AD58" s="21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</row>
    <row r="59" spans="1:135" customFormat="1" x14ac:dyDescent="0.25">
      <c r="A59" s="260" t="s">
        <v>345</v>
      </c>
      <c r="B59" s="243" t="s">
        <v>25</v>
      </c>
      <c r="C59" s="140" t="str">
        <f t="shared" si="1"/>
        <v>OK</v>
      </c>
      <c r="D59" s="16"/>
      <c r="E59" s="17"/>
      <c r="F59" s="16"/>
      <c r="G59" s="16"/>
      <c r="H59" s="16"/>
      <c r="I59" s="259"/>
      <c r="J59" s="16"/>
      <c r="K59" s="16"/>
      <c r="L59" s="16"/>
      <c r="M59" s="16"/>
      <c r="O59" s="16"/>
      <c r="P59" s="16"/>
      <c r="Q59" s="16"/>
      <c r="R59" s="16"/>
      <c r="S59" s="16"/>
      <c r="T59" s="87"/>
      <c r="Z59" s="87"/>
      <c r="AA59" s="87"/>
      <c r="AB59" s="16"/>
      <c r="AC59" s="16"/>
      <c r="AD59" s="21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</row>
    <row r="60" spans="1:135" customFormat="1" x14ac:dyDescent="0.25">
      <c r="A60" s="260" t="s">
        <v>346</v>
      </c>
      <c r="B60" s="243" t="s">
        <v>11</v>
      </c>
      <c r="C60" s="140" t="str">
        <f t="shared" si="1"/>
        <v>OK</v>
      </c>
      <c r="D60" s="16"/>
      <c r="E60" s="17"/>
      <c r="F60" s="16"/>
      <c r="G60" s="16"/>
      <c r="H60" s="16"/>
      <c r="I60" s="259"/>
      <c r="J60" s="16"/>
      <c r="K60" s="16"/>
      <c r="L60" s="16"/>
      <c r="M60" s="16"/>
      <c r="O60" s="16"/>
      <c r="P60" s="16"/>
      <c r="Q60" s="16"/>
      <c r="R60" s="16"/>
      <c r="S60" s="16"/>
      <c r="T60" s="87"/>
      <c r="Z60" s="87"/>
      <c r="AA60" s="87"/>
      <c r="AB60" s="16"/>
      <c r="AC60" s="16"/>
      <c r="AD60" s="21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</row>
    <row r="61" spans="1:135" customFormat="1" x14ac:dyDescent="0.25">
      <c r="A61" s="208" t="s">
        <v>89</v>
      </c>
      <c r="B61" s="243" t="s">
        <v>62</v>
      </c>
      <c r="C61" s="140" t="str">
        <f t="shared" si="1"/>
        <v>OK</v>
      </c>
      <c r="D61" s="16"/>
      <c r="E61" s="17"/>
      <c r="F61" s="16"/>
      <c r="G61" s="16"/>
      <c r="H61" s="16"/>
      <c r="I61" s="259"/>
      <c r="J61" s="16"/>
      <c r="K61" s="16"/>
      <c r="L61" s="16"/>
      <c r="M61" s="16"/>
      <c r="O61" s="16"/>
      <c r="P61" s="16"/>
      <c r="Q61" s="16"/>
      <c r="R61" s="16"/>
      <c r="S61" s="16"/>
      <c r="T61" s="87"/>
      <c r="Z61" s="87"/>
      <c r="AA61" s="87"/>
      <c r="AB61" s="16"/>
      <c r="AC61" s="16"/>
      <c r="AD61" s="21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</row>
    <row r="62" spans="1:135" customFormat="1" x14ac:dyDescent="0.25">
      <c r="A62" s="208" t="s">
        <v>92</v>
      </c>
      <c r="B62" s="243" t="s">
        <v>58</v>
      </c>
      <c r="C62" s="140" t="str">
        <f t="shared" si="1"/>
        <v>OK</v>
      </c>
      <c r="D62" s="16"/>
      <c r="E62" s="17"/>
      <c r="F62" s="16"/>
      <c r="G62" s="16"/>
      <c r="H62" s="16"/>
      <c r="I62" s="259"/>
      <c r="J62" s="16"/>
      <c r="K62" s="16"/>
      <c r="L62" s="16"/>
      <c r="M62" s="16"/>
      <c r="O62" s="16"/>
      <c r="P62" s="16"/>
      <c r="Q62" s="16"/>
      <c r="R62" s="16"/>
      <c r="S62" s="16"/>
      <c r="T62" s="87"/>
      <c r="U62" s="87"/>
      <c r="Z62" s="87"/>
      <c r="AA62" s="87"/>
      <c r="AB62" s="16"/>
      <c r="AC62" s="16"/>
      <c r="AD62" s="21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</row>
    <row r="63" spans="1:135" customFormat="1" x14ac:dyDescent="0.25">
      <c r="A63" s="208" t="s">
        <v>347</v>
      </c>
      <c r="B63" s="243" t="s">
        <v>2</v>
      </c>
      <c r="C63" s="140" t="str">
        <f t="shared" si="1"/>
        <v>OK</v>
      </c>
      <c r="D63" s="16"/>
      <c r="E63" s="17"/>
      <c r="F63" s="16"/>
      <c r="G63" s="16"/>
      <c r="H63" s="16"/>
      <c r="I63" s="259"/>
      <c r="J63" s="16"/>
      <c r="K63" s="16"/>
      <c r="L63" s="16"/>
      <c r="M63" s="16"/>
      <c r="O63" s="16"/>
      <c r="P63" s="16"/>
      <c r="Q63" s="16"/>
      <c r="R63" s="16"/>
      <c r="S63" s="16"/>
      <c r="T63" s="87"/>
      <c r="Z63" s="87"/>
      <c r="AA63" s="87"/>
      <c r="AB63" s="16"/>
      <c r="AC63" s="16"/>
      <c r="AD63" s="21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</row>
    <row r="64" spans="1:135" customFormat="1" x14ac:dyDescent="0.25">
      <c r="A64" s="208" t="s">
        <v>94</v>
      </c>
      <c r="B64" s="243" t="s">
        <v>63</v>
      </c>
      <c r="C64" s="140" t="str">
        <f t="shared" si="1"/>
        <v>OK</v>
      </c>
      <c r="D64" s="16"/>
      <c r="E64" s="17"/>
      <c r="F64" s="16"/>
      <c r="G64" s="16"/>
      <c r="H64" s="16"/>
      <c r="I64" s="259"/>
      <c r="J64" s="16"/>
      <c r="K64" s="16"/>
      <c r="L64" s="16"/>
      <c r="M64" s="16"/>
      <c r="O64" s="16"/>
      <c r="P64" s="16"/>
      <c r="Q64" s="16"/>
      <c r="R64" s="16"/>
      <c r="S64" s="16"/>
      <c r="AA64" s="87"/>
      <c r="AB64" s="16"/>
      <c r="AC64" s="16"/>
      <c r="AD64" s="21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</row>
    <row r="65" spans="1:135" customFormat="1" ht="17.25" x14ac:dyDescent="0.25">
      <c r="A65" s="261" t="s">
        <v>4</v>
      </c>
      <c r="B65" s="262" t="s">
        <v>3</v>
      </c>
      <c r="C65" s="140">
        <f t="shared" si="1"/>
        <v>0</v>
      </c>
      <c r="D65" s="16"/>
      <c r="E65" s="17"/>
      <c r="F65" s="16"/>
      <c r="G65" s="16"/>
      <c r="H65" s="16"/>
      <c r="I65" s="259"/>
      <c r="J65" s="16"/>
      <c r="K65" s="16"/>
      <c r="L65" s="16"/>
      <c r="M65" s="16"/>
      <c r="O65" s="16"/>
      <c r="P65" s="16"/>
      <c r="Q65" s="16"/>
      <c r="R65" s="16"/>
      <c r="S65" s="16"/>
      <c r="T65" s="87"/>
      <c r="Z65" s="87"/>
      <c r="AA65" s="87"/>
      <c r="AB65" s="16"/>
      <c r="AC65" s="16"/>
      <c r="AD65" s="21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</row>
    <row r="66" spans="1:135" customFormat="1" ht="17.25" x14ac:dyDescent="0.25">
      <c r="A66" s="261" t="s">
        <v>7</v>
      </c>
      <c r="B66" s="262" t="s">
        <v>6</v>
      </c>
      <c r="C66" s="140" t="str">
        <f t="shared" si="1"/>
        <v>OK</v>
      </c>
      <c r="D66" s="16"/>
      <c r="E66" s="17"/>
      <c r="F66" s="16"/>
      <c r="G66" s="16"/>
      <c r="H66" s="16"/>
      <c r="I66" s="259"/>
      <c r="J66" s="16"/>
      <c r="K66" s="16"/>
      <c r="L66" s="16"/>
      <c r="M66" s="16"/>
      <c r="O66" s="16"/>
      <c r="P66" s="16"/>
      <c r="Q66" s="16"/>
      <c r="R66" s="16"/>
      <c r="S66" s="16"/>
      <c r="T66" s="87"/>
      <c r="Z66" s="87"/>
      <c r="AA66" s="87"/>
      <c r="AB66" s="16"/>
      <c r="AC66" s="16"/>
      <c r="AD66" s="21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</row>
    <row r="67" spans="1:135" customFormat="1" ht="17.25" x14ac:dyDescent="0.25">
      <c r="A67" s="261" t="s">
        <v>10</v>
      </c>
      <c r="B67" s="262" t="s">
        <v>9</v>
      </c>
      <c r="C67" s="140" t="str">
        <f t="shared" si="1"/>
        <v>OK</v>
      </c>
      <c r="D67" s="16"/>
      <c r="E67" s="17"/>
      <c r="F67" s="16"/>
      <c r="G67" s="16"/>
      <c r="H67" s="16"/>
      <c r="I67" s="259"/>
      <c r="J67" s="16"/>
      <c r="K67" s="16"/>
      <c r="L67" s="16"/>
      <c r="M67" s="16"/>
      <c r="O67" s="16"/>
      <c r="P67" s="16"/>
      <c r="Q67" s="16"/>
      <c r="R67" s="16"/>
      <c r="S67" s="16"/>
      <c r="T67" s="87"/>
      <c r="W67" s="87"/>
      <c r="X67" s="87"/>
      <c r="Z67" s="87"/>
      <c r="AA67" s="87"/>
      <c r="AB67" s="16"/>
      <c r="AC67" s="16"/>
      <c r="AD67" s="21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</row>
    <row r="68" spans="1:135" customFormat="1" ht="17.25" x14ac:dyDescent="0.25">
      <c r="A68" s="261" t="s">
        <v>13</v>
      </c>
      <c r="B68" s="262" t="s">
        <v>12</v>
      </c>
      <c r="C68" s="140" t="str">
        <f t="shared" si="1"/>
        <v>OK</v>
      </c>
      <c r="D68" s="16"/>
      <c r="E68" s="17"/>
      <c r="F68" s="16"/>
      <c r="G68" s="16"/>
      <c r="H68" s="16"/>
      <c r="I68" s="259"/>
      <c r="J68" s="16"/>
      <c r="K68" s="16"/>
      <c r="L68" s="16"/>
      <c r="M68" s="16"/>
      <c r="O68" s="16"/>
      <c r="P68" s="16"/>
      <c r="Q68" s="16"/>
      <c r="R68" s="16"/>
      <c r="S68" s="16"/>
      <c r="T68" s="87"/>
      <c r="W68" s="87"/>
      <c r="X68" s="87"/>
      <c r="Z68" s="87"/>
      <c r="AA68" s="87"/>
      <c r="AB68" s="16"/>
      <c r="AC68" s="16"/>
      <c r="AD68" s="21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</row>
    <row r="69" spans="1:135" customFormat="1" ht="17.25" x14ac:dyDescent="0.25">
      <c r="A69" s="261" t="s">
        <v>318</v>
      </c>
      <c r="B69" s="262" t="s">
        <v>46</v>
      </c>
      <c r="C69" s="140" t="str">
        <f t="shared" si="1"/>
        <v>OK</v>
      </c>
      <c r="D69" s="16"/>
      <c r="E69" s="17"/>
      <c r="F69" s="16"/>
      <c r="G69" s="16"/>
      <c r="H69" s="16"/>
      <c r="I69" s="259"/>
      <c r="J69" s="16"/>
      <c r="K69" s="16"/>
      <c r="L69" s="16"/>
      <c r="M69" s="16"/>
      <c r="O69" s="16"/>
      <c r="P69" s="16"/>
      <c r="Q69" s="16"/>
      <c r="R69" s="16"/>
      <c r="S69" s="16"/>
      <c r="T69" s="87"/>
      <c r="U69" s="87"/>
      <c r="W69" s="87"/>
      <c r="X69" s="87"/>
      <c r="Z69" s="87"/>
      <c r="AA69" s="87"/>
      <c r="AB69" s="16"/>
      <c r="AC69" s="16"/>
      <c r="AD69" s="21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</row>
    <row r="70" spans="1:135" customFormat="1" ht="17.25" x14ac:dyDescent="0.25">
      <c r="A70" s="261" t="s">
        <v>16</v>
      </c>
      <c r="B70" s="262" t="s">
        <v>15</v>
      </c>
      <c r="C70" s="140" t="str">
        <f t="shared" si="1"/>
        <v>OK</v>
      </c>
      <c r="D70" s="16"/>
      <c r="E70" s="17"/>
      <c r="F70" s="16"/>
      <c r="G70" s="16"/>
      <c r="H70" s="16"/>
      <c r="I70" s="259"/>
      <c r="J70" s="16"/>
      <c r="K70" s="16"/>
      <c r="L70" s="16"/>
      <c r="M70" s="16"/>
      <c r="O70" s="16"/>
      <c r="P70" s="16"/>
      <c r="Q70" s="16"/>
      <c r="R70" s="16"/>
      <c r="S70" s="16"/>
      <c r="T70" s="87"/>
      <c r="U70" s="87"/>
      <c r="W70" s="87"/>
      <c r="X70" s="87"/>
      <c r="Z70" s="87"/>
      <c r="AA70" s="87"/>
      <c r="AB70" s="16"/>
      <c r="AC70" s="16"/>
      <c r="AD70" s="21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</row>
    <row r="71" spans="1:135" customFormat="1" ht="17.25" x14ac:dyDescent="0.25">
      <c r="A71" s="261" t="s">
        <v>19</v>
      </c>
      <c r="B71" s="262" t="s">
        <v>18</v>
      </c>
      <c r="C71" s="140" t="str">
        <f t="shared" si="1"/>
        <v>OK</v>
      </c>
      <c r="D71" s="16"/>
      <c r="E71" s="17"/>
      <c r="F71" s="16"/>
      <c r="G71" s="16"/>
      <c r="H71" s="16"/>
      <c r="I71" s="259"/>
      <c r="J71" s="16"/>
      <c r="K71" s="16"/>
      <c r="L71" s="16"/>
      <c r="M71" s="16"/>
      <c r="O71" s="16"/>
      <c r="P71" s="16"/>
      <c r="Q71" s="16"/>
      <c r="R71" s="16"/>
      <c r="S71" s="16"/>
      <c r="T71" s="87"/>
      <c r="U71" s="87"/>
      <c r="W71" s="87"/>
      <c r="X71" s="87"/>
      <c r="Z71" s="87"/>
      <c r="AA71" s="87"/>
      <c r="AB71" s="16"/>
      <c r="AC71" s="16"/>
      <c r="AD71" s="21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</row>
    <row r="72" spans="1:135" customFormat="1" ht="17.25" x14ac:dyDescent="0.25">
      <c r="A72" s="261" t="s">
        <v>21</v>
      </c>
      <c r="B72" s="262" t="s">
        <v>5</v>
      </c>
      <c r="C72" s="140" t="str">
        <f t="shared" si="1"/>
        <v>OK</v>
      </c>
      <c r="D72" s="16"/>
      <c r="E72" s="17"/>
      <c r="F72" s="16"/>
      <c r="G72" s="16"/>
      <c r="H72" s="16"/>
      <c r="I72" s="259"/>
      <c r="J72" s="16"/>
      <c r="K72" s="16"/>
      <c r="L72" s="16"/>
      <c r="M72" s="16"/>
      <c r="O72" s="16"/>
      <c r="P72" s="16"/>
      <c r="Q72" s="16"/>
      <c r="R72" s="16"/>
      <c r="S72" s="16"/>
      <c r="T72" s="87"/>
      <c r="U72" s="87"/>
      <c r="W72" s="87"/>
      <c r="X72" s="87"/>
      <c r="Z72" s="87"/>
      <c r="AA72" s="87"/>
      <c r="AB72" s="16"/>
      <c r="AC72" s="16"/>
      <c r="AD72" s="21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</row>
    <row r="73" spans="1:135" customFormat="1" ht="17.25" x14ac:dyDescent="0.25">
      <c r="A73" s="261" t="s">
        <v>24</v>
      </c>
      <c r="B73" s="262" t="s">
        <v>23</v>
      </c>
      <c r="C73" s="140" t="str">
        <f t="shared" si="1"/>
        <v>OK</v>
      </c>
      <c r="D73" s="16"/>
      <c r="E73" s="17"/>
      <c r="F73" s="16"/>
      <c r="G73" s="16"/>
      <c r="H73" s="16"/>
      <c r="I73" s="259"/>
      <c r="J73" s="16"/>
      <c r="K73" s="16"/>
      <c r="L73" s="16"/>
      <c r="M73" s="16"/>
      <c r="O73" s="16"/>
      <c r="P73" s="16"/>
      <c r="Q73" s="16" t="b">
        <v>1</v>
      </c>
      <c r="R73" s="16"/>
      <c r="S73" s="16"/>
      <c r="T73" s="87"/>
      <c r="Z73" s="87"/>
      <c r="AA73" s="87"/>
      <c r="AB73" s="16"/>
      <c r="AC73" s="16"/>
      <c r="AD73" s="21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</row>
    <row r="74" spans="1:135" customFormat="1" ht="17.25" x14ac:dyDescent="0.25">
      <c r="A74" s="261" t="s">
        <v>27</v>
      </c>
      <c r="B74" s="262" t="s">
        <v>26</v>
      </c>
      <c r="C74" s="140" t="str">
        <f t="shared" si="1"/>
        <v>OK</v>
      </c>
      <c r="D74" s="16"/>
      <c r="E74" s="17"/>
      <c r="F74" s="16"/>
      <c r="G74" s="16"/>
      <c r="H74" s="16"/>
      <c r="I74" s="259"/>
      <c r="J74" s="16"/>
      <c r="K74" s="16"/>
      <c r="L74" s="16"/>
      <c r="M74" s="16"/>
      <c r="O74" s="16"/>
      <c r="P74" s="16"/>
      <c r="Q74" s="16" t="b">
        <v>1</v>
      </c>
      <c r="R74" s="16"/>
      <c r="S74" s="16"/>
      <c r="T74" s="87"/>
      <c r="Z74" s="87"/>
      <c r="AA74" s="87"/>
      <c r="AB74" s="16"/>
      <c r="AC74" s="16"/>
      <c r="AD74" s="21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</row>
    <row r="75" spans="1:135" customFormat="1" ht="17.25" x14ac:dyDescent="0.25">
      <c r="A75" s="261" t="s">
        <v>30</v>
      </c>
      <c r="B75" s="262" t="s">
        <v>29</v>
      </c>
      <c r="C75" s="140" t="str">
        <f t="shared" si="1"/>
        <v>OK</v>
      </c>
      <c r="D75" s="16"/>
      <c r="E75" s="17"/>
      <c r="F75" s="16"/>
      <c r="G75" s="16"/>
      <c r="H75" s="16"/>
      <c r="I75" s="259"/>
      <c r="J75" s="16"/>
      <c r="K75" s="16"/>
      <c r="L75" s="16"/>
      <c r="M75" s="16"/>
      <c r="O75" s="16"/>
      <c r="P75" s="16"/>
      <c r="Q75" s="16" t="b">
        <v>1</v>
      </c>
      <c r="R75" s="16"/>
      <c r="S75" s="16"/>
      <c r="T75" s="87"/>
      <c r="Z75" s="87"/>
      <c r="AA75" s="87"/>
      <c r="AB75" s="16"/>
      <c r="AC75" s="16"/>
      <c r="AD75" s="21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</row>
    <row r="76" spans="1:135" customFormat="1" ht="17.25" x14ac:dyDescent="0.25">
      <c r="A76" s="261" t="s">
        <v>32</v>
      </c>
      <c r="B76" s="262" t="s">
        <v>8</v>
      </c>
      <c r="C76" s="140" t="str">
        <f t="shared" si="1"/>
        <v>OK</v>
      </c>
      <c r="D76" s="16"/>
      <c r="E76" s="17"/>
      <c r="F76" s="16"/>
      <c r="G76" s="16"/>
      <c r="H76" s="16"/>
      <c r="I76" s="259"/>
      <c r="J76" s="16"/>
      <c r="K76" s="16"/>
      <c r="L76" s="16"/>
      <c r="M76" s="16"/>
      <c r="O76" s="16"/>
      <c r="P76" s="16"/>
      <c r="Q76" s="16" t="b">
        <v>0</v>
      </c>
      <c r="R76" s="16"/>
      <c r="S76" s="16"/>
      <c r="T76" s="87"/>
      <c r="Z76" s="87"/>
      <c r="AA76" s="87"/>
      <c r="AB76" s="16"/>
      <c r="AC76" s="16"/>
      <c r="AD76" s="21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</row>
    <row r="77" spans="1:135" customFormat="1" ht="17.25" x14ac:dyDescent="0.25">
      <c r="A77" s="261" t="s">
        <v>34</v>
      </c>
      <c r="B77" s="262" t="s">
        <v>14</v>
      </c>
      <c r="C77" s="140" t="str">
        <f t="shared" ref="C77:C119" si="2">+IFERROR(IF(B77="","",(VLOOKUP(B77,$F$2:$H$55,3,0))),"State Wrong")</f>
        <v>OK</v>
      </c>
      <c r="D77" s="16"/>
      <c r="E77" s="17"/>
      <c r="F77" s="16"/>
      <c r="G77" s="16"/>
      <c r="H77" s="16"/>
      <c r="I77" s="259"/>
      <c r="J77" s="16"/>
      <c r="K77" s="16"/>
      <c r="L77" s="16"/>
      <c r="M77" s="16"/>
      <c r="O77" s="16"/>
      <c r="P77" s="16"/>
      <c r="Q77" s="16" t="b">
        <v>1</v>
      </c>
      <c r="R77" s="16"/>
      <c r="S77" s="16"/>
      <c r="T77" s="87"/>
      <c r="U77" s="382"/>
      <c r="W77" s="87"/>
      <c r="X77" s="87"/>
      <c r="Z77" s="87"/>
      <c r="AA77" s="87"/>
      <c r="AB77" s="16"/>
      <c r="AC77" s="16"/>
      <c r="AD77" s="21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</row>
    <row r="78" spans="1:135" customFormat="1" ht="17.25" x14ac:dyDescent="0.25">
      <c r="A78" s="261" t="s">
        <v>35</v>
      </c>
      <c r="B78" s="262" t="s">
        <v>11</v>
      </c>
      <c r="C78" s="140" t="str">
        <f t="shared" si="2"/>
        <v>OK</v>
      </c>
      <c r="D78" s="16"/>
      <c r="E78" s="17"/>
      <c r="F78" s="16"/>
      <c r="G78" s="16"/>
      <c r="H78" s="16"/>
      <c r="I78" s="259"/>
      <c r="J78" s="16"/>
      <c r="K78" s="16"/>
      <c r="L78" s="16"/>
      <c r="M78" s="16"/>
      <c r="O78" s="16"/>
      <c r="P78" s="16"/>
      <c r="Q78" s="16" t="b">
        <v>1</v>
      </c>
      <c r="R78" s="16"/>
      <c r="S78" s="16"/>
      <c r="T78" s="87"/>
      <c r="Z78" s="87"/>
      <c r="AA78" s="87"/>
      <c r="AB78" s="16"/>
      <c r="AC78" s="16"/>
      <c r="AD78" s="21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</row>
    <row r="79" spans="1:135" customFormat="1" ht="17.25" x14ac:dyDescent="0.25">
      <c r="A79" s="261" t="s">
        <v>320</v>
      </c>
      <c r="B79" s="262" t="s">
        <v>319</v>
      </c>
      <c r="C79" s="140" t="str">
        <f t="shared" si="2"/>
        <v>OK</v>
      </c>
      <c r="D79" s="16"/>
      <c r="E79" s="17"/>
      <c r="F79" s="16"/>
      <c r="G79" s="16"/>
      <c r="H79" s="16"/>
      <c r="I79" s="259"/>
      <c r="J79" s="16"/>
      <c r="K79" s="16"/>
      <c r="L79" s="16"/>
      <c r="M79" s="16"/>
      <c r="O79" s="16"/>
      <c r="P79" s="16"/>
      <c r="Q79" s="16" t="b">
        <v>0</v>
      </c>
      <c r="R79" s="16"/>
      <c r="S79" s="16"/>
      <c r="T79" s="87"/>
      <c r="Z79" s="87"/>
      <c r="AA79" s="87"/>
      <c r="AB79" s="16"/>
      <c r="AC79" s="16"/>
      <c r="AD79" s="21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</row>
    <row r="80" spans="1:135" customFormat="1" ht="17.25" x14ac:dyDescent="0.25">
      <c r="A80" s="261" t="s">
        <v>38</v>
      </c>
      <c r="B80" s="262" t="s">
        <v>17</v>
      </c>
      <c r="C80" s="140" t="str">
        <f t="shared" si="2"/>
        <v>OK</v>
      </c>
      <c r="D80" s="16"/>
      <c r="E80" s="17"/>
      <c r="F80" s="16"/>
      <c r="G80" s="16"/>
      <c r="H80" s="16"/>
      <c r="I80" s="259"/>
      <c r="J80" s="16"/>
      <c r="K80" s="16"/>
      <c r="L80" s="16"/>
      <c r="M80" s="16"/>
      <c r="O80" s="16"/>
      <c r="P80" s="16"/>
      <c r="Q80" s="16" t="b">
        <v>1</v>
      </c>
      <c r="R80" s="16"/>
      <c r="S80" s="16"/>
      <c r="AA80" s="87"/>
      <c r="AB80" s="16"/>
      <c r="AC80" s="16"/>
      <c r="AD80" s="21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</row>
    <row r="81" spans="1:135" customFormat="1" ht="17.25" x14ac:dyDescent="0.25">
      <c r="A81" s="261" t="s">
        <v>40</v>
      </c>
      <c r="B81" s="262" t="s">
        <v>2</v>
      </c>
      <c r="C81" s="140" t="str">
        <f t="shared" si="2"/>
        <v>OK</v>
      </c>
      <c r="D81" s="16"/>
      <c r="E81" s="17"/>
      <c r="F81" s="16"/>
      <c r="G81" s="16"/>
      <c r="H81" s="16"/>
      <c r="I81" s="259"/>
      <c r="J81" s="16"/>
      <c r="K81" s="16"/>
      <c r="L81" s="16"/>
      <c r="M81" s="16"/>
      <c r="O81" s="16"/>
      <c r="P81" s="16"/>
      <c r="Q81" s="16" t="b">
        <v>1</v>
      </c>
      <c r="R81" s="16"/>
      <c r="S81" s="16"/>
      <c r="T81" s="87"/>
      <c r="U81" s="382"/>
      <c r="Z81" s="87"/>
      <c r="AA81" s="87"/>
      <c r="AB81" s="16"/>
      <c r="AC81" s="16"/>
      <c r="AD81" s="21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</row>
    <row r="82" spans="1:135" customFormat="1" ht="17.25" x14ac:dyDescent="0.25">
      <c r="A82" s="261" t="s">
        <v>41</v>
      </c>
      <c r="B82" s="262" t="s">
        <v>39</v>
      </c>
      <c r="C82" s="140" t="str">
        <f t="shared" si="2"/>
        <v>OK</v>
      </c>
      <c r="D82" s="16"/>
      <c r="E82" s="17"/>
      <c r="F82" s="16"/>
      <c r="G82" s="16"/>
      <c r="H82" s="16"/>
      <c r="I82" s="259"/>
      <c r="J82" s="16"/>
      <c r="K82" s="16"/>
      <c r="L82" s="16"/>
      <c r="M82" s="16"/>
      <c r="O82" s="16"/>
      <c r="P82" s="16"/>
      <c r="Q82" s="16" t="b">
        <v>0</v>
      </c>
      <c r="R82" s="16"/>
      <c r="S82" s="16"/>
      <c r="T82" s="87"/>
      <c r="Z82" s="87"/>
      <c r="AA82" s="87"/>
      <c r="AB82" s="16"/>
      <c r="AC82" s="16"/>
      <c r="AD82" s="21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</row>
    <row r="83" spans="1:135" customFormat="1" ht="17.25" x14ac:dyDescent="0.25">
      <c r="A83" s="261" t="s">
        <v>43</v>
      </c>
      <c r="B83" s="262" t="s">
        <v>42</v>
      </c>
      <c r="C83" s="140" t="str">
        <f t="shared" si="2"/>
        <v>OK</v>
      </c>
      <c r="D83" s="16"/>
      <c r="E83" s="17"/>
      <c r="F83" s="16"/>
      <c r="G83" s="16"/>
      <c r="H83" s="16"/>
      <c r="I83" s="259"/>
      <c r="J83" s="16"/>
      <c r="K83" s="16"/>
      <c r="L83" s="16"/>
      <c r="M83" s="16"/>
      <c r="O83" s="16"/>
      <c r="P83" s="16"/>
      <c r="Q83" s="16" t="b">
        <v>1</v>
      </c>
      <c r="R83" s="16"/>
      <c r="S83" s="16"/>
      <c r="T83" s="87"/>
      <c r="Z83" s="87"/>
      <c r="AA83" s="87"/>
      <c r="AB83" s="16"/>
      <c r="AC83" s="16"/>
      <c r="AD83" s="21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</row>
    <row r="84" spans="1:135" customFormat="1" ht="17.25" x14ac:dyDescent="0.25">
      <c r="A84" s="261" t="s">
        <v>45</v>
      </c>
      <c r="B84" s="262" t="s">
        <v>44</v>
      </c>
      <c r="C84" s="140" t="str">
        <f t="shared" si="2"/>
        <v>OK</v>
      </c>
      <c r="D84" s="16"/>
      <c r="E84" s="17"/>
      <c r="F84" s="16"/>
      <c r="G84" s="16"/>
      <c r="H84" s="16"/>
      <c r="I84" s="259"/>
      <c r="J84" s="16"/>
      <c r="K84" s="16"/>
      <c r="L84" s="16"/>
      <c r="M84" s="16"/>
      <c r="O84" s="16"/>
      <c r="P84" s="16"/>
      <c r="Q84" s="16" t="b">
        <v>0</v>
      </c>
      <c r="R84" s="16"/>
      <c r="S84" s="16"/>
      <c r="T84" s="87"/>
      <c r="U84" s="87"/>
      <c r="Z84" s="87"/>
      <c r="AA84" s="87"/>
      <c r="AB84" s="16"/>
      <c r="AC84" s="16"/>
      <c r="AD84" s="21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</row>
    <row r="85" spans="1:135" customFormat="1" ht="17.25" x14ac:dyDescent="0.25">
      <c r="A85" s="261" t="s">
        <v>48</v>
      </c>
      <c r="B85" s="262" t="s">
        <v>47</v>
      </c>
      <c r="C85" s="140" t="str">
        <f t="shared" si="2"/>
        <v>OK</v>
      </c>
      <c r="D85" s="16"/>
      <c r="E85" s="17"/>
      <c r="F85" s="16"/>
      <c r="G85" s="16"/>
      <c r="H85" s="16"/>
      <c r="I85" s="259"/>
      <c r="J85" s="16"/>
      <c r="K85" s="16"/>
      <c r="L85" s="16"/>
      <c r="M85" s="16"/>
      <c r="O85" s="16"/>
      <c r="P85" s="16"/>
      <c r="Q85" s="16" t="b">
        <v>0</v>
      </c>
      <c r="R85" s="16"/>
      <c r="S85" s="16"/>
      <c r="T85" s="87"/>
      <c r="Z85" s="87"/>
      <c r="AA85" s="87"/>
      <c r="AB85" s="16"/>
      <c r="AC85" s="16"/>
      <c r="AD85" s="21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</row>
    <row r="86" spans="1:135" customFormat="1" ht="17.25" x14ac:dyDescent="0.25">
      <c r="A86" s="261" t="s">
        <v>321</v>
      </c>
      <c r="B86" s="262" t="s">
        <v>50</v>
      </c>
      <c r="C86" s="140" t="str">
        <f t="shared" si="2"/>
        <v>OK</v>
      </c>
      <c r="D86" s="16"/>
      <c r="E86" s="17"/>
      <c r="F86" s="16"/>
      <c r="G86" s="16"/>
      <c r="H86" s="16"/>
      <c r="I86" s="259"/>
      <c r="J86" s="16"/>
      <c r="K86" s="16"/>
      <c r="L86" s="16"/>
      <c r="M86" s="16"/>
      <c r="O86" s="16"/>
      <c r="P86" s="16"/>
      <c r="Q86" s="16" t="b">
        <v>0</v>
      </c>
      <c r="R86" s="16"/>
      <c r="S86" s="16"/>
      <c r="T86" s="87"/>
      <c r="Z86" s="87"/>
      <c r="AA86" s="87"/>
      <c r="AB86" s="16"/>
      <c r="AC86" s="16"/>
      <c r="AD86" s="21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</row>
    <row r="87" spans="1:135" customFormat="1" ht="17.25" x14ac:dyDescent="0.25">
      <c r="A87" s="261" t="s">
        <v>52</v>
      </c>
      <c r="B87" s="262" t="s">
        <v>51</v>
      </c>
      <c r="C87" s="140" t="str">
        <f t="shared" si="2"/>
        <v>OK</v>
      </c>
      <c r="D87" s="16"/>
      <c r="E87" s="17"/>
      <c r="F87" s="16"/>
      <c r="G87" s="16"/>
      <c r="H87" s="16"/>
      <c r="I87" s="259"/>
      <c r="J87" s="16"/>
      <c r="K87" s="16"/>
      <c r="L87" s="16"/>
      <c r="M87" s="16"/>
      <c r="O87" s="16"/>
      <c r="P87" s="16"/>
      <c r="Q87" s="16" t="b">
        <v>1</v>
      </c>
      <c r="R87" s="16"/>
      <c r="S87" s="16"/>
      <c r="T87" s="87"/>
      <c r="Z87" s="87"/>
      <c r="AA87" s="87"/>
      <c r="AB87" s="16"/>
      <c r="AC87" s="16"/>
      <c r="AD87" s="21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</row>
    <row r="88" spans="1:135" customFormat="1" ht="17.25" x14ac:dyDescent="0.25">
      <c r="A88" s="261" t="s">
        <v>56</v>
      </c>
      <c r="B88" s="262" t="s">
        <v>33</v>
      </c>
      <c r="C88" s="140" t="str">
        <f t="shared" si="2"/>
        <v>OK</v>
      </c>
      <c r="D88" s="16"/>
      <c r="E88" s="17"/>
      <c r="F88" s="16"/>
      <c r="G88" s="16"/>
      <c r="H88" s="16"/>
      <c r="I88" s="259"/>
      <c r="J88" s="16"/>
      <c r="K88" s="16"/>
      <c r="L88" s="16"/>
      <c r="M88" s="16"/>
      <c r="O88" s="16"/>
      <c r="P88" s="16"/>
      <c r="Q88" s="16" t="b">
        <v>1</v>
      </c>
      <c r="R88" s="16"/>
      <c r="S88" s="16"/>
      <c r="T88" s="87"/>
      <c r="U88" s="87"/>
      <c r="Z88" s="87"/>
      <c r="AA88" s="87"/>
      <c r="AB88" s="16"/>
      <c r="AC88" s="16"/>
      <c r="AD88" s="21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</row>
    <row r="89" spans="1:135" customFormat="1" ht="17.25" x14ac:dyDescent="0.25">
      <c r="A89" s="261" t="s">
        <v>57</v>
      </c>
      <c r="B89" s="262" t="s">
        <v>20</v>
      </c>
      <c r="C89" s="140" t="str">
        <f t="shared" si="2"/>
        <v>OK</v>
      </c>
      <c r="D89" s="16"/>
      <c r="E89" s="17"/>
      <c r="F89" s="16"/>
      <c r="G89" s="16"/>
      <c r="H89" s="16"/>
      <c r="I89" s="259"/>
      <c r="J89" s="16"/>
      <c r="K89" s="16"/>
      <c r="L89" s="16"/>
      <c r="M89" s="16"/>
      <c r="O89" s="16"/>
      <c r="P89" s="16"/>
      <c r="Q89" s="16"/>
      <c r="R89" s="16"/>
      <c r="S89" s="16"/>
      <c r="T89" s="87"/>
      <c r="U89" s="87"/>
      <c r="W89" s="87"/>
      <c r="X89" s="87"/>
      <c r="Z89" s="87"/>
      <c r="AA89" s="87"/>
      <c r="AB89" s="16"/>
      <c r="AC89" s="16"/>
      <c r="AD89" s="21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</row>
    <row r="90" spans="1:135" customFormat="1" ht="17.25" x14ac:dyDescent="0.25">
      <c r="A90" s="261" t="s">
        <v>60</v>
      </c>
      <c r="B90" s="262" t="s">
        <v>59</v>
      </c>
      <c r="C90" s="140" t="str">
        <f t="shared" si="2"/>
        <v>OK</v>
      </c>
      <c r="D90" s="16"/>
      <c r="E90" s="17"/>
      <c r="F90" s="16"/>
      <c r="G90" s="16"/>
      <c r="H90" s="16"/>
      <c r="I90" s="259"/>
      <c r="J90" s="16"/>
      <c r="K90" s="16"/>
      <c r="L90" s="16"/>
      <c r="M90" s="16"/>
      <c r="O90" s="16"/>
      <c r="P90" s="16"/>
      <c r="Q90" s="16"/>
      <c r="R90" s="16"/>
      <c r="S90" s="16"/>
      <c r="T90" s="87"/>
      <c r="U90" s="87"/>
      <c r="W90" s="87"/>
      <c r="X90" s="87"/>
      <c r="Z90" s="87"/>
      <c r="AA90" s="87"/>
      <c r="AB90" s="16"/>
      <c r="AC90" s="16"/>
      <c r="AD90" s="21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</row>
    <row r="91" spans="1:135" customFormat="1" ht="17.25" x14ac:dyDescent="0.25">
      <c r="A91" s="261" t="s">
        <v>61</v>
      </c>
      <c r="B91" s="262" t="s">
        <v>28</v>
      </c>
      <c r="C91" s="140" t="str">
        <f t="shared" si="2"/>
        <v>OK</v>
      </c>
      <c r="D91" s="16"/>
      <c r="E91" s="17"/>
      <c r="F91" s="16"/>
      <c r="G91" s="16"/>
      <c r="H91" s="16"/>
      <c r="I91" s="259"/>
      <c r="J91" s="16"/>
      <c r="K91" s="16"/>
      <c r="L91" s="16"/>
      <c r="M91" s="16"/>
      <c r="O91" s="16"/>
      <c r="P91" s="16"/>
      <c r="Q91" s="16"/>
      <c r="R91" s="16"/>
      <c r="S91" s="16"/>
      <c r="T91" s="87"/>
      <c r="U91" s="87"/>
      <c r="Z91" s="87"/>
      <c r="AA91" s="87"/>
      <c r="AB91" s="16"/>
      <c r="AC91" s="16"/>
      <c r="AD91" s="21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</row>
    <row r="92" spans="1:135" customFormat="1" ht="17.25" x14ac:dyDescent="0.25">
      <c r="A92" s="261" t="s">
        <v>322</v>
      </c>
      <c r="B92" s="262" t="s">
        <v>31</v>
      </c>
      <c r="C92" s="140" t="str">
        <f t="shared" si="2"/>
        <v>OK</v>
      </c>
      <c r="D92" s="16"/>
      <c r="E92" s="17"/>
      <c r="F92" s="16"/>
      <c r="G92" s="16"/>
      <c r="H92" s="16"/>
      <c r="I92" s="259"/>
      <c r="J92" s="16"/>
      <c r="K92" s="16"/>
      <c r="L92" s="16"/>
      <c r="M92" s="16"/>
      <c r="O92" s="16"/>
      <c r="P92" s="16"/>
      <c r="Q92" s="16"/>
      <c r="R92" s="16"/>
      <c r="S92" s="16"/>
      <c r="T92" s="87"/>
      <c r="U92" s="87"/>
      <c r="Z92" s="87"/>
      <c r="AA92" s="87"/>
      <c r="AB92" s="16"/>
      <c r="AC92" s="16"/>
      <c r="AD92" s="21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</row>
    <row r="93" spans="1:135" customFormat="1" ht="17.25" x14ac:dyDescent="0.25">
      <c r="A93" s="261" t="s">
        <v>323</v>
      </c>
      <c r="B93" s="262" t="s">
        <v>53</v>
      </c>
      <c r="C93" s="140" t="str">
        <f t="shared" si="2"/>
        <v>OK</v>
      </c>
      <c r="D93" s="16"/>
      <c r="E93" s="17"/>
      <c r="F93" s="16"/>
      <c r="G93" s="16"/>
      <c r="H93" s="16"/>
      <c r="I93" s="259"/>
      <c r="J93" s="16"/>
      <c r="K93" s="16"/>
      <c r="L93" s="16"/>
      <c r="M93" s="16"/>
      <c r="O93" s="16"/>
      <c r="P93" s="16"/>
      <c r="Q93" s="16"/>
      <c r="R93" s="16"/>
      <c r="S93" s="16"/>
      <c r="T93" s="87"/>
      <c r="U93" s="87"/>
      <c r="Z93" s="87"/>
      <c r="AA93" s="87"/>
      <c r="AB93" s="16"/>
      <c r="AC93" s="16"/>
      <c r="AD93" s="21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  <c r="EB93" s="16"/>
      <c r="EC93" s="16"/>
      <c r="ED93" s="16"/>
      <c r="EE93" s="16"/>
    </row>
    <row r="94" spans="1:135" customFormat="1" ht="17.25" x14ac:dyDescent="0.25">
      <c r="A94" s="261" t="s">
        <v>64</v>
      </c>
      <c r="B94" s="262" t="s">
        <v>25</v>
      </c>
      <c r="C94" s="140" t="str">
        <f t="shared" si="2"/>
        <v>OK</v>
      </c>
      <c r="D94" s="16"/>
      <c r="E94" s="17"/>
      <c r="F94" s="16"/>
      <c r="G94" s="16"/>
      <c r="H94" s="16"/>
      <c r="I94" s="259"/>
      <c r="J94" s="16"/>
      <c r="K94" s="16"/>
      <c r="L94" s="16"/>
      <c r="M94" s="16"/>
      <c r="O94" s="16"/>
      <c r="P94" s="16"/>
      <c r="Q94" s="16"/>
      <c r="R94" s="16"/>
      <c r="S94" s="16"/>
      <c r="T94" s="87"/>
      <c r="U94" s="87"/>
      <c r="Z94" s="87"/>
      <c r="AA94" s="87"/>
      <c r="AB94" s="16"/>
      <c r="AC94" s="16"/>
      <c r="AD94" s="21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</row>
    <row r="95" spans="1:135" customFormat="1" ht="17.25" x14ac:dyDescent="0.25">
      <c r="A95" s="261" t="s">
        <v>324</v>
      </c>
      <c r="B95" s="262" t="s">
        <v>49</v>
      </c>
      <c r="C95" s="140" t="str">
        <f t="shared" si="2"/>
        <v>OK</v>
      </c>
      <c r="D95" s="16"/>
      <c r="E95" s="17"/>
      <c r="F95" s="16"/>
      <c r="G95" s="16"/>
      <c r="H95" s="16"/>
      <c r="I95" s="259"/>
      <c r="J95" s="16"/>
      <c r="K95" s="16"/>
      <c r="L95" s="16"/>
      <c r="M95" s="16"/>
      <c r="O95" s="16"/>
      <c r="P95" s="16"/>
      <c r="Q95" s="16"/>
      <c r="R95" s="16"/>
      <c r="S95" s="16"/>
      <c r="T95" s="87"/>
      <c r="U95" s="87"/>
      <c r="Z95" s="87"/>
      <c r="AA95" s="87"/>
      <c r="AB95" s="16"/>
      <c r="AC95" s="16"/>
      <c r="AD95" s="21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  <c r="EB95" s="16"/>
      <c r="EC95" s="16"/>
      <c r="ED95" s="16"/>
      <c r="EE95" s="16"/>
    </row>
    <row r="96" spans="1:135" customFormat="1" ht="17.25" x14ac:dyDescent="0.25">
      <c r="A96" s="261" t="s">
        <v>65</v>
      </c>
      <c r="B96" s="262" t="s">
        <v>37</v>
      </c>
      <c r="C96" s="140" t="str">
        <f t="shared" si="2"/>
        <v>OK</v>
      </c>
      <c r="D96" s="16"/>
      <c r="E96" s="17"/>
      <c r="F96" s="16"/>
      <c r="G96" s="16"/>
      <c r="H96" s="16"/>
      <c r="I96" s="259"/>
      <c r="J96" s="16"/>
      <c r="K96" s="16"/>
      <c r="L96" s="16"/>
      <c r="M96" s="16"/>
      <c r="O96" s="16"/>
      <c r="P96" s="16"/>
      <c r="Q96" s="16"/>
      <c r="R96" s="16"/>
      <c r="S96" s="16"/>
      <c r="T96" s="87"/>
      <c r="U96" s="87"/>
      <c r="Z96" s="87"/>
      <c r="AA96" s="87"/>
      <c r="AB96" s="16"/>
      <c r="AC96" s="16"/>
      <c r="AD96" s="21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</row>
    <row r="97" spans="1:135" customFormat="1" ht="17.25" x14ac:dyDescent="0.25">
      <c r="A97" s="208" t="s">
        <v>93</v>
      </c>
      <c r="B97" s="262" t="s">
        <v>15</v>
      </c>
      <c r="C97" s="140" t="str">
        <f t="shared" si="2"/>
        <v>OK</v>
      </c>
      <c r="D97" s="16"/>
      <c r="E97" s="17"/>
      <c r="F97" s="16"/>
      <c r="G97" s="16"/>
      <c r="H97" s="16"/>
      <c r="I97" s="259"/>
      <c r="J97" s="16"/>
      <c r="K97" s="16"/>
      <c r="L97" s="16"/>
      <c r="M97" s="16"/>
      <c r="O97" s="16"/>
      <c r="P97" s="16"/>
      <c r="Q97" s="16"/>
      <c r="R97" s="16"/>
      <c r="S97" s="16"/>
      <c r="T97" s="87"/>
      <c r="U97" s="87"/>
      <c r="Z97" s="87"/>
      <c r="AA97" s="87"/>
      <c r="AB97" s="16"/>
      <c r="AC97" s="16"/>
      <c r="AD97" s="21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  <c r="EC97" s="16"/>
      <c r="ED97" s="16"/>
      <c r="EE97" s="16"/>
    </row>
    <row r="98" spans="1:135" customFormat="1" ht="17.25" x14ac:dyDescent="0.25">
      <c r="A98" s="261" t="s">
        <v>348</v>
      </c>
      <c r="B98" s="243" t="s">
        <v>25</v>
      </c>
      <c r="C98" s="140" t="str">
        <f t="shared" si="2"/>
        <v>OK</v>
      </c>
      <c r="D98" s="16"/>
      <c r="E98" s="17"/>
      <c r="F98" s="16"/>
      <c r="G98" s="16"/>
      <c r="H98" s="16"/>
      <c r="I98" s="259"/>
      <c r="J98" s="16"/>
      <c r="K98" s="16"/>
      <c r="L98" s="16"/>
      <c r="M98" s="16"/>
      <c r="O98" s="16"/>
      <c r="P98" s="16"/>
      <c r="Q98" s="16"/>
      <c r="R98" s="16"/>
      <c r="S98" s="16"/>
      <c r="T98" s="87"/>
      <c r="U98" s="87"/>
      <c r="Z98" s="87"/>
      <c r="AA98" s="87"/>
      <c r="AB98" s="16"/>
      <c r="AC98" s="16"/>
      <c r="AD98" s="21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</row>
    <row r="99" spans="1:135" customFormat="1" x14ac:dyDescent="0.25">
      <c r="A99" s="208" t="s">
        <v>349</v>
      </c>
      <c r="B99" s="243" t="s">
        <v>63</v>
      </c>
      <c r="C99" s="140" t="str">
        <f t="shared" si="2"/>
        <v>OK</v>
      </c>
      <c r="D99" s="16"/>
      <c r="E99" s="17"/>
      <c r="F99" s="16"/>
      <c r="G99" s="16"/>
      <c r="H99" s="16"/>
      <c r="I99" s="259"/>
      <c r="J99" s="16"/>
      <c r="K99" s="16"/>
      <c r="L99" s="16"/>
      <c r="M99" s="16"/>
      <c r="O99" s="16"/>
      <c r="P99" s="16"/>
      <c r="Q99" s="16"/>
      <c r="R99" s="16"/>
      <c r="S99" s="16"/>
      <c r="T99" s="87"/>
      <c r="Z99" s="87"/>
      <c r="AA99" s="87"/>
      <c r="AB99" s="16"/>
      <c r="AC99" s="16"/>
      <c r="AD99" s="21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  <c r="EB99" s="16"/>
      <c r="EC99" s="16"/>
      <c r="ED99" s="16"/>
      <c r="EE99" s="16"/>
    </row>
    <row r="100" spans="1:135" customFormat="1" x14ac:dyDescent="0.25">
      <c r="A100" s="208" t="s">
        <v>350</v>
      </c>
      <c r="B100" s="243" t="s">
        <v>63</v>
      </c>
      <c r="C100" s="140" t="str">
        <f t="shared" si="2"/>
        <v>OK</v>
      </c>
      <c r="D100" s="16"/>
      <c r="E100" s="17"/>
      <c r="F100" s="16"/>
      <c r="G100" s="16"/>
      <c r="H100" s="16"/>
      <c r="I100" s="259"/>
      <c r="J100" s="16"/>
      <c r="K100" s="16"/>
      <c r="L100" s="16"/>
      <c r="M100" s="16"/>
      <c r="O100" s="16"/>
      <c r="P100" s="16"/>
      <c r="Q100" s="16"/>
      <c r="R100" s="16"/>
      <c r="S100" s="16"/>
      <c r="T100" s="87"/>
      <c r="U100" s="87"/>
      <c r="Z100" s="87"/>
      <c r="AA100" s="87"/>
      <c r="AB100" s="16"/>
      <c r="AC100" s="16"/>
      <c r="AD100" s="21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</row>
    <row r="101" spans="1:135" customFormat="1" x14ac:dyDescent="0.25">
      <c r="A101" s="138" t="s">
        <v>351</v>
      </c>
      <c r="B101" s="243" t="s">
        <v>62</v>
      </c>
      <c r="C101" s="140" t="str">
        <f t="shared" si="2"/>
        <v>OK</v>
      </c>
      <c r="D101" s="16"/>
      <c r="E101" s="17"/>
      <c r="F101" s="16"/>
      <c r="G101" s="16"/>
      <c r="H101" s="16"/>
      <c r="I101" s="259"/>
      <c r="J101" s="16"/>
      <c r="K101" s="16"/>
      <c r="L101" s="16"/>
      <c r="M101" s="16"/>
      <c r="O101" s="16"/>
      <c r="P101" s="16"/>
      <c r="Q101" s="16"/>
      <c r="R101" s="16"/>
      <c r="S101" s="16"/>
      <c r="T101" s="87"/>
      <c r="U101" s="87"/>
      <c r="Z101" s="87"/>
      <c r="AA101" s="87"/>
      <c r="AB101" s="16"/>
      <c r="AC101" s="16"/>
      <c r="AD101" s="21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  <c r="EC101" s="16"/>
      <c r="ED101" s="16"/>
      <c r="EE101" s="16"/>
    </row>
    <row r="102" spans="1:135" customFormat="1" ht="17.25" x14ac:dyDescent="0.25">
      <c r="A102" s="261" t="s">
        <v>51</v>
      </c>
      <c r="B102" s="262" t="s">
        <v>51</v>
      </c>
      <c r="C102" s="140" t="str">
        <f t="shared" si="2"/>
        <v>OK</v>
      </c>
      <c r="D102" s="16"/>
      <c r="E102" s="17"/>
      <c r="F102" s="16"/>
      <c r="G102" s="16"/>
      <c r="H102" s="16"/>
      <c r="I102" s="259"/>
      <c r="J102" s="16"/>
      <c r="K102" s="16"/>
      <c r="L102" s="16"/>
      <c r="M102" s="16"/>
      <c r="O102" s="16"/>
      <c r="P102" s="16"/>
      <c r="Q102" s="16"/>
      <c r="R102" s="16"/>
      <c r="S102" s="16"/>
      <c r="T102" s="87"/>
      <c r="U102" s="87"/>
      <c r="Z102" s="87"/>
      <c r="AA102" s="87"/>
      <c r="AB102" s="16"/>
      <c r="AC102" s="16"/>
      <c r="AD102" s="21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</row>
    <row r="103" spans="1:135" customFormat="1" x14ac:dyDescent="0.25">
      <c r="A103" s="208" t="s">
        <v>352</v>
      </c>
      <c r="B103" s="246" t="s">
        <v>14</v>
      </c>
      <c r="C103" s="140" t="str">
        <f t="shared" si="2"/>
        <v>OK</v>
      </c>
      <c r="D103" s="16"/>
      <c r="E103" s="17"/>
      <c r="F103" s="16"/>
      <c r="G103" s="16"/>
      <c r="H103" s="16"/>
      <c r="I103" s="259"/>
      <c r="J103" s="16"/>
      <c r="K103" s="16"/>
      <c r="L103" s="16"/>
      <c r="M103" s="16"/>
      <c r="O103" s="16"/>
      <c r="P103" s="16"/>
      <c r="Q103" s="16"/>
      <c r="R103" s="16"/>
      <c r="S103" s="16"/>
      <c r="T103" s="87"/>
      <c r="U103" s="87"/>
      <c r="Z103" s="87"/>
      <c r="AA103" s="87"/>
      <c r="AB103" s="16"/>
      <c r="AC103" s="16"/>
      <c r="AD103" s="21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</row>
    <row r="104" spans="1:135" customFormat="1" x14ac:dyDescent="0.25">
      <c r="A104" s="208" t="s">
        <v>108</v>
      </c>
      <c r="B104" s="246" t="s">
        <v>110</v>
      </c>
      <c r="C104" s="140" t="str">
        <f t="shared" si="2"/>
        <v>OK</v>
      </c>
      <c r="D104" s="16"/>
      <c r="E104" s="17"/>
      <c r="F104" s="16"/>
      <c r="G104" s="16"/>
      <c r="H104" s="16"/>
      <c r="I104" s="259"/>
      <c r="J104" s="16"/>
      <c r="K104" s="16"/>
      <c r="L104" s="16"/>
      <c r="M104" s="16"/>
      <c r="O104" s="16"/>
      <c r="P104" s="16"/>
      <c r="Q104" s="16"/>
      <c r="R104" s="16"/>
      <c r="S104" s="16"/>
      <c r="T104" s="87"/>
      <c r="U104" s="87"/>
      <c r="Z104" s="87"/>
      <c r="AA104" s="87"/>
      <c r="AB104" s="16"/>
      <c r="AC104" s="16"/>
      <c r="AD104" s="21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</row>
    <row r="105" spans="1:135" customFormat="1" x14ac:dyDescent="0.25">
      <c r="A105" s="208" t="s">
        <v>109</v>
      </c>
      <c r="B105" s="243" t="s">
        <v>62</v>
      </c>
      <c r="C105" s="140" t="str">
        <f t="shared" si="2"/>
        <v>OK</v>
      </c>
      <c r="D105" s="16"/>
      <c r="E105" s="17"/>
      <c r="F105" s="16"/>
      <c r="G105" s="16"/>
      <c r="H105" s="16"/>
      <c r="I105" s="259"/>
      <c r="J105" s="16"/>
      <c r="K105" s="16"/>
      <c r="L105" s="16"/>
      <c r="M105" s="16"/>
      <c r="O105" s="16"/>
      <c r="P105" s="16"/>
      <c r="Q105" s="16"/>
      <c r="R105" s="16"/>
      <c r="S105" s="16"/>
      <c r="T105" s="87"/>
      <c r="U105" s="87"/>
      <c r="Z105" s="87"/>
      <c r="AA105" s="87"/>
      <c r="AB105" s="16"/>
      <c r="AC105" s="16"/>
      <c r="AD105" s="21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</row>
    <row r="106" spans="1:135" customFormat="1" x14ac:dyDescent="0.25">
      <c r="A106" s="138" t="s">
        <v>143</v>
      </c>
      <c r="B106" s="243" t="s">
        <v>62</v>
      </c>
      <c r="C106" s="140" t="str">
        <f t="shared" si="2"/>
        <v>OK</v>
      </c>
      <c r="D106" s="16"/>
      <c r="E106" s="17"/>
      <c r="F106" s="16"/>
      <c r="G106" s="16"/>
      <c r="H106" s="16"/>
      <c r="I106" s="259"/>
      <c r="J106" s="16"/>
      <c r="K106" s="16"/>
      <c r="L106" s="16"/>
      <c r="M106" s="16"/>
      <c r="O106" s="16"/>
      <c r="P106" s="16"/>
      <c r="Q106" s="16"/>
      <c r="R106" s="16"/>
      <c r="S106" s="16"/>
      <c r="T106" s="87"/>
      <c r="U106" s="87"/>
      <c r="Z106" s="87"/>
      <c r="AA106" s="87"/>
      <c r="AB106" s="16"/>
      <c r="AC106" s="16"/>
      <c r="AD106" s="21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</row>
    <row r="107" spans="1:135" customFormat="1" ht="17.25" x14ac:dyDescent="0.25">
      <c r="A107" s="138" t="s">
        <v>353</v>
      </c>
      <c r="B107" s="262" t="s">
        <v>2</v>
      </c>
      <c r="C107" s="140" t="str">
        <f t="shared" si="2"/>
        <v>OK</v>
      </c>
      <c r="D107" s="16"/>
      <c r="E107" s="17"/>
      <c r="F107" s="16"/>
      <c r="G107" s="16"/>
      <c r="H107" s="16"/>
      <c r="I107" s="259"/>
      <c r="J107" s="16"/>
      <c r="K107" s="16"/>
      <c r="L107" s="16"/>
      <c r="M107" s="16"/>
      <c r="O107" s="16"/>
      <c r="P107" s="16"/>
      <c r="Q107" s="16"/>
      <c r="R107" s="16"/>
      <c r="S107" s="16"/>
      <c r="T107" s="87"/>
      <c r="U107" s="87"/>
      <c r="Z107" s="87"/>
      <c r="AA107" s="87"/>
      <c r="AB107" s="16"/>
      <c r="AC107" s="16"/>
      <c r="AD107" s="21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  <c r="EB107" s="16"/>
      <c r="EC107" s="16"/>
      <c r="ED107" s="16"/>
      <c r="EE107" s="16"/>
    </row>
    <row r="108" spans="1:135" customFormat="1" ht="17.25" x14ac:dyDescent="0.25">
      <c r="A108" s="138" t="s">
        <v>354</v>
      </c>
      <c r="B108" s="262" t="s">
        <v>6</v>
      </c>
      <c r="C108" s="140" t="str">
        <f t="shared" si="2"/>
        <v>OK</v>
      </c>
      <c r="D108" s="16"/>
      <c r="E108" s="17"/>
      <c r="F108" s="16"/>
      <c r="G108" s="16"/>
      <c r="H108" s="16"/>
      <c r="I108" s="259"/>
      <c r="J108" s="16"/>
      <c r="K108" s="16"/>
      <c r="L108" s="16"/>
      <c r="M108" s="16"/>
      <c r="O108" s="16"/>
      <c r="P108" s="16"/>
      <c r="Q108" s="16"/>
      <c r="R108" s="16"/>
      <c r="S108" s="16"/>
      <c r="T108" s="87"/>
      <c r="U108" s="87"/>
      <c r="Z108" s="87"/>
      <c r="AA108" s="87"/>
      <c r="AB108" s="16"/>
      <c r="AC108" s="16"/>
      <c r="AD108" s="21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</row>
    <row r="109" spans="1:135" customFormat="1" ht="17.25" x14ac:dyDescent="0.25">
      <c r="A109" s="138" t="s">
        <v>355</v>
      </c>
      <c r="B109" s="262" t="s">
        <v>25</v>
      </c>
      <c r="C109" s="140" t="str">
        <f t="shared" si="2"/>
        <v>OK</v>
      </c>
      <c r="D109" s="16"/>
      <c r="E109" s="16"/>
      <c r="F109" s="16"/>
      <c r="G109" s="16"/>
      <c r="H109" s="16"/>
      <c r="I109" s="259"/>
      <c r="J109" s="16"/>
      <c r="K109" s="16"/>
      <c r="L109" s="16"/>
      <c r="M109" s="16"/>
      <c r="O109" s="16"/>
      <c r="P109" s="16"/>
      <c r="Q109" s="16"/>
      <c r="R109" s="16"/>
      <c r="S109" s="16"/>
      <c r="T109" s="87"/>
      <c r="Z109" s="87"/>
      <c r="AA109" s="87"/>
      <c r="AB109" s="16"/>
      <c r="AC109" s="16"/>
      <c r="AD109" s="21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  <c r="EC109" s="16"/>
      <c r="ED109" s="16"/>
      <c r="EE109" s="16"/>
    </row>
    <row r="110" spans="1:135" customFormat="1" ht="17.25" x14ac:dyDescent="0.25">
      <c r="A110" s="138" t="s">
        <v>356</v>
      </c>
      <c r="B110" s="262" t="s">
        <v>6</v>
      </c>
      <c r="C110" s="140" t="str">
        <f t="shared" si="2"/>
        <v>OK</v>
      </c>
      <c r="D110" s="16"/>
      <c r="E110" s="16"/>
      <c r="F110" s="16"/>
      <c r="G110" s="16"/>
      <c r="H110" s="16"/>
      <c r="I110" s="259"/>
      <c r="J110" s="16"/>
      <c r="K110" s="16"/>
      <c r="L110" s="16"/>
      <c r="M110" s="16"/>
      <c r="O110" s="16"/>
      <c r="P110" s="16"/>
      <c r="Q110" s="16"/>
      <c r="R110" s="16"/>
      <c r="S110" s="16"/>
      <c r="T110" s="87"/>
      <c r="U110" s="87"/>
      <c r="Z110" s="87"/>
      <c r="AA110" s="87"/>
      <c r="AB110" s="16"/>
      <c r="AC110" s="16"/>
      <c r="AD110" s="21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</row>
    <row r="111" spans="1:135" customFormat="1" ht="17.25" x14ac:dyDescent="0.25">
      <c r="A111" s="138" t="s">
        <v>146</v>
      </c>
      <c r="B111" s="262" t="s">
        <v>46</v>
      </c>
      <c r="C111" s="140" t="str">
        <f t="shared" si="2"/>
        <v>OK</v>
      </c>
      <c r="D111" s="16"/>
      <c r="E111" s="16"/>
      <c r="F111" s="16"/>
      <c r="G111" s="16"/>
      <c r="H111" s="16"/>
      <c r="I111" s="259"/>
      <c r="J111" s="16"/>
      <c r="K111" s="16"/>
      <c r="L111" s="16"/>
      <c r="M111" s="16"/>
      <c r="O111" s="16"/>
      <c r="P111" s="16"/>
      <c r="Q111" s="16"/>
      <c r="R111" s="16"/>
      <c r="S111" s="16"/>
      <c r="T111" s="87"/>
      <c r="U111" s="87"/>
      <c r="Z111" s="87"/>
      <c r="AA111" s="87"/>
      <c r="AB111" s="16"/>
      <c r="AC111" s="16"/>
      <c r="AD111" s="21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</row>
    <row r="112" spans="1:135" customFormat="1" ht="17.25" x14ac:dyDescent="0.25">
      <c r="A112" s="138" t="s">
        <v>147</v>
      </c>
      <c r="B112" s="262" t="s">
        <v>31</v>
      </c>
      <c r="C112" s="140" t="str">
        <f t="shared" si="2"/>
        <v>OK</v>
      </c>
      <c r="D112" s="16"/>
      <c r="E112" s="16"/>
      <c r="F112" s="16"/>
      <c r="G112" s="16"/>
      <c r="H112" s="16"/>
      <c r="I112" s="259"/>
      <c r="J112" s="16"/>
      <c r="K112" s="16"/>
      <c r="L112" s="16"/>
      <c r="M112" s="16"/>
      <c r="O112" s="16"/>
      <c r="P112" s="16"/>
      <c r="Q112" s="16"/>
      <c r="R112" s="16"/>
      <c r="S112" s="16"/>
      <c r="T112" s="87"/>
      <c r="U112" s="87"/>
      <c r="Z112" s="87"/>
      <c r="AA112" s="87"/>
      <c r="AB112" s="16"/>
      <c r="AC112" s="16"/>
      <c r="AD112" s="21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</row>
    <row r="113" spans="1:135" customFormat="1" x14ac:dyDescent="0.25">
      <c r="A113" s="138" t="s">
        <v>357</v>
      </c>
      <c r="B113" s="243" t="s">
        <v>23</v>
      </c>
      <c r="C113" s="140" t="str">
        <f t="shared" si="2"/>
        <v>OK</v>
      </c>
      <c r="D113" s="16"/>
      <c r="E113" s="16"/>
      <c r="F113" s="16"/>
      <c r="G113" s="16"/>
      <c r="H113" s="16"/>
      <c r="I113" s="259"/>
      <c r="J113" s="16"/>
      <c r="K113" s="16"/>
      <c r="L113" s="16"/>
      <c r="M113" s="16"/>
      <c r="O113" s="16"/>
      <c r="P113" s="16"/>
      <c r="Q113" s="16"/>
      <c r="R113" s="16"/>
      <c r="S113" s="16"/>
      <c r="T113" s="87"/>
      <c r="Z113" s="87"/>
      <c r="AA113" s="87"/>
      <c r="AB113" s="16"/>
      <c r="AC113" s="16"/>
      <c r="AD113" s="21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  <c r="EC113" s="16"/>
      <c r="ED113" s="16"/>
      <c r="EE113" s="16"/>
    </row>
    <row r="114" spans="1:135" customFormat="1" ht="17.25" x14ac:dyDescent="0.25">
      <c r="A114" s="138" t="s">
        <v>358</v>
      </c>
      <c r="B114" s="262" t="s">
        <v>2</v>
      </c>
      <c r="C114" s="140" t="str">
        <f t="shared" si="2"/>
        <v>OK</v>
      </c>
      <c r="D114" s="16"/>
      <c r="E114" s="16"/>
      <c r="F114" s="16"/>
      <c r="G114" s="16"/>
      <c r="H114" s="16"/>
      <c r="I114" s="259"/>
      <c r="J114" s="16"/>
      <c r="K114" s="16"/>
      <c r="L114" s="16"/>
      <c r="M114" s="16"/>
      <c r="O114" s="16"/>
      <c r="P114" s="16"/>
      <c r="Q114" s="16"/>
      <c r="R114" s="16"/>
      <c r="S114" s="16"/>
      <c r="T114" s="87"/>
      <c r="U114" s="87"/>
      <c r="Z114" s="87"/>
      <c r="AA114" s="87"/>
      <c r="AB114" s="16"/>
      <c r="AC114" s="16"/>
      <c r="AD114" s="21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</row>
    <row r="115" spans="1:135" customFormat="1" x14ac:dyDescent="0.25">
      <c r="A115" s="138" t="s">
        <v>148</v>
      </c>
      <c r="B115" s="246" t="s">
        <v>110</v>
      </c>
      <c r="C115" s="140" t="str">
        <f t="shared" si="2"/>
        <v>OK</v>
      </c>
      <c r="D115" s="16"/>
      <c r="E115" s="16"/>
      <c r="F115" s="16"/>
      <c r="G115" s="16"/>
      <c r="H115" s="16"/>
      <c r="I115" s="259"/>
      <c r="J115" s="16"/>
      <c r="K115" s="16"/>
      <c r="L115" s="16"/>
      <c r="M115" s="16"/>
      <c r="O115" s="16"/>
      <c r="P115" s="16"/>
      <c r="Q115" s="16"/>
      <c r="R115" s="16"/>
      <c r="S115" s="16"/>
      <c r="T115" s="87"/>
      <c r="U115" s="87"/>
      <c r="W115" s="87"/>
      <c r="X115" s="87"/>
      <c r="Z115" s="87"/>
      <c r="AA115" s="87"/>
      <c r="AB115" s="16"/>
      <c r="AC115" s="16"/>
      <c r="AD115" s="21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  <c r="EC115" s="16"/>
      <c r="ED115" s="16"/>
      <c r="EE115" s="16"/>
    </row>
    <row r="116" spans="1:135" customFormat="1" ht="17.25" x14ac:dyDescent="0.25">
      <c r="A116" s="138" t="s">
        <v>359</v>
      </c>
      <c r="B116" s="262" t="s">
        <v>2</v>
      </c>
      <c r="C116" s="140" t="str">
        <f t="shared" si="2"/>
        <v>OK</v>
      </c>
      <c r="D116" s="16"/>
      <c r="E116" s="16"/>
      <c r="F116" s="16"/>
      <c r="G116" s="16"/>
      <c r="H116" s="16"/>
      <c r="I116" s="259"/>
      <c r="J116" s="16"/>
      <c r="K116" s="16"/>
      <c r="L116" s="16"/>
      <c r="M116" s="16"/>
      <c r="O116" s="16"/>
      <c r="P116" s="16"/>
      <c r="Q116" s="16"/>
      <c r="R116" s="16"/>
      <c r="S116" s="16"/>
      <c r="T116" s="87"/>
      <c r="U116" s="87"/>
      <c r="W116" s="87"/>
      <c r="X116" s="87"/>
      <c r="Z116" s="87"/>
      <c r="AA116" s="87"/>
      <c r="AB116" s="16"/>
      <c r="AC116" s="16"/>
      <c r="AD116" s="21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</row>
    <row r="117" spans="1:135" customFormat="1" x14ac:dyDescent="0.25">
      <c r="A117" s="138" t="s">
        <v>149</v>
      </c>
      <c r="B117" s="243" t="s">
        <v>62</v>
      </c>
      <c r="C117" s="140" t="str">
        <f t="shared" si="2"/>
        <v>OK</v>
      </c>
      <c r="D117" s="16"/>
      <c r="E117" s="16"/>
      <c r="F117" s="16"/>
      <c r="G117" s="16"/>
      <c r="H117" s="16"/>
      <c r="I117" s="259"/>
      <c r="J117" s="16"/>
      <c r="K117" s="16"/>
      <c r="L117" s="16"/>
      <c r="M117" s="16"/>
      <c r="O117" s="16"/>
      <c r="P117" s="16"/>
      <c r="Q117" s="16"/>
      <c r="R117" s="16"/>
      <c r="S117" s="16"/>
      <c r="T117" s="87"/>
      <c r="U117" s="87"/>
      <c r="W117" s="87"/>
      <c r="X117" s="87"/>
      <c r="Z117" s="87"/>
      <c r="AA117" s="87"/>
      <c r="AB117" s="16"/>
      <c r="AC117" s="16"/>
      <c r="AD117" s="21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</row>
    <row r="118" spans="1:135" customFormat="1" ht="17.25" x14ac:dyDescent="0.25">
      <c r="A118" s="138" t="s">
        <v>150</v>
      </c>
      <c r="B118" s="262" t="s">
        <v>6</v>
      </c>
      <c r="C118" s="140" t="str">
        <f t="shared" si="2"/>
        <v>OK</v>
      </c>
      <c r="D118" s="16"/>
      <c r="E118" s="16"/>
      <c r="F118" s="16"/>
      <c r="G118" s="16"/>
      <c r="H118" s="16"/>
      <c r="I118" s="259"/>
      <c r="J118" s="16"/>
      <c r="K118" s="16"/>
      <c r="L118" s="16"/>
      <c r="M118" s="16"/>
      <c r="O118" s="16"/>
      <c r="P118" s="16"/>
      <c r="Q118" s="16"/>
      <c r="R118" s="16"/>
      <c r="S118" s="16"/>
      <c r="T118" s="87"/>
      <c r="U118" s="87"/>
      <c r="W118" s="87"/>
      <c r="X118" s="87"/>
      <c r="Z118" s="87"/>
      <c r="AA118" s="87"/>
      <c r="AB118" s="16"/>
      <c r="AC118" s="16"/>
      <c r="AD118" s="21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</row>
    <row r="119" spans="1:135" customFormat="1" x14ac:dyDescent="0.25">
      <c r="A119" s="208" t="s">
        <v>325</v>
      </c>
      <c r="B119" s="243" t="s">
        <v>62</v>
      </c>
      <c r="C119" s="140" t="str">
        <f t="shared" si="2"/>
        <v>OK</v>
      </c>
      <c r="D119" s="16"/>
      <c r="E119" s="16"/>
      <c r="F119" s="16"/>
      <c r="G119" s="16"/>
      <c r="H119" s="16"/>
      <c r="I119" s="259"/>
      <c r="J119" s="16"/>
      <c r="K119" s="16"/>
      <c r="L119" s="16"/>
      <c r="M119" s="16"/>
      <c r="O119" s="16"/>
      <c r="P119" s="16"/>
      <c r="Q119" s="16"/>
      <c r="R119" s="16"/>
      <c r="S119" s="16"/>
      <c r="T119" s="87"/>
      <c r="U119" s="87"/>
      <c r="W119" s="87"/>
      <c r="X119" s="87"/>
      <c r="Z119" s="87"/>
      <c r="AA119" s="87"/>
      <c r="AB119" s="16"/>
      <c r="AC119" s="16"/>
      <c r="AD119" s="21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</row>
    <row r="120" spans="1:135" customFormat="1" x14ac:dyDescent="0.25">
      <c r="A120" s="208" t="s">
        <v>145</v>
      </c>
      <c r="B120" s="243" t="s">
        <v>63</v>
      </c>
      <c r="C120" s="140" t="str">
        <f>+IFERROR(IF(B120="","",(VLOOKUP(B120,$F$2:$H$55,3,0))),"State Wrong")</f>
        <v>OK</v>
      </c>
      <c r="D120" s="16"/>
      <c r="E120" s="16"/>
      <c r="F120" s="16"/>
      <c r="G120" s="16"/>
      <c r="H120" s="16"/>
      <c r="I120" s="259"/>
      <c r="J120" s="16"/>
      <c r="K120" s="16"/>
      <c r="L120" s="16"/>
      <c r="M120" s="16"/>
      <c r="O120" s="16"/>
      <c r="P120" s="16"/>
      <c r="Q120" s="16"/>
      <c r="R120" s="16"/>
      <c r="S120" s="16"/>
      <c r="T120" s="87"/>
      <c r="U120" s="87"/>
      <c r="Z120" s="87"/>
      <c r="AA120" s="87"/>
      <c r="AB120" s="16"/>
      <c r="AC120" s="16"/>
      <c r="AD120" s="21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</row>
    <row r="121" spans="1:135" customFormat="1" ht="17.25" x14ac:dyDescent="0.25">
      <c r="A121" s="138" t="s">
        <v>304</v>
      </c>
      <c r="B121" s="262" t="s">
        <v>31</v>
      </c>
      <c r="C121" s="140" t="str">
        <f t="shared" ref="C121:C154" si="3">+IFERROR(IF(B121="","",(VLOOKUP(B121,$F$2:$H$55,3,0))),"State Wrong")</f>
        <v>OK</v>
      </c>
      <c r="D121" s="16"/>
      <c r="E121" s="16"/>
      <c r="F121" s="16"/>
      <c r="G121" s="16"/>
      <c r="H121" s="16"/>
      <c r="I121" s="259"/>
      <c r="J121" s="16"/>
      <c r="K121" s="16"/>
      <c r="L121" s="16"/>
      <c r="M121" s="16"/>
      <c r="O121" s="16"/>
      <c r="P121" s="16"/>
      <c r="Q121" s="16"/>
      <c r="R121" s="16"/>
      <c r="S121" s="16"/>
      <c r="T121" s="87"/>
      <c r="Z121" s="87"/>
      <c r="AA121" s="87"/>
      <c r="AB121" s="16"/>
      <c r="AC121" s="16"/>
      <c r="AD121" s="21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</row>
    <row r="122" spans="1:135" customFormat="1" ht="17.25" x14ac:dyDescent="0.25">
      <c r="A122" s="138" t="s">
        <v>306</v>
      </c>
      <c r="B122" s="262" t="s">
        <v>46</v>
      </c>
      <c r="C122" s="140" t="str">
        <f t="shared" si="3"/>
        <v>OK</v>
      </c>
      <c r="D122" s="16"/>
      <c r="E122" s="16"/>
      <c r="F122" s="16"/>
      <c r="G122" s="16"/>
      <c r="H122" s="16"/>
      <c r="I122" s="259"/>
      <c r="J122" s="16"/>
      <c r="K122" s="16"/>
      <c r="L122" s="16"/>
      <c r="M122" s="16"/>
      <c r="O122" s="16"/>
      <c r="P122" s="16"/>
      <c r="Q122" s="16"/>
      <c r="R122" s="16"/>
      <c r="S122" s="16"/>
      <c r="T122" s="87"/>
      <c r="Z122" s="87"/>
      <c r="AA122" s="87"/>
      <c r="AB122" s="16"/>
      <c r="AC122" s="16"/>
      <c r="AD122" s="21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</row>
    <row r="123" spans="1:135" customFormat="1" ht="17.25" x14ac:dyDescent="0.25">
      <c r="A123" s="138" t="s">
        <v>307</v>
      </c>
      <c r="B123" s="262" t="s">
        <v>25</v>
      </c>
      <c r="C123" s="140" t="str">
        <f t="shared" si="3"/>
        <v>OK</v>
      </c>
      <c r="D123" s="16"/>
      <c r="E123" s="16"/>
      <c r="F123" s="16"/>
      <c r="G123" s="16"/>
      <c r="H123" s="16"/>
      <c r="I123" s="259"/>
      <c r="J123" s="16"/>
      <c r="K123" s="16"/>
      <c r="L123" s="16"/>
      <c r="M123" s="16"/>
      <c r="O123" s="16"/>
      <c r="P123" s="16"/>
      <c r="Q123" s="16"/>
      <c r="R123" s="16"/>
      <c r="S123" s="16"/>
      <c r="T123" s="87"/>
      <c r="Z123" s="87"/>
      <c r="AA123" s="87"/>
      <c r="AB123" s="16"/>
      <c r="AC123" s="16"/>
      <c r="AD123" s="21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</row>
    <row r="124" spans="1:135" customFormat="1" ht="17.25" x14ac:dyDescent="0.25">
      <c r="A124" s="208" t="s">
        <v>305</v>
      </c>
      <c r="B124" s="262" t="s">
        <v>49</v>
      </c>
      <c r="C124" s="140" t="str">
        <f t="shared" si="3"/>
        <v>OK</v>
      </c>
      <c r="D124" s="16"/>
      <c r="E124" s="16"/>
      <c r="F124" s="16"/>
      <c r="G124" s="16"/>
      <c r="H124" s="16"/>
      <c r="I124" s="259"/>
      <c r="J124" s="16"/>
      <c r="K124" s="16"/>
      <c r="L124" s="16"/>
      <c r="M124" s="16"/>
      <c r="O124" s="16"/>
      <c r="P124" s="16"/>
      <c r="Q124" s="16"/>
      <c r="R124" s="16"/>
      <c r="S124" s="16"/>
      <c r="T124" s="87"/>
      <c r="U124" s="382"/>
      <c r="Z124" s="87"/>
      <c r="AA124" s="87"/>
      <c r="AB124" s="16"/>
      <c r="AC124" s="16"/>
      <c r="AD124" s="21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  <c r="EB124" s="16"/>
      <c r="EC124" s="16"/>
      <c r="ED124" s="16"/>
      <c r="EE124" s="16"/>
    </row>
    <row r="125" spans="1:135" customFormat="1" ht="17.25" x14ac:dyDescent="0.25">
      <c r="A125" s="138" t="s">
        <v>308</v>
      </c>
      <c r="B125" s="262" t="s">
        <v>37</v>
      </c>
      <c r="C125" s="140" t="str">
        <f t="shared" si="3"/>
        <v>OK</v>
      </c>
      <c r="D125" s="16"/>
      <c r="E125" s="16"/>
      <c r="F125" s="16"/>
      <c r="G125" s="16"/>
      <c r="H125" s="16"/>
      <c r="I125" s="259"/>
      <c r="J125" s="16"/>
      <c r="K125" s="16"/>
      <c r="L125" s="16"/>
      <c r="M125" s="16"/>
      <c r="O125" s="16"/>
      <c r="P125" s="16"/>
      <c r="Q125" s="16"/>
      <c r="R125" s="16"/>
      <c r="S125" s="16"/>
      <c r="T125" s="87"/>
      <c r="W125" s="87"/>
      <c r="X125" s="87"/>
      <c r="Z125" s="87"/>
      <c r="AA125" s="87"/>
      <c r="AB125" s="16"/>
      <c r="AC125" s="16"/>
      <c r="AD125" s="21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</row>
    <row r="126" spans="1:135" customFormat="1" ht="17.25" x14ac:dyDescent="0.25">
      <c r="A126" s="138" t="s">
        <v>309</v>
      </c>
      <c r="B126" s="262" t="s">
        <v>25</v>
      </c>
      <c r="C126" s="140" t="str">
        <f t="shared" si="3"/>
        <v>OK</v>
      </c>
      <c r="D126" s="16"/>
      <c r="E126" s="16"/>
      <c r="F126" s="16"/>
      <c r="G126" s="16"/>
      <c r="H126" s="16"/>
      <c r="I126" s="259"/>
      <c r="J126" s="16"/>
      <c r="K126" s="16"/>
      <c r="L126" s="16"/>
      <c r="M126" s="16"/>
      <c r="O126" s="16"/>
      <c r="P126" s="16"/>
      <c r="Q126" s="16"/>
      <c r="R126" s="16"/>
      <c r="S126" s="16"/>
      <c r="T126" s="87"/>
      <c r="U126" s="87"/>
      <c r="W126" s="87"/>
      <c r="X126" s="87"/>
      <c r="Z126" s="87"/>
      <c r="AA126" s="87"/>
      <c r="AB126" s="16"/>
      <c r="AC126" s="16"/>
      <c r="AD126" s="21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  <c r="EB126" s="16"/>
      <c r="EC126" s="16"/>
      <c r="ED126" s="16"/>
      <c r="EE126" s="16"/>
    </row>
    <row r="127" spans="1:135" customFormat="1" ht="17.25" x14ac:dyDescent="0.25">
      <c r="A127" s="138" t="s">
        <v>310</v>
      </c>
      <c r="B127" s="262" t="s">
        <v>2</v>
      </c>
      <c r="C127" s="140" t="str">
        <f t="shared" si="3"/>
        <v>OK</v>
      </c>
      <c r="D127" s="16"/>
      <c r="E127" s="16"/>
      <c r="F127" s="16"/>
      <c r="G127" s="16"/>
      <c r="H127" s="16"/>
      <c r="I127" s="259"/>
      <c r="J127" s="16"/>
      <c r="K127" s="16"/>
      <c r="L127" s="16"/>
      <c r="M127" s="16"/>
      <c r="O127" s="16"/>
      <c r="P127" s="16"/>
      <c r="Q127" s="16"/>
      <c r="R127" s="16"/>
      <c r="S127" s="16"/>
      <c r="T127" s="87"/>
      <c r="Z127" s="87"/>
      <c r="AA127" s="87"/>
      <c r="AB127" s="16"/>
      <c r="AC127" s="16"/>
      <c r="AD127" s="21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</row>
    <row r="128" spans="1:135" customFormat="1" ht="17.25" x14ac:dyDescent="0.25">
      <c r="A128" s="138" t="s">
        <v>311</v>
      </c>
      <c r="B128" s="262" t="s">
        <v>31</v>
      </c>
      <c r="C128" s="140" t="str">
        <f t="shared" si="3"/>
        <v>OK</v>
      </c>
      <c r="D128" s="16"/>
      <c r="E128" s="16"/>
      <c r="F128" s="16"/>
      <c r="G128" s="16"/>
      <c r="H128" s="16"/>
      <c r="I128" s="259"/>
      <c r="J128" s="16"/>
      <c r="K128" s="16"/>
      <c r="L128" s="16"/>
      <c r="M128" s="16"/>
      <c r="O128" s="16"/>
      <c r="P128" s="16"/>
      <c r="Q128" s="16"/>
      <c r="R128" s="16"/>
      <c r="S128" s="16"/>
      <c r="T128" s="87"/>
      <c r="U128" s="87"/>
      <c r="Z128" s="87"/>
      <c r="AA128" s="87"/>
      <c r="AB128" s="16"/>
      <c r="AC128" s="16"/>
      <c r="AD128" s="21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  <c r="EB128" s="16"/>
      <c r="EC128" s="16"/>
      <c r="ED128" s="16"/>
      <c r="EE128" s="16"/>
    </row>
    <row r="129" spans="1:135" customFormat="1" ht="17.25" x14ac:dyDescent="0.25">
      <c r="A129" s="138" t="s">
        <v>312</v>
      </c>
      <c r="B129" s="262" t="s">
        <v>17</v>
      </c>
      <c r="C129" s="140" t="str">
        <f t="shared" si="3"/>
        <v>OK</v>
      </c>
      <c r="D129" s="16"/>
      <c r="E129" s="16"/>
      <c r="F129" s="16"/>
      <c r="G129" s="16"/>
      <c r="H129" s="16"/>
      <c r="I129" s="259"/>
      <c r="J129" s="16"/>
      <c r="K129" s="16"/>
      <c r="L129" s="16"/>
      <c r="M129" s="16"/>
      <c r="O129" s="16"/>
      <c r="P129" s="16"/>
      <c r="Q129" s="16"/>
      <c r="R129" s="16"/>
      <c r="S129" s="16"/>
      <c r="T129" s="87"/>
      <c r="Z129" s="87"/>
      <c r="AA129" s="87"/>
      <c r="AB129" s="16"/>
      <c r="AC129" s="16"/>
      <c r="AD129" s="21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</row>
    <row r="130" spans="1:135" customFormat="1" ht="17.25" x14ac:dyDescent="0.25">
      <c r="A130" s="138" t="s">
        <v>313</v>
      </c>
      <c r="B130" s="262" t="s">
        <v>31</v>
      </c>
      <c r="C130" s="140" t="str">
        <f t="shared" si="3"/>
        <v>OK</v>
      </c>
      <c r="D130" s="16"/>
      <c r="E130" s="16"/>
      <c r="F130" s="16"/>
      <c r="G130" s="16"/>
      <c r="H130" s="16"/>
      <c r="I130" s="259"/>
      <c r="J130" s="16"/>
      <c r="K130" s="16"/>
      <c r="L130" s="16"/>
      <c r="M130" s="16"/>
      <c r="O130" s="16"/>
      <c r="P130" s="16"/>
      <c r="Q130" s="16"/>
      <c r="R130" s="16"/>
      <c r="S130" s="16"/>
      <c r="T130" s="87"/>
      <c r="U130" s="87"/>
      <c r="Z130" s="87"/>
      <c r="AA130" s="87"/>
      <c r="AB130" s="16"/>
      <c r="AC130" s="16"/>
      <c r="AD130" s="21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/>
      <c r="EC130" s="16"/>
      <c r="ED130" s="16"/>
      <c r="EE130" s="16"/>
    </row>
    <row r="131" spans="1:135" customFormat="1" ht="17.25" x14ac:dyDescent="0.25">
      <c r="A131" s="138" t="s">
        <v>314</v>
      </c>
      <c r="B131" s="262" t="s">
        <v>3</v>
      </c>
      <c r="C131" s="140">
        <f t="shared" si="3"/>
        <v>0</v>
      </c>
      <c r="D131" s="16"/>
      <c r="E131" s="16"/>
      <c r="F131" s="16"/>
      <c r="G131" s="16"/>
      <c r="H131" s="16"/>
      <c r="I131" s="259"/>
      <c r="J131" s="16"/>
      <c r="K131" s="16"/>
      <c r="L131" s="16"/>
      <c r="M131" s="16"/>
      <c r="O131" s="16"/>
      <c r="P131" s="16"/>
      <c r="Q131" s="16"/>
      <c r="R131" s="16"/>
      <c r="S131" s="16"/>
      <c r="T131" s="87"/>
      <c r="Z131" s="87"/>
      <c r="AA131" s="87"/>
      <c r="AB131" s="16"/>
      <c r="AC131" s="16"/>
      <c r="AD131" s="21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</row>
    <row r="132" spans="1:135" customFormat="1" x14ac:dyDescent="0.25">
      <c r="A132" s="138" t="s">
        <v>414</v>
      </c>
      <c r="B132" s="243" t="s">
        <v>63</v>
      </c>
      <c r="C132" s="140" t="str">
        <f t="shared" si="3"/>
        <v>OK</v>
      </c>
      <c r="D132" s="16"/>
      <c r="E132" s="16"/>
      <c r="F132" s="16"/>
      <c r="G132" s="16"/>
      <c r="H132" s="16"/>
      <c r="I132" s="259"/>
      <c r="J132" s="16"/>
      <c r="K132" s="16"/>
      <c r="L132" s="16"/>
      <c r="M132" s="16"/>
      <c r="O132" s="16"/>
      <c r="P132" s="16"/>
      <c r="Q132" s="16"/>
      <c r="R132" s="16"/>
      <c r="S132" s="16"/>
      <c r="T132" s="87"/>
      <c r="Z132" s="87"/>
      <c r="AA132" s="87"/>
      <c r="AB132" s="16"/>
      <c r="AC132" s="16"/>
      <c r="AD132" s="21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  <c r="EB132" s="16"/>
      <c r="EC132" s="16"/>
      <c r="ED132" s="16"/>
      <c r="EE132" s="16"/>
    </row>
    <row r="133" spans="1:135" customFormat="1" ht="17.25" x14ac:dyDescent="0.25">
      <c r="A133" s="138" t="s">
        <v>605</v>
      </c>
      <c r="B133" s="262" t="s">
        <v>46</v>
      </c>
      <c r="C133" s="140" t="str">
        <f t="shared" si="3"/>
        <v>OK</v>
      </c>
      <c r="D133" s="16"/>
      <c r="E133" s="16"/>
      <c r="F133" s="16"/>
      <c r="G133" s="16"/>
      <c r="H133" s="16"/>
      <c r="I133" s="259"/>
      <c r="J133" s="16"/>
      <c r="K133" s="16"/>
      <c r="L133" s="16"/>
      <c r="M133" s="16"/>
      <c r="O133" s="16"/>
      <c r="P133" s="16"/>
      <c r="Q133" s="16"/>
      <c r="R133" s="16"/>
      <c r="S133" s="16"/>
      <c r="T133" s="87"/>
      <c r="U133" s="87"/>
      <c r="Z133" s="87"/>
      <c r="AA133" s="87"/>
      <c r="AB133" s="16"/>
      <c r="AC133" s="16"/>
      <c r="AD133" s="21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</row>
    <row r="134" spans="1:135" customFormat="1" ht="17.25" x14ac:dyDescent="0.25">
      <c r="A134" s="138" t="s">
        <v>725</v>
      </c>
      <c r="B134" s="262" t="s">
        <v>29</v>
      </c>
      <c r="C134" s="140" t="str">
        <f t="shared" si="3"/>
        <v>OK</v>
      </c>
      <c r="D134" s="16"/>
      <c r="E134" s="16"/>
      <c r="F134" s="16"/>
      <c r="G134" s="16"/>
      <c r="H134" s="16"/>
      <c r="I134" s="259"/>
      <c r="J134" s="16"/>
      <c r="K134" s="16"/>
      <c r="L134" s="16"/>
      <c r="M134" s="16"/>
      <c r="O134" s="16"/>
      <c r="P134" s="16"/>
      <c r="Q134" s="16"/>
      <c r="R134" s="16"/>
      <c r="S134" s="16"/>
      <c r="T134" s="87"/>
      <c r="U134" s="87"/>
      <c r="Z134" s="87"/>
      <c r="AA134" s="87"/>
      <c r="AB134" s="16"/>
      <c r="AC134" s="16"/>
      <c r="AD134" s="21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  <c r="EB134" s="16"/>
      <c r="EC134" s="16"/>
      <c r="ED134" s="16"/>
      <c r="EE134" s="16"/>
    </row>
    <row r="135" spans="1:135" customFormat="1" ht="17.25" x14ac:dyDescent="0.25">
      <c r="A135" s="138" t="s">
        <v>726</v>
      </c>
      <c r="B135" s="262" t="s">
        <v>17</v>
      </c>
      <c r="C135" s="140" t="str">
        <f t="shared" si="3"/>
        <v>OK</v>
      </c>
      <c r="D135" s="16"/>
      <c r="E135" s="16"/>
      <c r="F135" s="16"/>
      <c r="G135" s="16"/>
      <c r="H135" s="16"/>
      <c r="I135" s="259"/>
      <c r="J135" s="16"/>
      <c r="K135" s="16"/>
      <c r="L135" s="16"/>
      <c r="M135" s="16"/>
      <c r="O135" s="16"/>
      <c r="P135" s="16"/>
      <c r="Q135" s="16"/>
      <c r="R135" s="16"/>
      <c r="S135" s="16"/>
      <c r="T135" s="87"/>
      <c r="U135" s="87"/>
      <c r="Z135" s="87"/>
      <c r="AA135" s="87"/>
      <c r="AB135" s="16"/>
      <c r="AC135" s="16"/>
      <c r="AD135" s="21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</row>
    <row r="136" spans="1:135" customFormat="1" ht="17.25" x14ac:dyDescent="0.25">
      <c r="A136" s="138" t="s">
        <v>727</v>
      </c>
      <c r="B136" s="262" t="s">
        <v>6</v>
      </c>
      <c r="C136" s="140" t="str">
        <f t="shared" si="3"/>
        <v>OK</v>
      </c>
      <c r="D136" s="16"/>
      <c r="E136" s="16"/>
      <c r="F136" s="16"/>
      <c r="G136" s="16"/>
      <c r="H136" s="16"/>
      <c r="I136" s="259"/>
      <c r="J136" s="16"/>
      <c r="K136" s="16"/>
      <c r="L136" s="16"/>
      <c r="M136" s="16"/>
      <c r="O136" s="16"/>
      <c r="P136" s="16"/>
      <c r="Q136" s="16"/>
      <c r="R136" s="16"/>
      <c r="S136" s="16"/>
      <c r="T136" s="87"/>
      <c r="U136" s="382"/>
      <c r="Z136" s="87"/>
      <c r="AA136" s="87"/>
      <c r="AB136" s="16"/>
      <c r="AC136" s="16"/>
      <c r="AD136" s="21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  <c r="EB136" s="16"/>
      <c r="EC136" s="16"/>
      <c r="ED136" s="16"/>
      <c r="EE136" s="16"/>
    </row>
    <row r="137" spans="1:135" customFormat="1" ht="17.25" x14ac:dyDescent="0.25">
      <c r="A137" s="138" t="s">
        <v>728</v>
      </c>
      <c r="B137" s="262" t="s">
        <v>26</v>
      </c>
      <c r="C137" s="140" t="str">
        <f t="shared" si="3"/>
        <v>OK</v>
      </c>
      <c r="D137" s="16"/>
      <c r="E137" s="16"/>
      <c r="F137" s="16"/>
      <c r="G137" s="16"/>
      <c r="H137" s="16"/>
      <c r="I137" s="259"/>
      <c r="J137" s="16"/>
      <c r="K137" s="16"/>
      <c r="L137" s="16"/>
      <c r="M137" s="16"/>
      <c r="O137" s="16"/>
      <c r="P137" s="16"/>
      <c r="Q137" s="16"/>
      <c r="R137" s="16"/>
      <c r="S137" s="16"/>
      <c r="T137" s="87"/>
      <c r="U137" s="382"/>
      <c r="Z137" s="87"/>
      <c r="AA137" s="87"/>
      <c r="AB137" s="16"/>
      <c r="AC137" s="16"/>
      <c r="AD137" s="21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</row>
    <row r="138" spans="1:135" customFormat="1" x14ac:dyDescent="0.25">
      <c r="A138" s="138" t="s">
        <v>729</v>
      </c>
      <c r="B138" s="243" t="s">
        <v>62</v>
      </c>
      <c r="C138" s="140" t="str">
        <f t="shared" si="3"/>
        <v>OK</v>
      </c>
      <c r="D138" s="16"/>
      <c r="E138" s="16"/>
      <c r="F138" s="16"/>
      <c r="G138" s="16"/>
      <c r="H138" s="16"/>
      <c r="I138" s="259"/>
      <c r="J138" s="16"/>
      <c r="K138" s="16"/>
      <c r="L138" s="16"/>
      <c r="M138" s="16"/>
      <c r="O138" s="16"/>
      <c r="P138" s="16"/>
      <c r="Q138" s="16"/>
      <c r="R138" s="16"/>
      <c r="S138" s="16"/>
      <c r="T138" s="87"/>
      <c r="Z138" s="87"/>
      <c r="AA138" s="87"/>
      <c r="AB138" s="16"/>
      <c r="AC138" s="16"/>
      <c r="AD138" s="21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  <c r="EB138" s="16"/>
      <c r="EC138" s="16"/>
      <c r="ED138" s="16"/>
      <c r="EE138" s="16"/>
    </row>
    <row r="139" spans="1:135" customFormat="1" ht="17.25" x14ac:dyDescent="0.25">
      <c r="A139" s="208" t="s">
        <v>730</v>
      </c>
      <c r="B139" s="262" t="s">
        <v>319</v>
      </c>
      <c r="C139" s="140" t="str">
        <f t="shared" si="3"/>
        <v>OK</v>
      </c>
      <c r="D139" s="16"/>
      <c r="E139" s="16"/>
      <c r="F139" s="16"/>
      <c r="G139" s="16"/>
      <c r="H139" s="16"/>
      <c r="I139" s="259"/>
      <c r="J139" s="16"/>
      <c r="K139" s="16"/>
      <c r="L139" s="16"/>
      <c r="M139" s="16"/>
      <c r="O139" s="16"/>
      <c r="P139" s="16"/>
      <c r="Q139" s="16"/>
      <c r="R139" s="16"/>
      <c r="S139" s="16"/>
      <c r="T139" s="87"/>
      <c r="Z139" s="87"/>
      <c r="AA139" s="87"/>
      <c r="AB139" s="16"/>
      <c r="AC139" s="16"/>
      <c r="AD139" s="21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</row>
    <row r="140" spans="1:135" customFormat="1" x14ac:dyDescent="0.25">
      <c r="A140" s="208" t="s">
        <v>731</v>
      </c>
      <c r="B140" s="243" t="s">
        <v>63</v>
      </c>
      <c r="C140" s="140" t="str">
        <f t="shared" si="3"/>
        <v>OK</v>
      </c>
      <c r="D140" s="16"/>
      <c r="E140" s="16"/>
      <c r="F140" s="16"/>
      <c r="G140" s="16"/>
      <c r="H140" s="16"/>
      <c r="I140" s="259"/>
      <c r="J140" s="16"/>
      <c r="K140" s="16"/>
      <c r="L140" s="16"/>
      <c r="M140" s="16"/>
      <c r="O140" s="16"/>
      <c r="P140" s="16"/>
      <c r="Q140" s="16"/>
      <c r="R140" s="16"/>
      <c r="S140" s="16"/>
      <c r="T140" s="87"/>
      <c r="Z140" s="87"/>
      <c r="AA140" s="87"/>
      <c r="AB140" s="16"/>
      <c r="AC140" s="16"/>
      <c r="AD140" s="21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6"/>
      <c r="EC140" s="16"/>
      <c r="ED140" s="16"/>
      <c r="EE140" s="16"/>
    </row>
    <row r="141" spans="1:135" customFormat="1" ht="17.25" x14ac:dyDescent="0.25">
      <c r="A141" s="208" t="s">
        <v>862</v>
      </c>
      <c r="B141" s="262" t="s">
        <v>319</v>
      </c>
      <c r="C141" s="140" t="str">
        <f t="shared" si="3"/>
        <v>OK</v>
      </c>
      <c r="D141" s="16"/>
      <c r="E141" s="16"/>
      <c r="F141" s="16"/>
      <c r="G141" s="16"/>
      <c r="H141" s="16"/>
      <c r="I141" s="259"/>
      <c r="J141" s="16"/>
      <c r="K141" s="16"/>
      <c r="L141" s="16"/>
      <c r="M141" s="16"/>
      <c r="O141" s="16"/>
      <c r="P141" s="16"/>
      <c r="Q141" s="16"/>
      <c r="R141" s="16"/>
      <c r="S141" s="16"/>
      <c r="T141" s="87"/>
      <c r="U141" s="82"/>
      <c r="Z141" s="87"/>
      <c r="AA141" s="87"/>
      <c r="AB141" s="16"/>
      <c r="AC141" s="16"/>
      <c r="AD141" s="21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</row>
    <row r="142" spans="1:135" customFormat="1" ht="17.25" x14ac:dyDescent="0.25">
      <c r="A142" s="208"/>
      <c r="B142" s="262"/>
      <c r="C142" s="140" t="str">
        <f t="shared" si="3"/>
        <v/>
      </c>
      <c r="D142" s="16"/>
      <c r="E142" s="16"/>
      <c r="F142" s="16"/>
      <c r="G142" s="16"/>
      <c r="H142" s="16"/>
      <c r="I142" s="259"/>
      <c r="J142" s="16"/>
      <c r="K142" s="16"/>
      <c r="L142" s="16"/>
      <c r="M142" s="16"/>
      <c r="O142" s="16"/>
      <c r="P142" s="16"/>
      <c r="Q142" s="16"/>
      <c r="R142" s="16"/>
      <c r="S142" s="16"/>
      <c r="T142" s="87"/>
      <c r="U142" s="87"/>
      <c r="Z142" s="87"/>
      <c r="AA142" s="87"/>
      <c r="AB142" s="16"/>
      <c r="AC142" s="16"/>
      <c r="AD142" s="21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  <c r="EB142" s="16"/>
      <c r="EC142" s="16"/>
      <c r="ED142" s="16"/>
      <c r="EE142" s="16"/>
    </row>
    <row r="143" spans="1:135" customFormat="1" ht="17.25" x14ac:dyDescent="0.25">
      <c r="A143" s="208"/>
      <c r="B143" s="262"/>
      <c r="C143" s="140" t="str">
        <f t="shared" si="3"/>
        <v/>
      </c>
      <c r="D143" s="16"/>
      <c r="E143" s="16"/>
      <c r="F143" s="16"/>
      <c r="G143" s="16"/>
      <c r="H143" s="16"/>
      <c r="I143" s="259"/>
      <c r="J143" s="16"/>
      <c r="K143" s="16"/>
      <c r="L143" s="16"/>
      <c r="M143" s="16"/>
      <c r="O143" s="16"/>
      <c r="P143" s="16"/>
      <c r="Q143" s="16"/>
      <c r="R143" s="16"/>
      <c r="S143" s="16"/>
      <c r="T143" s="87"/>
      <c r="U143" s="382"/>
      <c r="Z143" s="87"/>
      <c r="AA143" s="87"/>
      <c r="AB143" s="16"/>
      <c r="AC143" s="16"/>
      <c r="AD143" s="21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</row>
    <row r="144" spans="1:135" customFormat="1" ht="17.25" x14ac:dyDescent="0.25">
      <c r="A144" s="208"/>
      <c r="B144" s="262"/>
      <c r="C144" s="140" t="str">
        <f t="shared" si="3"/>
        <v/>
      </c>
      <c r="D144" s="16"/>
      <c r="E144" s="16"/>
      <c r="F144" s="16"/>
      <c r="G144" s="16"/>
      <c r="H144" s="16"/>
      <c r="I144" s="259"/>
      <c r="J144" s="16"/>
      <c r="K144" s="16"/>
      <c r="L144" s="16"/>
      <c r="M144" s="16"/>
      <c r="O144" s="16"/>
      <c r="P144" s="16"/>
      <c r="Q144" s="16"/>
      <c r="R144" s="16"/>
      <c r="S144" s="16"/>
      <c r="T144" s="87"/>
      <c r="U144" s="87"/>
      <c r="Z144" s="87"/>
      <c r="AA144" s="87"/>
      <c r="AB144" s="16"/>
      <c r="AC144" s="16"/>
      <c r="AD144" s="21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  <c r="EC144" s="16"/>
      <c r="ED144" s="16"/>
      <c r="EE144" s="16"/>
    </row>
    <row r="145" spans="1:135" customFormat="1" ht="17.25" x14ac:dyDescent="0.25">
      <c r="A145" s="208"/>
      <c r="B145" s="262"/>
      <c r="C145" s="140" t="str">
        <f t="shared" si="3"/>
        <v/>
      </c>
      <c r="D145" s="16"/>
      <c r="E145" s="16"/>
      <c r="F145" s="16"/>
      <c r="G145" s="16"/>
      <c r="H145" s="16"/>
      <c r="I145" s="259"/>
      <c r="J145" s="16"/>
      <c r="K145" s="16"/>
      <c r="L145" s="16"/>
      <c r="M145" s="16"/>
      <c r="O145" s="16"/>
      <c r="P145" s="16"/>
      <c r="Q145" s="16"/>
      <c r="R145" s="16"/>
      <c r="S145" s="16"/>
      <c r="T145" s="87"/>
      <c r="U145" s="87"/>
      <c r="Z145" s="87"/>
      <c r="AA145" s="87"/>
      <c r="AB145" s="16"/>
      <c r="AC145" s="16"/>
      <c r="AD145" s="21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</row>
    <row r="146" spans="1:135" customFormat="1" ht="17.25" x14ac:dyDescent="0.25">
      <c r="A146" s="208"/>
      <c r="B146" s="262"/>
      <c r="C146" s="140" t="str">
        <f t="shared" si="3"/>
        <v/>
      </c>
      <c r="D146" s="16"/>
      <c r="E146" s="16"/>
      <c r="F146" s="16"/>
      <c r="G146" s="16"/>
      <c r="H146" s="16"/>
      <c r="I146" s="259"/>
      <c r="J146" s="16"/>
      <c r="K146" s="16"/>
      <c r="L146" s="16"/>
      <c r="M146" s="16"/>
      <c r="O146" s="16"/>
      <c r="P146" s="16"/>
      <c r="Q146" s="16"/>
      <c r="R146" s="16"/>
      <c r="S146" s="16"/>
      <c r="T146" s="87"/>
      <c r="Z146" s="87"/>
      <c r="AA146" s="87"/>
      <c r="AB146" s="16"/>
      <c r="AC146" s="16"/>
      <c r="AD146" s="21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  <c r="EB146" s="16"/>
      <c r="EC146" s="16"/>
      <c r="ED146" s="16"/>
      <c r="EE146" s="16"/>
    </row>
    <row r="147" spans="1:135" customFormat="1" ht="17.25" x14ac:dyDescent="0.25">
      <c r="A147" s="208"/>
      <c r="B147" s="262"/>
      <c r="C147" s="140" t="str">
        <f t="shared" si="3"/>
        <v/>
      </c>
      <c r="D147" s="16"/>
      <c r="E147" s="16"/>
      <c r="F147" s="16"/>
      <c r="G147" s="16"/>
      <c r="H147" s="16"/>
      <c r="I147" s="259"/>
      <c r="J147" s="16"/>
      <c r="K147" s="16"/>
      <c r="L147" s="16"/>
      <c r="M147" s="16"/>
      <c r="O147" s="16"/>
      <c r="P147" s="16"/>
      <c r="Q147" s="16"/>
      <c r="R147" s="16"/>
      <c r="S147" s="16"/>
      <c r="T147" s="87"/>
      <c r="Z147" s="87"/>
      <c r="AA147" s="87"/>
      <c r="AB147" s="16"/>
      <c r="AC147" s="16"/>
      <c r="AD147" s="21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</row>
    <row r="148" spans="1:135" customFormat="1" x14ac:dyDescent="0.25">
      <c r="A148" s="208"/>
      <c r="B148" s="243"/>
      <c r="C148" s="140"/>
      <c r="D148" s="16"/>
      <c r="E148" s="16"/>
      <c r="F148" s="16"/>
      <c r="G148" s="16"/>
      <c r="H148" s="16"/>
      <c r="I148" s="259"/>
      <c r="J148" s="16"/>
      <c r="K148" s="16"/>
      <c r="L148" s="16"/>
      <c r="M148" s="16"/>
      <c r="O148" s="16"/>
      <c r="P148" s="16"/>
      <c r="Q148" s="16"/>
      <c r="R148" s="16"/>
      <c r="S148" s="16"/>
      <c r="T148" s="87"/>
      <c r="U148" s="87"/>
      <c r="W148" s="87"/>
      <c r="X148" s="87"/>
      <c r="Z148" s="87"/>
      <c r="AA148" s="87"/>
      <c r="AB148" s="16"/>
      <c r="AC148" s="16"/>
      <c r="AD148" s="21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  <c r="EB148" s="16"/>
      <c r="EC148" s="16"/>
      <c r="ED148" s="16"/>
      <c r="EE148" s="16"/>
    </row>
    <row r="149" spans="1:135" customFormat="1" x14ac:dyDescent="0.25">
      <c r="A149" s="208"/>
      <c r="B149" s="246"/>
      <c r="C149" s="140"/>
      <c r="D149" s="16"/>
      <c r="E149" s="16"/>
      <c r="F149" s="16"/>
      <c r="G149" s="16"/>
      <c r="H149" s="16"/>
      <c r="I149" s="259"/>
      <c r="J149" s="16"/>
      <c r="K149" s="16"/>
      <c r="L149" s="16"/>
      <c r="M149" s="16"/>
      <c r="O149" s="16"/>
      <c r="P149" s="16"/>
      <c r="Q149" s="16"/>
      <c r="R149" s="16"/>
      <c r="S149" s="16"/>
      <c r="T149" s="87"/>
      <c r="Z149" s="87"/>
      <c r="AA149" s="87"/>
      <c r="AB149" s="16"/>
      <c r="AC149" s="16"/>
      <c r="AD149" s="21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  <c r="EB149" s="16"/>
      <c r="EC149" s="16"/>
      <c r="ED149" s="16"/>
      <c r="EE149" s="16"/>
    </row>
    <row r="150" spans="1:135" customFormat="1" x14ac:dyDescent="0.25">
      <c r="A150" s="208"/>
      <c r="B150" s="246"/>
      <c r="C150" s="140"/>
      <c r="D150" s="16"/>
      <c r="E150" s="16"/>
      <c r="F150" s="16"/>
      <c r="G150" s="16"/>
      <c r="H150" s="16"/>
      <c r="I150" s="259"/>
      <c r="J150" s="16"/>
      <c r="K150" s="16"/>
      <c r="L150" s="16"/>
      <c r="M150" s="16"/>
      <c r="O150" s="16"/>
      <c r="P150" s="16"/>
      <c r="Q150" s="16"/>
      <c r="R150" s="16"/>
      <c r="S150" s="16"/>
      <c r="T150" s="87"/>
      <c r="Z150" s="87"/>
      <c r="AA150" s="87"/>
      <c r="AB150" s="16"/>
      <c r="AC150" s="16"/>
      <c r="AD150" s="21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  <c r="EB150" s="16"/>
      <c r="EC150" s="16"/>
      <c r="ED150" s="16"/>
      <c r="EE150" s="16"/>
    </row>
    <row r="151" spans="1:135" customFormat="1" x14ac:dyDescent="0.25">
      <c r="A151" s="208"/>
      <c r="B151" s="246"/>
      <c r="C151" s="140" t="str">
        <f t="shared" si="3"/>
        <v/>
      </c>
      <c r="D151" s="16"/>
      <c r="E151" s="16"/>
      <c r="F151" s="16"/>
      <c r="G151" s="16"/>
      <c r="H151" s="16"/>
      <c r="I151" s="259"/>
      <c r="J151" s="16"/>
      <c r="K151" s="16"/>
      <c r="L151" s="16"/>
      <c r="M151" s="16"/>
      <c r="O151" s="16"/>
      <c r="P151" s="16"/>
      <c r="Q151" s="16"/>
      <c r="R151" s="16"/>
      <c r="S151" s="16"/>
      <c r="T151" s="87"/>
      <c r="Z151" s="87"/>
      <c r="AA151" s="87"/>
      <c r="AB151" s="16"/>
      <c r="AC151" s="16"/>
      <c r="AD151" s="21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  <c r="EB151" s="16"/>
      <c r="EC151" s="16"/>
      <c r="ED151" s="16"/>
      <c r="EE151" s="16"/>
    </row>
    <row r="152" spans="1:135" customFormat="1" x14ac:dyDescent="0.25">
      <c r="A152" s="208"/>
      <c r="B152" s="246"/>
      <c r="C152" s="140" t="str">
        <f t="shared" si="3"/>
        <v/>
      </c>
      <c r="D152" s="16"/>
      <c r="E152" s="16"/>
      <c r="F152" s="16"/>
      <c r="G152" s="16"/>
      <c r="H152" s="16"/>
      <c r="I152" s="259"/>
      <c r="J152" s="16"/>
      <c r="K152" s="16"/>
      <c r="L152" s="16"/>
      <c r="M152" s="16"/>
      <c r="O152" s="16"/>
      <c r="P152" s="16"/>
      <c r="Q152" s="16"/>
      <c r="R152" s="16"/>
      <c r="S152" s="16"/>
      <c r="T152" s="87"/>
      <c r="U152" s="87"/>
      <c r="W152" s="87"/>
      <c r="X152" s="87"/>
      <c r="Z152" s="87"/>
      <c r="AA152" s="87"/>
      <c r="AB152" s="16"/>
      <c r="AC152" s="16"/>
      <c r="AD152" s="21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  <c r="EB152" s="16"/>
      <c r="EC152" s="16"/>
      <c r="ED152" s="16"/>
      <c r="EE152" s="16"/>
    </row>
    <row r="153" spans="1:135" customFormat="1" x14ac:dyDescent="0.25">
      <c r="A153" s="208"/>
      <c r="B153" s="246"/>
      <c r="C153" s="140" t="str">
        <f t="shared" si="3"/>
        <v/>
      </c>
      <c r="D153" s="16"/>
      <c r="E153" s="16"/>
      <c r="F153" s="16"/>
      <c r="G153" s="16"/>
      <c r="H153" s="16"/>
      <c r="I153" s="259"/>
      <c r="J153" s="16"/>
      <c r="K153" s="16"/>
      <c r="L153" s="16"/>
      <c r="M153" s="16"/>
      <c r="O153" s="16"/>
      <c r="P153" s="16"/>
      <c r="Q153" s="16"/>
      <c r="R153" s="16"/>
      <c r="S153" s="16"/>
      <c r="T153" s="87"/>
      <c r="Z153" s="87"/>
      <c r="AA153" s="87"/>
      <c r="AB153" s="16"/>
      <c r="AC153" s="16"/>
      <c r="AD153" s="21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  <c r="EB153" s="16"/>
      <c r="EC153" s="16"/>
      <c r="ED153" s="16"/>
      <c r="EE153" s="16"/>
    </row>
    <row r="154" spans="1:135" customFormat="1" x14ac:dyDescent="0.25">
      <c r="A154" s="208"/>
      <c r="B154" s="246"/>
      <c r="C154" s="140" t="str">
        <f t="shared" si="3"/>
        <v/>
      </c>
      <c r="D154" s="16"/>
      <c r="E154" s="16"/>
      <c r="F154" s="16"/>
      <c r="G154" s="16"/>
      <c r="H154" s="16"/>
      <c r="I154" s="259"/>
      <c r="J154" s="16"/>
      <c r="K154" s="16"/>
      <c r="L154" s="16"/>
      <c r="M154" s="16"/>
      <c r="O154" s="16"/>
      <c r="P154" s="16"/>
      <c r="Q154" s="16"/>
      <c r="R154" s="16"/>
      <c r="S154" s="16"/>
      <c r="T154" s="87"/>
      <c r="U154" s="87"/>
      <c r="W154" s="87"/>
      <c r="X154" s="87"/>
      <c r="Z154" s="87"/>
      <c r="AA154" s="87"/>
      <c r="AB154" s="16"/>
      <c r="AC154" s="16"/>
      <c r="AD154" s="21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  <c r="EB154" s="16"/>
      <c r="EC154" s="16"/>
      <c r="ED154" s="16"/>
      <c r="EE154" s="16"/>
    </row>
    <row r="155" spans="1:135" customFormat="1" x14ac:dyDescent="0.25">
      <c r="A155" s="208"/>
      <c r="B155" s="246"/>
      <c r="C155" s="140" t="str">
        <f t="shared" ref="C155:C218" si="4">+IFERROR(IF(B155="","",(VLOOKUP(B155,$F$2:$H$55,3,0))),"State Wrong")</f>
        <v/>
      </c>
      <c r="D155" s="16"/>
      <c r="E155" s="16"/>
      <c r="F155" s="16"/>
      <c r="G155" s="16"/>
      <c r="H155" s="16"/>
      <c r="I155" s="259"/>
      <c r="J155" s="16"/>
      <c r="K155" s="16"/>
      <c r="L155" s="16"/>
      <c r="M155" s="16"/>
      <c r="O155" s="16"/>
      <c r="P155" s="16"/>
      <c r="Q155" s="16"/>
      <c r="R155" s="16"/>
      <c r="S155" s="16"/>
      <c r="T155" s="87"/>
      <c r="Z155" s="87"/>
      <c r="AA155" s="87"/>
      <c r="AB155" s="16"/>
      <c r="AC155" s="16"/>
      <c r="AD155" s="21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  <c r="EB155" s="16"/>
      <c r="EC155" s="16"/>
      <c r="ED155" s="16"/>
      <c r="EE155" s="16"/>
    </row>
    <row r="156" spans="1:135" customFormat="1" x14ac:dyDescent="0.25">
      <c r="A156" s="208"/>
      <c r="B156" s="246"/>
      <c r="C156" s="140" t="str">
        <f t="shared" si="4"/>
        <v/>
      </c>
      <c r="D156" s="16"/>
      <c r="E156" s="16"/>
      <c r="F156" s="16"/>
      <c r="G156" s="16"/>
      <c r="H156" s="16"/>
      <c r="I156" s="259"/>
      <c r="J156" s="16"/>
      <c r="K156" s="16"/>
      <c r="L156" s="16"/>
      <c r="M156" s="16"/>
      <c r="O156" s="16"/>
      <c r="P156" s="16"/>
      <c r="Q156" s="16"/>
      <c r="R156" s="16"/>
      <c r="S156" s="16"/>
      <c r="T156" s="87"/>
      <c r="U156" s="87"/>
      <c r="Z156" s="87"/>
      <c r="AA156" s="87"/>
      <c r="AB156" s="16"/>
      <c r="AC156" s="16"/>
      <c r="AD156" s="21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</row>
    <row r="157" spans="1:135" customFormat="1" x14ac:dyDescent="0.25">
      <c r="A157" s="208"/>
      <c r="B157" s="246"/>
      <c r="C157" s="140" t="str">
        <f t="shared" si="4"/>
        <v/>
      </c>
      <c r="D157" s="16"/>
      <c r="E157" s="16"/>
      <c r="F157" s="16"/>
      <c r="G157" s="16"/>
      <c r="H157" s="16"/>
      <c r="I157" s="259"/>
      <c r="J157" s="16"/>
      <c r="K157" s="16"/>
      <c r="L157" s="16"/>
      <c r="M157" s="16"/>
      <c r="O157" s="16"/>
      <c r="P157" s="16"/>
      <c r="Q157" s="16"/>
      <c r="R157" s="16"/>
      <c r="S157" s="16"/>
      <c r="T157" s="87"/>
      <c r="U157" s="87"/>
      <c r="Z157" s="87"/>
      <c r="AA157" s="87"/>
      <c r="AB157" s="16"/>
      <c r="AC157" s="16"/>
      <c r="AD157" s="21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  <c r="EB157" s="16"/>
      <c r="EC157" s="16"/>
      <c r="ED157" s="16"/>
      <c r="EE157" s="16"/>
    </row>
    <row r="158" spans="1:135" customFormat="1" x14ac:dyDescent="0.25">
      <c r="A158" s="208"/>
      <c r="B158" s="246"/>
      <c r="C158" s="140" t="str">
        <f t="shared" si="4"/>
        <v/>
      </c>
      <c r="D158" s="16"/>
      <c r="E158" s="16"/>
      <c r="F158" s="16"/>
      <c r="G158" s="16"/>
      <c r="H158" s="16"/>
      <c r="I158" s="259"/>
      <c r="J158" s="16"/>
      <c r="K158" s="16"/>
      <c r="L158" s="16"/>
      <c r="M158" s="16"/>
      <c r="O158" s="16"/>
      <c r="P158" s="16"/>
      <c r="Q158" s="16"/>
      <c r="R158" s="16"/>
      <c r="S158" s="16"/>
      <c r="T158" s="87"/>
      <c r="U158" s="87"/>
      <c r="Z158" s="87"/>
      <c r="AA158" s="87"/>
      <c r="AB158" s="16"/>
      <c r="AC158" s="16"/>
      <c r="AD158" s="21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  <c r="EC158" s="16"/>
      <c r="ED158" s="16"/>
      <c r="EE158" s="16"/>
    </row>
    <row r="159" spans="1:135" customFormat="1" x14ac:dyDescent="0.25">
      <c r="A159" s="208"/>
      <c r="B159" s="246"/>
      <c r="C159" s="140" t="str">
        <f t="shared" si="4"/>
        <v/>
      </c>
      <c r="D159" s="16"/>
      <c r="E159" s="16"/>
      <c r="F159" s="16"/>
      <c r="G159" s="16"/>
      <c r="H159" s="16"/>
      <c r="I159" s="259"/>
      <c r="J159" s="16"/>
      <c r="K159" s="16"/>
      <c r="L159" s="16"/>
      <c r="M159" s="16"/>
      <c r="O159" s="16"/>
      <c r="P159" s="16"/>
      <c r="Q159" s="16"/>
      <c r="R159" s="16"/>
      <c r="S159" s="16"/>
      <c r="T159" s="87"/>
      <c r="U159" s="87"/>
      <c r="Z159" s="87"/>
      <c r="AA159" s="87"/>
      <c r="AB159" s="16"/>
      <c r="AC159" s="16"/>
      <c r="AD159" s="21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  <c r="EB159" s="16"/>
      <c r="EC159" s="16"/>
      <c r="ED159" s="16"/>
      <c r="EE159" s="16"/>
    </row>
    <row r="160" spans="1:135" customFormat="1" x14ac:dyDescent="0.25">
      <c r="A160" s="208"/>
      <c r="B160" s="246"/>
      <c r="C160" s="140" t="str">
        <f t="shared" si="4"/>
        <v/>
      </c>
      <c r="D160" s="16"/>
      <c r="E160" s="16"/>
      <c r="F160" s="16"/>
      <c r="G160" s="16"/>
      <c r="H160" s="16"/>
      <c r="I160" s="259"/>
      <c r="J160" s="16"/>
      <c r="K160" s="16"/>
      <c r="L160" s="16"/>
      <c r="M160" s="16"/>
      <c r="O160" s="16"/>
      <c r="P160" s="16"/>
      <c r="Q160" s="16"/>
      <c r="R160" s="16"/>
      <c r="S160" s="16"/>
      <c r="T160" s="87"/>
      <c r="U160" s="87"/>
      <c r="Z160" s="87"/>
      <c r="AA160" s="87"/>
      <c r="AB160" s="16"/>
      <c r="AC160" s="16"/>
      <c r="AD160" s="21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</row>
    <row r="161" spans="1:135" customFormat="1" x14ac:dyDescent="0.25">
      <c r="A161" s="208"/>
      <c r="B161" s="246"/>
      <c r="C161" s="140" t="str">
        <f t="shared" si="4"/>
        <v/>
      </c>
      <c r="D161" s="16"/>
      <c r="E161" s="16"/>
      <c r="F161" s="16"/>
      <c r="G161" s="16"/>
      <c r="H161" s="16"/>
      <c r="I161" s="259"/>
      <c r="J161" s="16"/>
      <c r="K161" s="16"/>
      <c r="L161" s="16"/>
      <c r="M161" s="16"/>
      <c r="O161" s="16"/>
      <c r="P161" s="16"/>
      <c r="Q161" s="16"/>
      <c r="R161" s="16"/>
      <c r="S161" s="16"/>
      <c r="T161" s="87"/>
      <c r="U161" s="87"/>
      <c r="Z161" s="87"/>
      <c r="AA161" s="87"/>
      <c r="AB161" s="16"/>
      <c r="AC161" s="16"/>
      <c r="AD161" s="21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  <c r="EB161" s="16"/>
      <c r="EC161" s="16"/>
      <c r="ED161" s="16"/>
      <c r="EE161" s="16"/>
    </row>
    <row r="162" spans="1:135" customFormat="1" x14ac:dyDescent="0.25">
      <c r="A162" s="208"/>
      <c r="B162" s="246"/>
      <c r="C162" s="140" t="str">
        <f t="shared" si="4"/>
        <v/>
      </c>
      <c r="D162" s="16"/>
      <c r="E162" s="16"/>
      <c r="F162" s="16"/>
      <c r="G162" s="16"/>
      <c r="H162" s="16"/>
      <c r="I162" s="259"/>
      <c r="J162" s="16"/>
      <c r="K162" s="16"/>
      <c r="L162" s="16"/>
      <c r="M162" s="16"/>
      <c r="O162" s="16"/>
      <c r="P162" s="16"/>
      <c r="Q162" s="16"/>
      <c r="R162" s="16"/>
      <c r="S162" s="16"/>
      <c r="T162" s="87"/>
      <c r="Z162" s="87"/>
      <c r="AA162" s="87"/>
      <c r="AB162" s="16"/>
      <c r="AC162" s="16"/>
      <c r="AD162" s="21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  <c r="EC162" s="16"/>
      <c r="ED162" s="16"/>
      <c r="EE162" s="16"/>
    </row>
    <row r="163" spans="1:135" customFormat="1" x14ac:dyDescent="0.25">
      <c r="A163" s="208"/>
      <c r="B163" s="246"/>
      <c r="C163" s="140" t="str">
        <f t="shared" si="4"/>
        <v/>
      </c>
      <c r="D163" s="16"/>
      <c r="E163" s="16"/>
      <c r="F163" s="16"/>
      <c r="G163" s="16"/>
      <c r="H163" s="16"/>
      <c r="I163" s="259"/>
      <c r="J163" s="16"/>
      <c r="K163" s="16"/>
      <c r="L163" s="16"/>
      <c r="M163" s="16"/>
      <c r="O163" s="16"/>
      <c r="P163" s="16"/>
      <c r="Q163" s="16"/>
      <c r="R163" s="16"/>
      <c r="S163" s="16"/>
      <c r="T163" s="87"/>
      <c r="U163" s="87"/>
      <c r="Z163" s="87"/>
      <c r="AA163" s="87"/>
      <c r="AB163" s="16"/>
      <c r="AC163" s="16"/>
      <c r="AD163" s="21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  <c r="EB163" s="16"/>
      <c r="EC163" s="16"/>
      <c r="ED163" s="16"/>
      <c r="EE163" s="16"/>
    </row>
    <row r="164" spans="1:135" customFormat="1" x14ac:dyDescent="0.25">
      <c r="A164" s="208"/>
      <c r="B164" s="246"/>
      <c r="C164" s="140" t="str">
        <f t="shared" si="4"/>
        <v/>
      </c>
      <c r="D164" s="16"/>
      <c r="E164" s="16"/>
      <c r="F164" s="16"/>
      <c r="G164" s="16"/>
      <c r="H164" s="16"/>
      <c r="I164" s="259"/>
      <c r="J164" s="16"/>
      <c r="K164" s="16"/>
      <c r="L164" s="16"/>
      <c r="M164" s="16"/>
      <c r="O164" s="16"/>
      <c r="P164" s="16"/>
      <c r="Q164" s="16"/>
      <c r="R164" s="16"/>
      <c r="S164" s="16"/>
      <c r="T164" s="87"/>
      <c r="Z164" s="87"/>
      <c r="AA164" s="87"/>
      <c r="AB164" s="16"/>
      <c r="AC164" s="16"/>
      <c r="AD164" s="21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  <c r="EC164" s="16"/>
      <c r="ED164" s="16"/>
      <c r="EE164" s="16"/>
    </row>
    <row r="165" spans="1:135" customFormat="1" x14ac:dyDescent="0.25">
      <c r="A165" s="208"/>
      <c r="B165" s="246"/>
      <c r="C165" s="140" t="str">
        <f t="shared" si="4"/>
        <v/>
      </c>
      <c r="D165" s="16"/>
      <c r="E165" s="16"/>
      <c r="F165" s="16"/>
      <c r="G165" s="16"/>
      <c r="H165" s="16"/>
      <c r="I165" s="259"/>
      <c r="J165" s="16"/>
      <c r="K165" s="16"/>
      <c r="L165" s="16"/>
      <c r="M165" s="16"/>
      <c r="O165" s="16"/>
      <c r="P165" s="16"/>
      <c r="Q165" s="16"/>
      <c r="R165" s="16"/>
      <c r="S165" s="16"/>
      <c r="T165" s="87"/>
      <c r="Z165" s="87"/>
      <c r="AA165" s="87"/>
      <c r="AB165" s="16"/>
      <c r="AC165" s="16"/>
      <c r="AD165" s="21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</row>
    <row r="166" spans="1:135" customFormat="1" x14ac:dyDescent="0.25">
      <c r="A166" s="208"/>
      <c r="B166" s="246"/>
      <c r="C166" s="140" t="str">
        <f t="shared" si="4"/>
        <v/>
      </c>
      <c r="D166" s="16"/>
      <c r="E166" s="16"/>
      <c r="F166" s="16"/>
      <c r="G166" s="16"/>
      <c r="H166" s="16"/>
      <c r="I166" s="259"/>
      <c r="J166" s="16"/>
      <c r="K166" s="16"/>
      <c r="L166" s="16"/>
      <c r="M166" s="16"/>
      <c r="O166" s="16"/>
      <c r="P166" s="16"/>
      <c r="Q166" s="16"/>
      <c r="R166" s="16"/>
      <c r="S166" s="16"/>
      <c r="T166" s="87"/>
      <c r="Z166" s="87"/>
      <c r="AA166" s="87"/>
      <c r="AB166" s="16"/>
      <c r="AC166" s="16"/>
      <c r="AD166" s="21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  <c r="EB166" s="16"/>
      <c r="EC166" s="16"/>
      <c r="ED166" s="16"/>
      <c r="EE166" s="16"/>
    </row>
    <row r="167" spans="1:135" customFormat="1" x14ac:dyDescent="0.25">
      <c r="A167" s="208"/>
      <c r="B167" s="246"/>
      <c r="C167" s="140" t="str">
        <f t="shared" si="4"/>
        <v/>
      </c>
      <c r="D167" s="16"/>
      <c r="E167" s="16"/>
      <c r="F167" s="16"/>
      <c r="G167" s="16"/>
      <c r="H167" s="16"/>
      <c r="I167" s="259"/>
      <c r="J167" s="16"/>
      <c r="K167" s="16"/>
      <c r="L167" s="16"/>
      <c r="M167" s="16"/>
      <c r="O167" s="16"/>
      <c r="P167" s="16"/>
      <c r="Q167" s="16"/>
      <c r="R167" s="16"/>
      <c r="S167" s="16"/>
      <c r="T167" s="87"/>
      <c r="U167" s="87"/>
      <c r="Z167" s="87"/>
      <c r="AA167" s="87"/>
      <c r="AB167" s="16"/>
      <c r="AC167" s="16"/>
      <c r="AD167" s="21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</row>
    <row r="168" spans="1:135" customFormat="1" x14ac:dyDescent="0.25">
      <c r="A168" s="208"/>
      <c r="B168" s="246"/>
      <c r="C168" s="140" t="str">
        <f t="shared" si="4"/>
        <v/>
      </c>
      <c r="D168" s="16"/>
      <c r="E168" s="16"/>
      <c r="F168" s="16"/>
      <c r="G168" s="16"/>
      <c r="H168" s="16"/>
      <c r="I168" s="259"/>
      <c r="J168" s="16"/>
      <c r="K168" s="16"/>
      <c r="L168" s="16"/>
      <c r="M168" s="16"/>
      <c r="O168" s="16"/>
      <c r="P168" s="16"/>
      <c r="Q168" s="16"/>
      <c r="R168" s="16"/>
      <c r="S168" s="16"/>
      <c r="T168" s="87"/>
      <c r="Z168" s="87"/>
      <c r="AA168" s="87"/>
      <c r="AB168" s="16"/>
      <c r="AC168" s="16"/>
      <c r="AD168" s="21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  <c r="EB168" s="16"/>
      <c r="EC168" s="16"/>
      <c r="ED168" s="16"/>
      <c r="EE168" s="16"/>
    </row>
    <row r="169" spans="1:135" customFormat="1" x14ac:dyDescent="0.25">
      <c r="A169" s="208"/>
      <c r="B169" s="246"/>
      <c r="C169" s="140" t="str">
        <f t="shared" si="4"/>
        <v/>
      </c>
      <c r="D169" s="16"/>
      <c r="E169" s="16"/>
      <c r="F169" s="16"/>
      <c r="G169" s="16"/>
      <c r="H169" s="16"/>
      <c r="I169" s="259"/>
      <c r="J169" s="16"/>
      <c r="K169" s="16"/>
      <c r="L169" s="16"/>
      <c r="M169" s="16"/>
      <c r="O169" s="16"/>
      <c r="P169" s="16"/>
      <c r="Q169" s="16"/>
      <c r="R169" s="16"/>
      <c r="S169" s="16"/>
      <c r="T169" s="87"/>
      <c r="Z169" s="87"/>
      <c r="AA169" s="87"/>
      <c r="AB169" s="16"/>
      <c r="AC169" s="16"/>
      <c r="AD169" s="21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  <c r="EB169" s="16"/>
      <c r="EC169" s="16"/>
      <c r="ED169" s="16"/>
      <c r="EE169" s="16"/>
    </row>
    <row r="170" spans="1:135" customFormat="1" x14ac:dyDescent="0.25">
      <c r="A170" s="208"/>
      <c r="B170" s="246"/>
      <c r="C170" s="140" t="str">
        <f t="shared" si="4"/>
        <v/>
      </c>
      <c r="D170" s="16"/>
      <c r="E170" s="16"/>
      <c r="F170" s="16"/>
      <c r="G170" s="16"/>
      <c r="H170" s="16"/>
      <c r="I170" s="259"/>
      <c r="J170" s="16"/>
      <c r="K170" s="16"/>
      <c r="L170" s="16"/>
      <c r="M170" s="16"/>
      <c r="O170" s="16"/>
      <c r="P170" s="16"/>
      <c r="Q170" s="16"/>
      <c r="R170" s="16"/>
      <c r="S170" s="16"/>
      <c r="T170" s="87"/>
      <c r="Z170" s="87"/>
      <c r="AA170" s="87"/>
      <c r="AB170" s="16"/>
      <c r="AC170" s="16"/>
      <c r="AD170" s="21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  <c r="EB170" s="16"/>
      <c r="EC170" s="16"/>
      <c r="ED170" s="16"/>
      <c r="EE170" s="16"/>
    </row>
    <row r="171" spans="1:135" customFormat="1" x14ac:dyDescent="0.25">
      <c r="A171" s="208"/>
      <c r="B171" s="246"/>
      <c r="C171" s="140" t="str">
        <f t="shared" si="4"/>
        <v/>
      </c>
      <c r="D171" s="16"/>
      <c r="E171" s="16"/>
      <c r="F171" s="16"/>
      <c r="G171" s="16"/>
      <c r="H171" s="16"/>
      <c r="I171" s="259"/>
      <c r="J171" s="16"/>
      <c r="K171" s="16"/>
      <c r="L171" s="16"/>
      <c r="M171" s="16"/>
      <c r="O171" s="16"/>
      <c r="P171" s="16"/>
      <c r="Q171" s="16"/>
      <c r="R171" s="16"/>
      <c r="S171" s="16"/>
      <c r="T171" s="87"/>
      <c r="U171" s="87"/>
      <c r="Z171" s="87"/>
      <c r="AA171" s="87"/>
      <c r="AB171" s="16"/>
      <c r="AC171" s="16"/>
      <c r="AD171" s="21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  <c r="EC171" s="16"/>
      <c r="ED171" s="16"/>
      <c r="EE171" s="16"/>
    </row>
    <row r="172" spans="1:135" customFormat="1" x14ac:dyDescent="0.25">
      <c r="A172" s="208"/>
      <c r="B172" s="246"/>
      <c r="C172" s="140" t="str">
        <f t="shared" si="4"/>
        <v/>
      </c>
      <c r="D172" s="16"/>
      <c r="E172" s="16"/>
      <c r="F172" s="16"/>
      <c r="G172" s="16"/>
      <c r="H172" s="16"/>
      <c r="I172" s="259"/>
      <c r="J172" s="16"/>
      <c r="K172" s="16"/>
      <c r="L172" s="16"/>
      <c r="M172" s="16"/>
      <c r="O172" s="16"/>
      <c r="P172" s="16"/>
      <c r="Q172" s="16"/>
      <c r="R172" s="16"/>
      <c r="S172" s="16"/>
      <c r="T172" s="87"/>
      <c r="U172" s="87"/>
      <c r="Z172" s="87"/>
      <c r="AA172" s="87"/>
      <c r="AB172" s="16"/>
      <c r="AC172" s="16"/>
      <c r="AD172" s="21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  <c r="EB172" s="16"/>
      <c r="EC172" s="16"/>
      <c r="ED172" s="16"/>
      <c r="EE172" s="16"/>
    </row>
    <row r="173" spans="1:135" customFormat="1" x14ac:dyDescent="0.25">
      <c r="A173" s="208"/>
      <c r="B173" s="246"/>
      <c r="C173" s="140" t="str">
        <f t="shared" si="4"/>
        <v/>
      </c>
      <c r="D173" s="16"/>
      <c r="E173" s="16"/>
      <c r="F173" s="16"/>
      <c r="G173" s="16"/>
      <c r="H173" s="16"/>
      <c r="I173" s="259"/>
      <c r="J173" s="16"/>
      <c r="K173" s="16"/>
      <c r="L173" s="16"/>
      <c r="M173" s="16"/>
      <c r="O173" s="16"/>
      <c r="P173" s="16"/>
      <c r="Q173" s="16"/>
      <c r="R173" s="16"/>
      <c r="S173" s="16"/>
      <c r="T173" s="87"/>
      <c r="Z173" s="87"/>
      <c r="AA173" s="87"/>
      <c r="AB173" s="16"/>
      <c r="AC173" s="16"/>
      <c r="AD173" s="21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  <c r="EB173" s="16"/>
      <c r="EC173" s="16"/>
      <c r="ED173" s="16"/>
      <c r="EE173" s="16"/>
    </row>
    <row r="174" spans="1:135" customFormat="1" x14ac:dyDescent="0.25">
      <c r="A174" s="208"/>
      <c r="B174" s="246"/>
      <c r="C174" s="140" t="str">
        <f t="shared" si="4"/>
        <v/>
      </c>
      <c r="D174" s="16"/>
      <c r="E174" s="16"/>
      <c r="F174" s="16"/>
      <c r="G174" s="16"/>
      <c r="H174" s="16"/>
      <c r="I174" s="259"/>
      <c r="J174" s="16"/>
      <c r="K174" s="16"/>
      <c r="L174" s="16"/>
      <c r="M174" s="16"/>
      <c r="O174" s="16"/>
      <c r="P174" s="16"/>
      <c r="Q174" s="16"/>
      <c r="R174" s="16"/>
      <c r="S174" s="16"/>
      <c r="T174" s="87"/>
      <c r="U174" s="87"/>
      <c r="Z174" s="87"/>
      <c r="AA174" s="87"/>
      <c r="AB174" s="16"/>
      <c r="AC174" s="16"/>
      <c r="AD174" s="21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  <c r="EB174" s="16"/>
      <c r="EC174" s="16"/>
      <c r="ED174" s="16"/>
      <c r="EE174" s="16"/>
    </row>
    <row r="175" spans="1:135" customFormat="1" x14ac:dyDescent="0.25">
      <c r="A175" s="208"/>
      <c r="B175" s="246"/>
      <c r="C175" s="140" t="str">
        <f t="shared" si="4"/>
        <v/>
      </c>
      <c r="D175" s="16"/>
      <c r="E175" s="16"/>
      <c r="F175" s="16"/>
      <c r="G175" s="16"/>
      <c r="H175" s="16"/>
      <c r="I175" s="259"/>
      <c r="J175" s="16"/>
      <c r="K175" s="16"/>
      <c r="L175" s="16"/>
      <c r="M175" s="16"/>
      <c r="O175" s="16"/>
      <c r="P175" s="16"/>
      <c r="Q175" s="16"/>
      <c r="R175" s="16"/>
      <c r="S175" s="16"/>
      <c r="T175" s="87"/>
      <c r="U175" s="87"/>
      <c r="Z175" s="87"/>
      <c r="AA175" s="87"/>
      <c r="AB175" s="16"/>
      <c r="AC175" s="16"/>
      <c r="AD175" s="21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</row>
    <row r="176" spans="1:135" customFormat="1" x14ac:dyDescent="0.25">
      <c r="A176" s="208"/>
      <c r="B176" s="246"/>
      <c r="C176" s="140" t="str">
        <f t="shared" si="4"/>
        <v/>
      </c>
      <c r="D176" s="16"/>
      <c r="E176" s="16"/>
      <c r="F176" s="16"/>
      <c r="G176" s="16"/>
      <c r="H176" s="16"/>
      <c r="I176" s="259"/>
      <c r="J176" s="16"/>
      <c r="K176" s="16"/>
      <c r="L176" s="16"/>
      <c r="M176" s="16"/>
      <c r="O176" s="16"/>
      <c r="P176" s="16"/>
      <c r="Q176" s="16"/>
      <c r="R176" s="16"/>
      <c r="S176" s="16"/>
      <c r="T176" s="87"/>
      <c r="U176" s="87"/>
      <c r="Z176" s="87"/>
      <c r="AA176" s="87"/>
      <c r="AB176" s="16"/>
      <c r="AC176" s="16"/>
      <c r="AD176" s="21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  <c r="EB176" s="16"/>
      <c r="EC176" s="16"/>
      <c r="ED176" s="16"/>
      <c r="EE176" s="16"/>
    </row>
    <row r="177" spans="1:135" customFormat="1" x14ac:dyDescent="0.25">
      <c r="A177" s="208"/>
      <c r="B177" s="246"/>
      <c r="C177" s="140" t="str">
        <f t="shared" si="4"/>
        <v/>
      </c>
      <c r="D177" s="16"/>
      <c r="E177" s="16"/>
      <c r="F177" s="16"/>
      <c r="G177" s="16"/>
      <c r="H177" s="16"/>
      <c r="I177" s="259"/>
      <c r="J177" s="16"/>
      <c r="K177" s="16"/>
      <c r="L177" s="16"/>
      <c r="M177" s="16"/>
      <c r="O177" s="16"/>
      <c r="P177" s="16"/>
      <c r="Q177" s="16"/>
      <c r="R177" s="16"/>
      <c r="S177" s="16"/>
      <c r="T177" s="87"/>
      <c r="Z177" s="87"/>
      <c r="AA177" s="87"/>
      <c r="AB177" s="16"/>
      <c r="AC177" s="16"/>
      <c r="AD177" s="21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</row>
    <row r="178" spans="1:135" customFormat="1" x14ac:dyDescent="0.25">
      <c r="A178" s="208"/>
      <c r="B178" s="246"/>
      <c r="C178" s="140" t="str">
        <f t="shared" si="4"/>
        <v/>
      </c>
      <c r="D178" s="16"/>
      <c r="E178" s="16"/>
      <c r="F178" s="16"/>
      <c r="G178" s="16"/>
      <c r="H178" s="16"/>
      <c r="I178" s="259"/>
      <c r="J178" s="16"/>
      <c r="K178" s="16"/>
      <c r="L178" s="16"/>
      <c r="M178" s="16"/>
      <c r="O178" s="16"/>
      <c r="P178" s="16"/>
      <c r="Q178" s="16"/>
      <c r="R178" s="16"/>
      <c r="S178" s="16"/>
      <c r="T178" s="87"/>
      <c r="Z178" s="87"/>
      <c r="AA178" s="87"/>
      <c r="AB178" s="16"/>
      <c r="AC178" s="16"/>
      <c r="AD178" s="21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</row>
    <row r="179" spans="1:135" customFormat="1" x14ac:dyDescent="0.25">
      <c r="A179" s="208"/>
      <c r="B179" s="246"/>
      <c r="C179" s="140" t="str">
        <f t="shared" si="4"/>
        <v/>
      </c>
      <c r="D179" s="16"/>
      <c r="E179" s="16"/>
      <c r="F179" s="16"/>
      <c r="G179" s="16"/>
      <c r="H179" s="16"/>
      <c r="I179" s="259"/>
      <c r="J179" s="16"/>
      <c r="K179" s="16"/>
      <c r="L179" s="16"/>
      <c r="M179" s="16"/>
      <c r="O179" s="16"/>
      <c r="P179" s="16"/>
      <c r="Q179" s="16"/>
      <c r="R179" s="16"/>
      <c r="S179" s="16"/>
      <c r="T179" s="87"/>
      <c r="Z179" s="87"/>
      <c r="AA179" s="87"/>
      <c r="AB179" s="16"/>
      <c r="AC179" s="16"/>
      <c r="AD179" s="21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</row>
    <row r="180" spans="1:135" x14ac:dyDescent="0.25">
      <c r="A180" s="208"/>
      <c r="B180" s="246"/>
      <c r="C180" s="140" t="str">
        <f t="shared" si="4"/>
        <v/>
      </c>
      <c r="N180"/>
    </row>
    <row r="181" spans="1:135" x14ac:dyDescent="0.25">
      <c r="A181" s="208"/>
      <c r="B181" s="246"/>
      <c r="C181" s="140" t="str">
        <f t="shared" si="4"/>
        <v/>
      </c>
      <c r="N181"/>
    </row>
    <row r="182" spans="1:135" x14ac:dyDescent="0.25">
      <c r="A182" s="208"/>
      <c r="B182" s="246"/>
      <c r="C182" s="140" t="str">
        <f t="shared" si="4"/>
        <v/>
      </c>
      <c r="N182"/>
    </row>
    <row r="183" spans="1:135" x14ac:dyDescent="0.25">
      <c r="A183" s="208"/>
      <c r="B183" s="246"/>
      <c r="C183" s="140" t="str">
        <f t="shared" si="4"/>
        <v/>
      </c>
      <c r="N183"/>
    </row>
    <row r="184" spans="1:135" x14ac:dyDescent="0.25">
      <c r="A184" s="208"/>
      <c r="B184" s="246"/>
      <c r="C184" s="140" t="str">
        <f t="shared" si="4"/>
        <v/>
      </c>
      <c r="N184"/>
    </row>
    <row r="185" spans="1:135" x14ac:dyDescent="0.25">
      <c r="A185" s="208"/>
      <c r="B185" s="246"/>
      <c r="C185" s="140" t="str">
        <f t="shared" si="4"/>
        <v/>
      </c>
      <c r="N185"/>
    </row>
    <row r="186" spans="1:135" x14ac:dyDescent="0.25">
      <c r="A186" s="208"/>
      <c r="B186" s="246"/>
      <c r="C186" s="140" t="str">
        <f t="shared" si="4"/>
        <v/>
      </c>
      <c r="N186"/>
    </row>
    <row r="187" spans="1:135" x14ac:dyDescent="0.25">
      <c r="A187" s="208"/>
      <c r="B187" s="246"/>
      <c r="C187" s="140" t="str">
        <f t="shared" si="4"/>
        <v/>
      </c>
      <c r="N187"/>
    </row>
    <row r="188" spans="1:135" x14ac:dyDescent="0.25">
      <c r="A188" s="208"/>
      <c r="B188" s="246"/>
      <c r="C188" s="140" t="str">
        <f t="shared" si="4"/>
        <v/>
      </c>
      <c r="N188"/>
    </row>
    <row r="189" spans="1:135" x14ac:dyDescent="0.25">
      <c r="A189" s="208"/>
      <c r="B189" s="246"/>
      <c r="C189" s="140" t="str">
        <f t="shared" si="4"/>
        <v/>
      </c>
      <c r="N189"/>
    </row>
    <row r="190" spans="1:135" x14ac:dyDescent="0.25">
      <c r="A190" s="208"/>
      <c r="B190" s="246"/>
      <c r="C190" s="140" t="str">
        <f t="shared" si="4"/>
        <v/>
      </c>
      <c r="N190"/>
    </row>
    <row r="191" spans="1:135" x14ac:dyDescent="0.25">
      <c r="A191" s="208"/>
      <c r="B191" s="246"/>
      <c r="C191" s="140" t="str">
        <f t="shared" si="4"/>
        <v/>
      </c>
      <c r="N191"/>
    </row>
    <row r="192" spans="1:135" x14ac:dyDescent="0.25">
      <c r="A192" s="208"/>
      <c r="B192" s="246"/>
      <c r="C192" s="140" t="str">
        <f t="shared" si="4"/>
        <v/>
      </c>
      <c r="N192"/>
    </row>
    <row r="193" spans="1:14" x14ac:dyDescent="0.25">
      <c r="A193" s="208"/>
      <c r="B193" s="246"/>
      <c r="C193" s="140" t="str">
        <f t="shared" si="4"/>
        <v/>
      </c>
      <c r="N193"/>
    </row>
    <row r="194" spans="1:14" x14ac:dyDescent="0.25">
      <c r="A194" s="208"/>
      <c r="B194" s="246"/>
      <c r="C194" s="140" t="str">
        <f t="shared" si="4"/>
        <v/>
      </c>
      <c r="N194"/>
    </row>
    <row r="195" spans="1:14" x14ac:dyDescent="0.25">
      <c r="A195" s="208"/>
      <c r="B195" s="246"/>
      <c r="C195" s="140" t="str">
        <f t="shared" si="4"/>
        <v/>
      </c>
      <c r="N195"/>
    </row>
    <row r="196" spans="1:14" x14ac:dyDescent="0.25">
      <c r="A196" s="208"/>
      <c r="B196" s="246"/>
      <c r="C196" s="140" t="str">
        <f t="shared" si="4"/>
        <v/>
      </c>
      <c r="N196"/>
    </row>
    <row r="197" spans="1:14" x14ac:dyDescent="0.25">
      <c r="A197" s="208"/>
      <c r="B197" s="246"/>
      <c r="C197" s="140" t="str">
        <f t="shared" si="4"/>
        <v/>
      </c>
      <c r="N197"/>
    </row>
    <row r="198" spans="1:14" x14ac:dyDescent="0.25">
      <c r="A198" s="208"/>
      <c r="B198" s="246"/>
      <c r="C198" s="140" t="str">
        <f t="shared" si="4"/>
        <v/>
      </c>
      <c r="N198"/>
    </row>
    <row r="199" spans="1:14" x14ac:dyDescent="0.25">
      <c r="A199" s="208"/>
      <c r="B199" s="246"/>
      <c r="C199" s="140" t="str">
        <f t="shared" si="4"/>
        <v/>
      </c>
      <c r="N199"/>
    </row>
    <row r="200" spans="1:14" x14ac:dyDescent="0.25">
      <c r="A200" s="208"/>
      <c r="B200" s="246"/>
      <c r="C200" s="140" t="str">
        <f t="shared" si="4"/>
        <v/>
      </c>
      <c r="N200"/>
    </row>
    <row r="201" spans="1:14" x14ac:dyDescent="0.25">
      <c r="A201" s="208"/>
      <c r="B201" s="246"/>
      <c r="C201" s="140" t="str">
        <f t="shared" si="4"/>
        <v/>
      </c>
      <c r="N201"/>
    </row>
    <row r="202" spans="1:14" x14ac:dyDescent="0.25">
      <c r="A202" s="208"/>
      <c r="B202" s="246"/>
      <c r="C202" s="140" t="str">
        <f t="shared" si="4"/>
        <v/>
      </c>
      <c r="N202"/>
    </row>
    <row r="203" spans="1:14" x14ac:dyDescent="0.25">
      <c r="A203" s="208"/>
      <c r="B203" s="246"/>
      <c r="C203" s="140" t="str">
        <f t="shared" si="4"/>
        <v/>
      </c>
      <c r="N203"/>
    </row>
    <row r="204" spans="1:14" x14ac:dyDescent="0.25">
      <c r="A204" s="208"/>
      <c r="B204" s="246"/>
      <c r="C204" s="140" t="str">
        <f t="shared" si="4"/>
        <v/>
      </c>
      <c r="N204"/>
    </row>
    <row r="205" spans="1:14" x14ac:dyDescent="0.25">
      <c r="A205" s="208"/>
      <c r="B205" s="246"/>
      <c r="C205" s="140" t="str">
        <f t="shared" si="4"/>
        <v/>
      </c>
      <c r="N205"/>
    </row>
    <row r="206" spans="1:14" x14ac:dyDescent="0.25">
      <c r="A206" s="208"/>
      <c r="B206" s="246"/>
      <c r="C206" s="140" t="str">
        <f t="shared" si="4"/>
        <v/>
      </c>
      <c r="N206"/>
    </row>
    <row r="207" spans="1:14" x14ac:dyDescent="0.25">
      <c r="A207" s="208"/>
      <c r="B207" s="246"/>
      <c r="C207" s="140" t="str">
        <f t="shared" si="4"/>
        <v/>
      </c>
      <c r="N207"/>
    </row>
    <row r="208" spans="1:14" x14ac:dyDescent="0.25">
      <c r="A208" s="208"/>
      <c r="B208" s="246"/>
      <c r="C208" s="140" t="str">
        <f t="shared" si="4"/>
        <v/>
      </c>
      <c r="N208"/>
    </row>
    <row r="209" spans="1:14" x14ac:dyDescent="0.25">
      <c r="A209" s="208"/>
      <c r="B209" s="246"/>
      <c r="C209" s="140" t="str">
        <f t="shared" si="4"/>
        <v/>
      </c>
      <c r="N209"/>
    </row>
    <row r="210" spans="1:14" x14ac:dyDescent="0.25">
      <c r="A210" s="208"/>
      <c r="B210" s="246"/>
      <c r="C210" s="140" t="str">
        <f t="shared" si="4"/>
        <v/>
      </c>
      <c r="N210"/>
    </row>
    <row r="211" spans="1:14" x14ac:dyDescent="0.25">
      <c r="A211" s="208"/>
      <c r="B211" s="246"/>
      <c r="C211" s="140" t="str">
        <f t="shared" si="4"/>
        <v/>
      </c>
      <c r="N211"/>
    </row>
    <row r="212" spans="1:14" x14ac:dyDescent="0.25">
      <c r="A212" s="208"/>
      <c r="B212" s="246"/>
      <c r="C212" s="140" t="str">
        <f t="shared" si="4"/>
        <v/>
      </c>
      <c r="N212"/>
    </row>
    <row r="213" spans="1:14" x14ac:dyDescent="0.25">
      <c r="A213" s="208"/>
      <c r="B213" s="246"/>
      <c r="C213" s="140" t="str">
        <f t="shared" si="4"/>
        <v/>
      </c>
      <c r="N213"/>
    </row>
    <row r="214" spans="1:14" x14ac:dyDescent="0.25">
      <c r="A214" s="208"/>
      <c r="B214" s="246"/>
      <c r="C214" s="140" t="str">
        <f t="shared" si="4"/>
        <v/>
      </c>
      <c r="N214"/>
    </row>
    <row r="215" spans="1:14" x14ac:dyDescent="0.25">
      <c r="A215" s="208"/>
      <c r="B215" s="246"/>
      <c r="C215" s="140" t="str">
        <f t="shared" si="4"/>
        <v/>
      </c>
      <c r="N215"/>
    </row>
    <row r="216" spans="1:14" x14ac:dyDescent="0.25">
      <c r="A216" s="208"/>
      <c r="B216" s="246"/>
      <c r="C216" s="140" t="str">
        <f t="shared" si="4"/>
        <v/>
      </c>
      <c r="N216"/>
    </row>
    <row r="217" spans="1:14" x14ac:dyDescent="0.25">
      <c r="A217" s="208"/>
      <c r="B217" s="246"/>
      <c r="C217" s="140" t="str">
        <f t="shared" si="4"/>
        <v/>
      </c>
      <c r="N217"/>
    </row>
    <row r="218" spans="1:14" x14ac:dyDescent="0.25">
      <c r="A218" s="208"/>
      <c r="B218" s="246"/>
      <c r="C218" s="140" t="str">
        <f t="shared" si="4"/>
        <v/>
      </c>
      <c r="N218"/>
    </row>
    <row r="219" spans="1:14" x14ac:dyDescent="0.25">
      <c r="A219" s="208"/>
      <c r="B219" s="246"/>
      <c r="C219" s="140" t="str">
        <f t="shared" ref="C219:C282" si="5">+IFERROR(IF(B219="","",(VLOOKUP(B219,$F$2:$H$55,3,0))),"State Wrong")</f>
        <v/>
      </c>
      <c r="N219"/>
    </row>
    <row r="220" spans="1:14" x14ac:dyDescent="0.25">
      <c r="A220" s="208"/>
      <c r="B220" s="246"/>
      <c r="C220" s="140" t="str">
        <f t="shared" si="5"/>
        <v/>
      </c>
    </row>
    <row r="221" spans="1:14" x14ac:dyDescent="0.25">
      <c r="A221" s="208"/>
      <c r="B221" s="246"/>
      <c r="C221" s="140" t="str">
        <f t="shared" si="5"/>
        <v/>
      </c>
    </row>
    <row r="222" spans="1:14" x14ac:dyDescent="0.25">
      <c r="A222" s="208"/>
      <c r="B222" s="246"/>
      <c r="C222" s="140" t="str">
        <f t="shared" si="5"/>
        <v/>
      </c>
    </row>
    <row r="223" spans="1:14" x14ac:dyDescent="0.25">
      <c r="A223" s="208"/>
      <c r="B223" s="246"/>
      <c r="C223" s="140" t="str">
        <f t="shared" si="5"/>
        <v/>
      </c>
    </row>
    <row r="224" spans="1:14" x14ac:dyDescent="0.25">
      <c r="A224" s="208"/>
      <c r="B224" s="246"/>
      <c r="C224" s="140" t="str">
        <f t="shared" si="5"/>
        <v/>
      </c>
    </row>
    <row r="225" spans="1:3" x14ac:dyDescent="0.25">
      <c r="A225" s="208"/>
      <c r="B225" s="246"/>
      <c r="C225" s="140" t="str">
        <f t="shared" si="5"/>
        <v/>
      </c>
    </row>
    <row r="226" spans="1:3" x14ac:dyDescent="0.25">
      <c r="A226" s="208"/>
      <c r="B226" s="246"/>
      <c r="C226" s="140" t="str">
        <f t="shared" si="5"/>
        <v/>
      </c>
    </row>
    <row r="227" spans="1:3" x14ac:dyDescent="0.25">
      <c r="A227" s="208"/>
      <c r="B227" s="246"/>
      <c r="C227" s="140" t="str">
        <f t="shared" si="5"/>
        <v/>
      </c>
    </row>
    <row r="228" spans="1:3" x14ac:dyDescent="0.25">
      <c r="A228" s="208"/>
      <c r="B228" s="246"/>
      <c r="C228" s="140" t="str">
        <f t="shared" si="5"/>
        <v/>
      </c>
    </row>
    <row r="229" spans="1:3" x14ac:dyDescent="0.25">
      <c r="A229" s="208"/>
      <c r="B229" s="246"/>
      <c r="C229" s="140" t="str">
        <f t="shared" si="5"/>
        <v/>
      </c>
    </row>
    <row r="230" spans="1:3" x14ac:dyDescent="0.25">
      <c r="A230" s="208"/>
      <c r="B230" s="246"/>
      <c r="C230" s="140" t="str">
        <f t="shared" si="5"/>
        <v/>
      </c>
    </row>
    <row r="231" spans="1:3" x14ac:dyDescent="0.25">
      <c r="A231" s="208"/>
      <c r="B231" s="246"/>
      <c r="C231" s="140" t="str">
        <f t="shared" si="5"/>
        <v/>
      </c>
    </row>
    <row r="232" spans="1:3" x14ac:dyDescent="0.25">
      <c r="A232" s="208"/>
      <c r="B232" s="246"/>
      <c r="C232" s="140" t="str">
        <f t="shared" si="5"/>
        <v/>
      </c>
    </row>
    <row r="233" spans="1:3" x14ac:dyDescent="0.25">
      <c r="A233" s="208"/>
      <c r="B233" s="246"/>
      <c r="C233" s="140" t="str">
        <f t="shared" si="5"/>
        <v/>
      </c>
    </row>
    <row r="234" spans="1:3" x14ac:dyDescent="0.25">
      <c r="A234" s="208"/>
      <c r="B234" s="246"/>
      <c r="C234" s="140" t="str">
        <f t="shared" si="5"/>
        <v/>
      </c>
    </row>
    <row r="235" spans="1:3" x14ac:dyDescent="0.25">
      <c r="A235" s="208"/>
      <c r="B235" s="246"/>
      <c r="C235" s="140" t="str">
        <f t="shared" si="5"/>
        <v/>
      </c>
    </row>
    <row r="236" spans="1:3" x14ac:dyDescent="0.25">
      <c r="A236" s="208"/>
      <c r="B236" s="246"/>
      <c r="C236" s="140" t="str">
        <f t="shared" si="5"/>
        <v/>
      </c>
    </row>
    <row r="237" spans="1:3" x14ac:dyDescent="0.25">
      <c r="A237" s="208"/>
      <c r="B237" s="246"/>
      <c r="C237" s="140" t="str">
        <f t="shared" si="5"/>
        <v/>
      </c>
    </row>
    <row r="238" spans="1:3" x14ac:dyDescent="0.25">
      <c r="A238" s="208"/>
      <c r="B238" s="246"/>
      <c r="C238" s="140" t="str">
        <f t="shared" si="5"/>
        <v/>
      </c>
    </row>
    <row r="239" spans="1:3" x14ac:dyDescent="0.25">
      <c r="A239" s="208"/>
      <c r="B239" s="246"/>
      <c r="C239" s="140" t="str">
        <f t="shared" si="5"/>
        <v/>
      </c>
    </row>
    <row r="240" spans="1:3" x14ac:dyDescent="0.25">
      <c r="A240" s="208"/>
      <c r="B240" s="246"/>
      <c r="C240" s="140" t="str">
        <f t="shared" si="5"/>
        <v/>
      </c>
    </row>
    <row r="241" spans="1:3" x14ac:dyDescent="0.25">
      <c r="A241" s="208"/>
      <c r="B241" s="246"/>
      <c r="C241" s="140" t="str">
        <f t="shared" si="5"/>
        <v/>
      </c>
    </row>
    <row r="242" spans="1:3" x14ac:dyDescent="0.25">
      <c r="A242" s="208"/>
      <c r="B242" s="246"/>
      <c r="C242" s="140" t="str">
        <f t="shared" si="5"/>
        <v/>
      </c>
    </row>
    <row r="243" spans="1:3" x14ac:dyDescent="0.25">
      <c r="A243" s="208"/>
      <c r="B243" s="246"/>
      <c r="C243" s="140" t="str">
        <f t="shared" si="5"/>
        <v/>
      </c>
    </row>
    <row r="244" spans="1:3" x14ac:dyDescent="0.25">
      <c r="A244" s="208"/>
      <c r="B244" s="246"/>
      <c r="C244" s="140" t="str">
        <f t="shared" si="5"/>
        <v/>
      </c>
    </row>
    <row r="245" spans="1:3" x14ac:dyDescent="0.25">
      <c r="A245" s="208"/>
      <c r="B245" s="246"/>
      <c r="C245" s="140" t="str">
        <f t="shared" si="5"/>
        <v/>
      </c>
    </row>
    <row r="246" spans="1:3" x14ac:dyDescent="0.25">
      <c r="A246" s="208"/>
      <c r="B246" s="246"/>
      <c r="C246" s="140" t="str">
        <f t="shared" si="5"/>
        <v/>
      </c>
    </row>
    <row r="247" spans="1:3" x14ac:dyDescent="0.25">
      <c r="A247" s="208"/>
      <c r="B247" s="246"/>
      <c r="C247" s="140" t="str">
        <f t="shared" si="5"/>
        <v/>
      </c>
    </row>
    <row r="248" spans="1:3" x14ac:dyDescent="0.25">
      <c r="A248" s="208"/>
      <c r="B248" s="246"/>
      <c r="C248" s="140" t="str">
        <f t="shared" si="5"/>
        <v/>
      </c>
    </row>
    <row r="249" spans="1:3" x14ac:dyDescent="0.25">
      <c r="A249" s="208"/>
      <c r="B249" s="246"/>
      <c r="C249" s="140" t="str">
        <f t="shared" si="5"/>
        <v/>
      </c>
    </row>
    <row r="250" spans="1:3" x14ac:dyDescent="0.25">
      <c r="A250" s="208"/>
      <c r="B250" s="246"/>
      <c r="C250" s="140" t="str">
        <f t="shared" si="5"/>
        <v/>
      </c>
    </row>
    <row r="251" spans="1:3" x14ac:dyDescent="0.25">
      <c r="A251" s="208"/>
      <c r="B251" s="246"/>
      <c r="C251" s="140" t="str">
        <f t="shared" si="5"/>
        <v/>
      </c>
    </row>
    <row r="252" spans="1:3" x14ac:dyDescent="0.25">
      <c r="A252" s="208"/>
      <c r="B252" s="246"/>
      <c r="C252" s="140" t="str">
        <f t="shared" si="5"/>
        <v/>
      </c>
    </row>
    <row r="253" spans="1:3" x14ac:dyDescent="0.25">
      <c r="A253" s="208"/>
      <c r="B253" s="246"/>
      <c r="C253" s="140" t="str">
        <f t="shared" si="5"/>
        <v/>
      </c>
    </row>
    <row r="254" spans="1:3" x14ac:dyDescent="0.25">
      <c r="A254" s="208"/>
      <c r="B254" s="246"/>
      <c r="C254" s="140" t="str">
        <f t="shared" si="5"/>
        <v/>
      </c>
    </row>
    <row r="255" spans="1:3" x14ac:dyDescent="0.25">
      <c r="A255" s="208"/>
      <c r="B255" s="246"/>
      <c r="C255" s="140" t="str">
        <f t="shared" si="5"/>
        <v/>
      </c>
    </row>
    <row r="256" spans="1:3" x14ac:dyDescent="0.25">
      <c r="A256" s="208"/>
      <c r="B256" s="246"/>
      <c r="C256" s="140" t="str">
        <f t="shared" si="5"/>
        <v/>
      </c>
    </row>
    <row r="257" spans="1:3" x14ac:dyDescent="0.25">
      <c r="A257" s="208"/>
      <c r="B257" s="246"/>
      <c r="C257" s="140" t="str">
        <f t="shared" si="5"/>
        <v/>
      </c>
    </row>
    <row r="258" spans="1:3" x14ac:dyDescent="0.25">
      <c r="A258" s="208"/>
      <c r="B258" s="246"/>
      <c r="C258" s="140" t="str">
        <f t="shared" si="5"/>
        <v/>
      </c>
    </row>
    <row r="259" spans="1:3" x14ac:dyDescent="0.25">
      <c r="A259" s="208"/>
      <c r="B259" s="246"/>
      <c r="C259" s="140" t="str">
        <f t="shared" si="5"/>
        <v/>
      </c>
    </row>
    <row r="260" spans="1:3" x14ac:dyDescent="0.25">
      <c r="A260" s="208"/>
      <c r="B260" s="246"/>
      <c r="C260" s="140" t="str">
        <f t="shared" si="5"/>
        <v/>
      </c>
    </row>
    <row r="261" spans="1:3" x14ac:dyDescent="0.25">
      <c r="A261" s="208"/>
      <c r="B261" s="246"/>
      <c r="C261" s="140" t="str">
        <f t="shared" si="5"/>
        <v/>
      </c>
    </row>
    <row r="262" spans="1:3" x14ac:dyDescent="0.25">
      <c r="A262" s="208"/>
      <c r="B262" s="246"/>
      <c r="C262" s="140" t="str">
        <f t="shared" si="5"/>
        <v/>
      </c>
    </row>
    <row r="263" spans="1:3" x14ac:dyDescent="0.25">
      <c r="A263" s="208"/>
      <c r="B263" s="246"/>
      <c r="C263" s="140" t="str">
        <f t="shared" si="5"/>
        <v/>
      </c>
    </row>
    <row r="264" spans="1:3" x14ac:dyDescent="0.25">
      <c r="A264" s="208"/>
      <c r="B264" s="246"/>
      <c r="C264" s="140" t="str">
        <f t="shared" si="5"/>
        <v/>
      </c>
    </row>
    <row r="265" spans="1:3" x14ac:dyDescent="0.25">
      <c r="A265" s="208"/>
      <c r="B265" s="246"/>
      <c r="C265" s="140" t="str">
        <f t="shared" si="5"/>
        <v/>
      </c>
    </row>
    <row r="266" spans="1:3" x14ac:dyDescent="0.25">
      <c r="A266" s="208"/>
      <c r="B266" s="246"/>
      <c r="C266" s="140" t="str">
        <f t="shared" si="5"/>
        <v/>
      </c>
    </row>
    <row r="267" spans="1:3" x14ac:dyDescent="0.25">
      <c r="A267" s="208"/>
      <c r="B267" s="246"/>
      <c r="C267" s="140" t="str">
        <f t="shared" si="5"/>
        <v/>
      </c>
    </row>
    <row r="268" spans="1:3" x14ac:dyDescent="0.25">
      <c r="A268" s="208"/>
      <c r="B268" s="246"/>
      <c r="C268" s="140" t="str">
        <f t="shared" si="5"/>
        <v/>
      </c>
    </row>
    <row r="269" spans="1:3" x14ac:dyDescent="0.25">
      <c r="A269" s="208"/>
      <c r="B269" s="246"/>
      <c r="C269" s="140" t="str">
        <f t="shared" si="5"/>
        <v/>
      </c>
    </row>
    <row r="270" spans="1:3" x14ac:dyDescent="0.25">
      <c r="A270" s="208"/>
      <c r="B270" s="246"/>
      <c r="C270" s="140" t="str">
        <f t="shared" si="5"/>
        <v/>
      </c>
    </row>
    <row r="271" spans="1:3" x14ac:dyDescent="0.25">
      <c r="A271" s="208"/>
      <c r="B271" s="246"/>
      <c r="C271" s="140" t="str">
        <f t="shared" si="5"/>
        <v/>
      </c>
    </row>
    <row r="272" spans="1:3" x14ac:dyDescent="0.25">
      <c r="A272" s="208"/>
      <c r="B272" s="246"/>
      <c r="C272" s="140" t="str">
        <f t="shared" si="5"/>
        <v/>
      </c>
    </row>
    <row r="273" spans="1:21" x14ac:dyDescent="0.25">
      <c r="A273" s="208"/>
      <c r="B273" s="246"/>
      <c r="C273" s="140" t="str">
        <f t="shared" si="5"/>
        <v/>
      </c>
    </row>
    <row r="274" spans="1:21" x14ac:dyDescent="0.25">
      <c r="A274" s="208"/>
      <c r="B274" s="246"/>
      <c r="C274" s="140" t="str">
        <f t="shared" si="5"/>
        <v/>
      </c>
    </row>
    <row r="275" spans="1:21" x14ac:dyDescent="0.25">
      <c r="A275" s="208"/>
      <c r="B275" s="246"/>
      <c r="C275" s="140" t="str">
        <f t="shared" si="5"/>
        <v/>
      </c>
    </row>
    <row r="276" spans="1:21" x14ac:dyDescent="0.25">
      <c r="A276" s="208"/>
      <c r="B276" s="246"/>
      <c r="C276" s="140" t="str">
        <f t="shared" si="5"/>
        <v/>
      </c>
    </row>
    <row r="277" spans="1:21" x14ac:dyDescent="0.25">
      <c r="A277" s="208"/>
      <c r="B277" s="246"/>
      <c r="C277" s="140" t="str">
        <f t="shared" si="5"/>
        <v/>
      </c>
    </row>
    <row r="278" spans="1:21" x14ac:dyDescent="0.25">
      <c r="A278" s="208"/>
      <c r="B278" s="246"/>
      <c r="C278" s="140" t="str">
        <f t="shared" si="5"/>
        <v/>
      </c>
    </row>
    <row r="279" spans="1:21" x14ac:dyDescent="0.25">
      <c r="A279" s="208"/>
      <c r="B279" s="246"/>
      <c r="C279" s="140" t="str">
        <f t="shared" si="5"/>
        <v/>
      </c>
    </row>
    <row r="280" spans="1:21" x14ac:dyDescent="0.25">
      <c r="A280" s="208"/>
      <c r="B280" s="246"/>
      <c r="C280" s="140" t="str">
        <f t="shared" si="5"/>
        <v/>
      </c>
    </row>
    <row r="281" spans="1:21" x14ac:dyDescent="0.25">
      <c r="A281" s="208"/>
      <c r="B281" s="246"/>
      <c r="C281" s="140" t="str">
        <f t="shared" si="5"/>
        <v/>
      </c>
    </row>
    <row r="282" spans="1:21" x14ac:dyDescent="0.25">
      <c r="A282" s="208"/>
      <c r="B282" s="246"/>
      <c r="C282" s="140" t="str">
        <f t="shared" si="5"/>
        <v/>
      </c>
    </row>
    <row r="283" spans="1:21" x14ac:dyDescent="0.25">
      <c r="A283" s="208"/>
      <c r="B283" s="246"/>
      <c r="C283" s="140" t="str">
        <f t="shared" ref="C283:C346" si="6">+IFERROR(IF(B283="","",(VLOOKUP(B283,$F$2:$H$55,3,0))),"State Wrong")</f>
        <v/>
      </c>
    </row>
    <row r="284" spans="1:21" x14ac:dyDescent="0.25">
      <c r="A284" s="208"/>
      <c r="B284" s="246"/>
      <c r="C284" s="140" t="str">
        <f t="shared" si="6"/>
        <v/>
      </c>
    </row>
    <row r="285" spans="1:21" x14ac:dyDescent="0.25">
      <c r="A285" s="208"/>
      <c r="B285" s="246"/>
      <c r="C285" s="140" t="str">
        <f t="shared" si="6"/>
        <v/>
      </c>
    </row>
    <row r="286" spans="1:21" x14ac:dyDescent="0.25">
      <c r="A286" s="208"/>
      <c r="B286" s="246"/>
      <c r="C286" s="140" t="str">
        <f t="shared" si="6"/>
        <v/>
      </c>
      <c r="U286" s="82"/>
    </row>
    <row r="287" spans="1:21" x14ac:dyDescent="0.25">
      <c r="A287" s="208"/>
      <c r="B287" s="246"/>
      <c r="C287" s="140" t="str">
        <f t="shared" si="6"/>
        <v/>
      </c>
    </row>
    <row r="288" spans="1:21" x14ac:dyDescent="0.25">
      <c r="A288" s="208"/>
      <c r="B288" s="246"/>
      <c r="C288" s="140" t="str">
        <f t="shared" si="6"/>
        <v/>
      </c>
    </row>
    <row r="289" spans="1:3" x14ac:dyDescent="0.25">
      <c r="A289" s="208"/>
      <c r="B289" s="246"/>
      <c r="C289" s="140" t="str">
        <f t="shared" si="6"/>
        <v/>
      </c>
    </row>
    <row r="290" spans="1:3" x14ac:dyDescent="0.25">
      <c r="A290" s="208"/>
      <c r="B290" s="246"/>
      <c r="C290" s="140" t="str">
        <f t="shared" si="6"/>
        <v/>
      </c>
    </row>
    <row r="291" spans="1:3" x14ac:dyDescent="0.25">
      <c r="A291" s="208"/>
      <c r="B291" s="246"/>
      <c r="C291" s="140" t="str">
        <f t="shared" si="6"/>
        <v/>
      </c>
    </row>
    <row r="292" spans="1:3" x14ac:dyDescent="0.25">
      <c r="A292" s="208"/>
      <c r="B292" s="246"/>
      <c r="C292" s="140" t="str">
        <f t="shared" si="6"/>
        <v/>
      </c>
    </row>
    <row r="293" spans="1:3" x14ac:dyDescent="0.25">
      <c r="A293" s="208"/>
      <c r="B293" s="246"/>
      <c r="C293" s="140" t="str">
        <f t="shared" si="6"/>
        <v/>
      </c>
    </row>
    <row r="294" spans="1:3" x14ac:dyDescent="0.25">
      <c r="A294" s="208"/>
      <c r="B294" s="246"/>
      <c r="C294" s="140" t="str">
        <f t="shared" si="6"/>
        <v/>
      </c>
    </row>
    <row r="295" spans="1:3" x14ac:dyDescent="0.25">
      <c r="A295" s="208"/>
      <c r="B295" s="246"/>
      <c r="C295" s="140" t="str">
        <f t="shared" si="6"/>
        <v/>
      </c>
    </row>
    <row r="296" spans="1:3" x14ac:dyDescent="0.25">
      <c r="A296" s="208"/>
      <c r="B296" s="246"/>
      <c r="C296" s="140" t="str">
        <f t="shared" si="6"/>
        <v/>
      </c>
    </row>
    <row r="297" spans="1:3" x14ac:dyDescent="0.25">
      <c r="A297" s="208"/>
      <c r="B297" s="246"/>
      <c r="C297" s="140" t="str">
        <f t="shared" si="6"/>
        <v/>
      </c>
    </row>
    <row r="298" spans="1:3" x14ac:dyDescent="0.25">
      <c r="A298" s="208"/>
      <c r="B298" s="246"/>
      <c r="C298" s="140" t="str">
        <f t="shared" si="6"/>
        <v/>
      </c>
    </row>
    <row r="299" spans="1:3" x14ac:dyDescent="0.25">
      <c r="A299" s="208"/>
      <c r="B299" s="246"/>
      <c r="C299" s="140" t="str">
        <f t="shared" si="6"/>
        <v/>
      </c>
    </row>
    <row r="300" spans="1:3" x14ac:dyDescent="0.25">
      <c r="A300" s="208"/>
      <c r="B300" s="246"/>
      <c r="C300" s="140" t="str">
        <f t="shared" si="6"/>
        <v/>
      </c>
    </row>
    <row r="301" spans="1:3" x14ac:dyDescent="0.25">
      <c r="A301" s="208"/>
      <c r="B301" s="246"/>
      <c r="C301" s="140" t="str">
        <f t="shared" si="6"/>
        <v/>
      </c>
    </row>
    <row r="302" spans="1:3" x14ac:dyDescent="0.25">
      <c r="A302" s="208"/>
      <c r="B302" s="246"/>
      <c r="C302" s="140" t="str">
        <f t="shared" si="6"/>
        <v/>
      </c>
    </row>
    <row r="303" spans="1:3" x14ac:dyDescent="0.25">
      <c r="A303" s="208"/>
      <c r="B303" s="246"/>
      <c r="C303" s="140" t="str">
        <f t="shared" si="6"/>
        <v/>
      </c>
    </row>
    <row r="304" spans="1:3" x14ac:dyDescent="0.25">
      <c r="A304" s="208"/>
      <c r="B304" s="246"/>
      <c r="C304" s="140" t="str">
        <f t="shared" si="6"/>
        <v/>
      </c>
    </row>
    <row r="305" spans="1:3" x14ac:dyDescent="0.25">
      <c r="A305" s="208"/>
      <c r="B305" s="246"/>
      <c r="C305" s="140" t="str">
        <f t="shared" si="6"/>
        <v/>
      </c>
    </row>
    <row r="306" spans="1:3" x14ac:dyDescent="0.25">
      <c r="A306" s="208"/>
      <c r="B306" s="246"/>
      <c r="C306" s="140" t="str">
        <f t="shared" si="6"/>
        <v/>
      </c>
    </row>
    <row r="307" spans="1:3" x14ac:dyDescent="0.25">
      <c r="A307" s="208"/>
      <c r="B307" s="246"/>
      <c r="C307" s="140" t="str">
        <f t="shared" si="6"/>
        <v/>
      </c>
    </row>
    <row r="308" spans="1:3" x14ac:dyDescent="0.25">
      <c r="A308" s="208"/>
      <c r="B308" s="246"/>
      <c r="C308" s="140" t="str">
        <f t="shared" si="6"/>
        <v/>
      </c>
    </row>
    <row r="309" spans="1:3" x14ac:dyDescent="0.25">
      <c r="A309" s="208"/>
      <c r="B309" s="246"/>
      <c r="C309" s="140" t="str">
        <f t="shared" si="6"/>
        <v/>
      </c>
    </row>
    <row r="310" spans="1:3" x14ac:dyDescent="0.25">
      <c r="A310" s="208"/>
      <c r="B310" s="246"/>
      <c r="C310" s="140" t="str">
        <f t="shared" si="6"/>
        <v/>
      </c>
    </row>
    <row r="311" spans="1:3" x14ac:dyDescent="0.25">
      <c r="A311" s="208"/>
      <c r="B311" s="246"/>
      <c r="C311" s="140" t="str">
        <f t="shared" si="6"/>
        <v/>
      </c>
    </row>
    <row r="312" spans="1:3" x14ac:dyDescent="0.25">
      <c r="A312" s="208"/>
      <c r="B312" s="246"/>
      <c r="C312" s="140" t="str">
        <f t="shared" si="6"/>
        <v/>
      </c>
    </row>
    <row r="313" spans="1:3" x14ac:dyDescent="0.25">
      <c r="A313" s="208"/>
      <c r="B313" s="246"/>
      <c r="C313" s="140" t="str">
        <f t="shared" si="6"/>
        <v/>
      </c>
    </row>
    <row r="314" spans="1:3" x14ac:dyDescent="0.25">
      <c r="A314" s="208"/>
      <c r="B314" s="246"/>
      <c r="C314" s="140" t="str">
        <f t="shared" si="6"/>
        <v/>
      </c>
    </row>
    <row r="315" spans="1:3" x14ac:dyDescent="0.25">
      <c r="A315" s="208"/>
      <c r="B315" s="246"/>
      <c r="C315" s="140" t="str">
        <f t="shared" si="6"/>
        <v/>
      </c>
    </row>
    <row r="316" spans="1:3" x14ac:dyDescent="0.25">
      <c r="A316" s="208"/>
      <c r="B316" s="246"/>
      <c r="C316" s="140" t="str">
        <f t="shared" si="6"/>
        <v/>
      </c>
    </row>
    <row r="317" spans="1:3" x14ac:dyDescent="0.25">
      <c r="A317" s="208"/>
      <c r="B317" s="246"/>
      <c r="C317" s="140" t="str">
        <f t="shared" si="6"/>
        <v/>
      </c>
    </row>
    <row r="318" spans="1:3" x14ac:dyDescent="0.25">
      <c r="A318" s="208"/>
      <c r="B318" s="246"/>
      <c r="C318" s="140" t="str">
        <f t="shared" si="6"/>
        <v/>
      </c>
    </row>
    <row r="319" spans="1:3" x14ac:dyDescent="0.25">
      <c r="A319" s="208"/>
      <c r="B319" s="246"/>
      <c r="C319" s="140" t="str">
        <f t="shared" si="6"/>
        <v/>
      </c>
    </row>
    <row r="320" spans="1:3" x14ac:dyDescent="0.25">
      <c r="A320" s="208"/>
      <c r="B320" s="246"/>
      <c r="C320" s="140" t="str">
        <f t="shared" si="6"/>
        <v/>
      </c>
    </row>
    <row r="321" spans="1:3" x14ac:dyDescent="0.25">
      <c r="A321" s="208"/>
      <c r="B321" s="246"/>
      <c r="C321" s="140" t="str">
        <f t="shared" si="6"/>
        <v/>
      </c>
    </row>
    <row r="322" spans="1:3" x14ac:dyDescent="0.25">
      <c r="A322" s="208"/>
      <c r="B322" s="246"/>
      <c r="C322" s="140" t="str">
        <f t="shared" si="6"/>
        <v/>
      </c>
    </row>
    <row r="323" spans="1:3" x14ac:dyDescent="0.25">
      <c r="A323" s="208"/>
      <c r="B323" s="246"/>
      <c r="C323" s="140" t="str">
        <f t="shared" si="6"/>
        <v/>
      </c>
    </row>
    <row r="324" spans="1:3" x14ac:dyDescent="0.25">
      <c r="A324" s="208"/>
      <c r="B324" s="246"/>
      <c r="C324" s="140" t="str">
        <f t="shared" si="6"/>
        <v/>
      </c>
    </row>
    <row r="325" spans="1:3" x14ac:dyDescent="0.25">
      <c r="A325" s="208"/>
      <c r="B325" s="246"/>
      <c r="C325" s="140" t="str">
        <f t="shared" si="6"/>
        <v/>
      </c>
    </row>
    <row r="326" spans="1:3" x14ac:dyDescent="0.25">
      <c r="A326" s="208"/>
      <c r="B326" s="246"/>
      <c r="C326" s="140" t="str">
        <f t="shared" si="6"/>
        <v/>
      </c>
    </row>
    <row r="327" spans="1:3" x14ac:dyDescent="0.25">
      <c r="A327" s="208"/>
      <c r="B327" s="246"/>
      <c r="C327" s="140" t="str">
        <f t="shared" si="6"/>
        <v/>
      </c>
    </row>
    <row r="328" spans="1:3" x14ac:dyDescent="0.25">
      <c r="A328" s="208"/>
      <c r="B328" s="246"/>
      <c r="C328" s="140" t="str">
        <f t="shared" si="6"/>
        <v/>
      </c>
    </row>
    <row r="329" spans="1:3" x14ac:dyDescent="0.25">
      <c r="A329" s="208"/>
      <c r="B329" s="246"/>
      <c r="C329" s="140" t="str">
        <f t="shared" si="6"/>
        <v/>
      </c>
    </row>
    <row r="330" spans="1:3" x14ac:dyDescent="0.25">
      <c r="A330" s="208"/>
      <c r="B330" s="246"/>
      <c r="C330" s="140" t="str">
        <f t="shared" si="6"/>
        <v/>
      </c>
    </row>
    <row r="331" spans="1:3" x14ac:dyDescent="0.25">
      <c r="A331" s="208"/>
      <c r="B331" s="246"/>
      <c r="C331" s="140" t="str">
        <f t="shared" si="6"/>
        <v/>
      </c>
    </row>
    <row r="332" spans="1:3" x14ac:dyDescent="0.25">
      <c r="A332" s="208"/>
      <c r="B332" s="246"/>
      <c r="C332" s="140" t="str">
        <f t="shared" si="6"/>
        <v/>
      </c>
    </row>
    <row r="333" spans="1:3" x14ac:dyDescent="0.25">
      <c r="A333" s="208"/>
      <c r="B333" s="246"/>
      <c r="C333" s="140" t="str">
        <f t="shared" si="6"/>
        <v/>
      </c>
    </row>
    <row r="334" spans="1:3" x14ac:dyDescent="0.25">
      <c r="A334" s="208"/>
      <c r="B334" s="246"/>
      <c r="C334" s="140" t="str">
        <f t="shared" si="6"/>
        <v/>
      </c>
    </row>
    <row r="335" spans="1:3" x14ac:dyDescent="0.25">
      <c r="A335" s="208"/>
      <c r="B335" s="246"/>
      <c r="C335" s="140" t="str">
        <f t="shared" si="6"/>
        <v/>
      </c>
    </row>
    <row r="336" spans="1:3" x14ac:dyDescent="0.25">
      <c r="A336" s="208"/>
      <c r="B336" s="246"/>
      <c r="C336" s="140" t="str">
        <f t="shared" si="6"/>
        <v/>
      </c>
    </row>
    <row r="337" spans="1:26" x14ac:dyDescent="0.25">
      <c r="A337" s="208"/>
      <c r="B337" s="246"/>
      <c r="C337" s="140" t="str">
        <f t="shared" si="6"/>
        <v/>
      </c>
    </row>
    <row r="338" spans="1:26" x14ac:dyDescent="0.25">
      <c r="A338" s="208"/>
      <c r="B338" s="246"/>
      <c r="C338" s="140" t="str">
        <f t="shared" si="6"/>
        <v/>
      </c>
    </row>
    <row r="339" spans="1:26" x14ac:dyDescent="0.25">
      <c r="A339" s="208"/>
      <c r="B339" s="246"/>
      <c r="C339" s="140" t="str">
        <f t="shared" si="6"/>
        <v/>
      </c>
    </row>
    <row r="340" spans="1:26" x14ac:dyDescent="0.25">
      <c r="A340" s="208"/>
      <c r="B340" s="246"/>
      <c r="C340" s="140" t="str">
        <f t="shared" si="6"/>
        <v/>
      </c>
    </row>
    <row r="341" spans="1:26" x14ac:dyDescent="0.25">
      <c r="A341" s="208"/>
      <c r="B341" s="246"/>
      <c r="C341" s="140" t="str">
        <f t="shared" si="6"/>
        <v/>
      </c>
    </row>
    <row r="342" spans="1:26" x14ac:dyDescent="0.25">
      <c r="A342" s="208"/>
      <c r="B342" s="246"/>
      <c r="C342" s="140" t="str">
        <f t="shared" si="6"/>
        <v/>
      </c>
    </row>
    <row r="343" spans="1:26" x14ac:dyDescent="0.25">
      <c r="A343" s="208"/>
      <c r="B343" s="246"/>
      <c r="C343" s="140" t="str">
        <f t="shared" si="6"/>
        <v/>
      </c>
    </row>
    <row r="344" spans="1:26" x14ac:dyDescent="0.25">
      <c r="A344" s="208"/>
      <c r="B344" s="246"/>
      <c r="C344" s="140" t="str">
        <f t="shared" si="6"/>
        <v/>
      </c>
      <c r="X344" s="82"/>
    </row>
    <row r="345" spans="1:26" x14ac:dyDescent="0.25">
      <c r="A345" s="208"/>
      <c r="B345" s="246"/>
      <c r="C345" s="140" t="str">
        <f t="shared" si="6"/>
        <v/>
      </c>
      <c r="X345" s="82"/>
    </row>
    <row r="346" spans="1:26" x14ac:dyDescent="0.25">
      <c r="A346" s="208"/>
      <c r="B346" s="246"/>
      <c r="C346" s="140" t="str">
        <f t="shared" si="6"/>
        <v/>
      </c>
      <c r="X346" s="82"/>
    </row>
    <row r="347" spans="1:26" x14ac:dyDescent="0.25">
      <c r="A347" s="208"/>
      <c r="B347" s="246"/>
      <c r="C347" s="140" t="str">
        <f t="shared" ref="C347:C410" si="7">+IFERROR(IF(B347="","",(VLOOKUP(B347,$F$2:$H$55,3,0))),"State Wrong")</f>
        <v/>
      </c>
      <c r="X347" s="82"/>
      <c r="Z347" s="82"/>
    </row>
    <row r="348" spans="1:26" x14ac:dyDescent="0.25">
      <c r="A348" s="208"/>
      <c r="B348" s="246"/>
      <c r="C348" s="140" t="str">
        <f t="shared" si="7"/>
        <v/>
      </c>
      <c r="U348" s="82"/>
    </row>
    <row r="349" spans="1:26" x14ac:dyDescent="0.25">
      <c r="A349" s="208"/>
      <c r="B349" s="246"/>
      <c r="C349" s="140" t="str">
        <f t="shared" si="7"/>
        <v/>
      </c>
      <c r="U349" s="82"/>
      <c r="X349" s="82"/>
    </row>
    <row r="350" spans="1:26" x14ac:dyDescent="0.25">
      <c r="A350" s="208"/>
      <c r="B350" s="246"/>
      <c r="C350" s="140" t="str">
        <f t="shared" si="7"/>
        <v/>
      </c>
      <c r="U350" s="82"/>
    </row>
    <row r="351" spans="1:26" x14ac:dyDescent="0.25">
      <c r="A351" s="208"/>
      <c r="B351" s="246"/>
      <c r="C351" s="140" t="str">
        <f t="shared" si="7"/>
        <v/>
      </c>
      <c r="U351" s="87"/>
      <c r="V351"/>
      <c r="W351"/>
      <c r="X351"/>
    </row>
    <row r="352" spans="1:26" x14ac:dyDescent="0.25">
      <c r="A352" s="208"/>
      <c r="B352" s="246"/>
      <c r="C352" s="140" t="str">
        <f t="shared" si="7"/>
        <v/>
      </c>
      <c r="X352" s="82"/>
    </row>
    <row r="353" spans="1:26" x14ac:dyDescent="0.25">
      <c r="A353" s="208"/>
      <c r="B353" s="246"/>
      <c r="C353" s="140" t="str">
        <f t="shared" si="7"/>
        <v/>
      </c>
      <c r="X353" s="82"/>
    </row>
    <row r="354" spans="1:26" x14ac:dyDescent="0.25">
      <c r="A354" s="208"/>
      <c r="B354" s="246"/>
      <c r="C354" s="140" t="str">
        <f t="shared" si="7"/>
        <v/>
      </c>
      <c r="U354" s="82"/>
    </row>
    <row r="355" spans="1:26" x14ac:dyDescent="0.25">
      <c r="A355" s="208"/>
      <c r="B355" s="246"/>
      <c r="C355" s="140" t="str">
        <f t="shared" si="7"/>
        <v/>
      </c>
      <c r="U355" s="82"/>
    </row>
    <row r="356" spans="1:26" x14ac:dyDescent="0.25">
      <c r="A356" s="208"/>
      <c r="B356" s="246"/>
      <c r="C356" s="140" t="str">
        <f t="shared" si="7"/>
        <v/>
      </c>
      <c r="U356" s="82"/>
    </row>
    <row r="357" spans="1:26" x14ac:dyDescent="0.25">
      <c r="A357" s="208"/>
      <c r="B357" s="246"/>
      <c r="C357" s="140" t="str">
        <f t="shared" si="7"/>
        <v/>
      </c>
      <c r="U357" s="82"/>
      <c r="Z357" s="87"/>
    </row>
    <row r="358" spans="1:26" x14ac:dyDescent="0.25">
      <c r="A358" s="208"/>
      <c r="B358" s="246"/>
      <c r="C358" s="140" t="str">
        <f t="shared" si="7"/>
        <v/>
      </c>
      <c r="U358" s="82"/>
      <c r="Z358" s="87"/>
    </row>
    <row r="359" spans="1:26" x14ac:dyDescent="0.25">
      <c r="A359" s="208"/>
      <c r="B359" s="246"/>
      <c r="C359" s="140" t="str">
        <f t="shared" si="7"/>
        <v/>
      </c>
      <c r="U359" s="82"/>
    </row>
    <row r="360" spans="1:26" x14ac:dyDescent="0.25">
      <c r="A360" s="208"/>
      <c r="B360" s="246"/>
      <c r="C360" s="140" t="str">
        <f t="shared" si="7"/>
        <v/>
      </c>
      <c r="U360" s="82"/>
    </row>
    <row r="361" spans="1:26" x14ac:dyDescent="0.25">
      <c r="A361" s="208"/>
      <c r="B361" s="246"/>
      <c r="C361" s="140" t="str">
        <f t="shared" si="7"/>
        <v/>
      </c>
      <c r="X361" s="82"/>
    </row>
    <row r="362" spans="1:26" x14ac:dyDescent="0.25">
      <c r="A362" s="208"/>
      <c r="B362" s="246"/>
      <c r="C362" s="140" t="str">
        <f t="shared" si="7"/>
        <v/>
      </c>
      <c r="X362" s="82"/>
    </row>
    <row r="363" spans="1:26" x14ac:dyDescent="0.25">
      <c r="A363" s="208"/>
      <c r="B363" s="246"/>
      <c r="C363" s="140" t="str">
        <f t="shared" si="7"/>
        <v/>
      </c>
      <c r="X363" s="82"/>
    </row>
    <row r="364" spans="1:26" x14ac:dyDescent="0.25">
      <c r="A364" s="208"/>
      <c r="B364" s="246"/>
      <c r="C364" s="140" t="str">
        <f t="shared" si="7"/>
        <v/>
      </c>
      <c r="X364" s="82"/>
    </row>
    <row r="365" spans="1:26" x14ac:dyDescent="0.25">
      <c r="A365" s="208"/>
      <c r="B365" s="246"/>
      <c r="C365" s="140" t="str">
        <f t="shared" si="7"/>
        <v/>
      </c>
      <c r="X365" s="82"/>
    </row>
    <row r="366" spans="1:26" x14ac:dyDescent="0.25">
      <c r="A366" s="208"/>
      <c r="B366" s="246"/>
      <c r="C366" s="140" t="str">
        <f t="shared" si="7"/>
        <v/>
      </c>
      <c r="U366" s="82"/>
    </row>
    <row r="367" spans="1:26" x14ac:dyDescent="0.25">
      <c r="A367" s="208"/>
      <c r="B367" s="246"/>
      <c r="C367" s="140" t="str">
        <f t="shared" si="7"/>
        <v/>
      </c>
      <c r="U367" s="82"/>
      <c r="Z367" s="87"/>
    </row>
    <row r="368" spans="1:26" x14ac:dyDescent="0.25">
      <c r="A368" s="208"/>
      <c r="B368" s="246"/>
      <c r="C368" s="140" t="str">
        <f t="shared" si="7"/>
        <v/>
      </c>
      <c r="U368" s="82"/>
    </row>
    <row r="369" spans="1:26" x14ac:dyDescent="0.25">
      <c r="A369" s="208"/>
      <c r="B369" s="246"/>
      <c r="C369" s="140" t="str">
        <f t="shared" si="7"/>
        <v/>
      </c>
      <c r="U369" s="82"/>
      <c r="Z369" s="87"/>
    </row>
    <row r="370" spans="1:26" x14ac:dyDescent="0.25">
      <c r="A370" s="208"/>
      <c r="B370" s="246"/>
      <c r="C370" s="140" t="str">
        <f t="shared" si="7"/>
        <v/>
      </c>
      <c r="T370" s="82"/>
    </row>
    <row r="371" spans="1:26" x14ac:dyDescent="0.25">
      <c r="A371" s="208"/>
      <c r="B371" s="246"/>
      <c r="C371" s="140" t="str">
        <f t="shared" si="7"/>
        <v/>
      </c>
      <c r="U371" s="82"/>
    </row>
    <row r="372" spans="1:26" x14ac:dyDescent="0.25">
      <c r="A372" s="208"/>
      <c r="B372" s="246"/>
      <c r="C372" s="140" t="str">
        <f t="shared" si="7"/>
        <v/>
      </c>
      <c r="U372" s="82"/>
    </row>
    <row r="373" spans="1:26" x14ac:dyDescent="0.25">
      <c r="A373" s="208"/>
      <c r="B373" s="246"/>
      <c r="C373" s="140" t="str">
        <f t="shared" si="7"/>
        <v/>
      </c>
      <c r="U373" s="82"/>
    </row>
    <row r="374" spans="1:26" x14ac:dyDescent="0.25">
      <c r="A374" s="208"/>
      <c r="B374" s="246"/>
      <c r="C374" s="140" t="str">
        <f t="shared" si="7"/>
        <v/>
      </c>
      <c r="U374" s="82"/>
    </row>
    <row r="375" spans="1:26" x14ac:dyDescent="0.25">
      <c r="A375" s="208"/>
      <c r="B375" s="246"/>
      <c r="C375" s="140" t="str">
        <f t="shared" si="7"/>
        <v/>
      </c>
      <c r="T375" s="82"/>
      <c r="Z375" s="82"/>
    </row>
    <row r="376" spans="1:26" x14ac:dyDescent="0.25">
      <c r="A376" s="208"/>
      <c r="B376" s="246"/>
      <c r="C376" s="140" t="str">
        <f t="shared" si="7"/>
        <v/>
      </c>
      <c r="T376" s="82"/>
      <c r="Z376" s="87"/>
    </row>
    <row r="377" spans="1:26" x14ac:dyDescent="0.25">
      <c r="A377" s="208"/>
      <c r="B377" s="246"/>
      <c r="C377" s="140" t="str">
        <f t="shared" si="7"/>
        <v/>
      </c>
      <c r="T377" s="82"/>
      <c r="Z377" s="87"/>
    </row>
    <row r="378" spans="1:26" x14ac:dyDescent="0.25">
      <c r="A378" s="208"/>
      <c r="B378" s="246"/>
      <c r="C378" s="140" t="str">
        <f t="shared" si="7"/>
        <v/>
      </c>
      <c r="T378" s="82"/>
      <c r="Z378" s="82"/>
    </row>
    <row r="379" spans="1:26" x14ac:dyDescent="0.25">
      <c r="A379" s="208"/>
      <c r="B379" s="246"/>
      <c r="C379" s="140" t="str">
        <f t="shared" si="7"/>
        <v/>
      </c>
      <c r="T379" s="82"/>
      <c r="Z379" s="87"/>
    </row>
    <row r="380" spans="1:26" x14ac:dyDescent="0.25">
      <c r="A380" s="208"/>
      <c r="B380" s="246"/>
      <c r="C380" s="140" t="str">
        <f t="shared" si="7"/>
        <v/>
      </c>
      <c r="U380" s="82"/>
      <c r="Z380" s="87"/>
    </row>
    <row r="381" spans="1:26" x14ac:dyDescent="0.25">
      <c r="A381" s="208"/>
      <c r="B381" s="246"/>
      <c r="C381" s="140" t="str">
        <f t="shared" si="7"/>
        <v/>
      </c>
      <c r="T381" s="82"/>
      <c r="Z381" s="82"/>
    </row>
    <row r="382" spans="1:26" x14ac:dyDescent="0.25">
      <c r="A382" s="208"/>
      <c r="B382" s="246"/>
      <c r="C382" s="140" t="str">
        <f t="shared" si="7"/>
        <v/>
      </c>
      <c r="T382" s="82"/>
      <c r="Z382" s="82"/>
    </row>
    <row r="383" spans="1:26" x14ac:dyDescent="0.25">
      <c r="A383" s="208"/>
      <c r="B383" s="246"/>
      <c r="C383" s="140" t="str">
        <f t="shared" si="7"/>
        <v/>
      </c>
      <c r="U383" s="82"/>
    </row>
    <row r="384" spans="1:26" x14ac:dyDescent="0.25">
      <c r="A384" s="208"/>
      <c r="B384" s="246"/>
      <c r="C384" s="140" t="str">
        <f t="shared" si="7"/>
        <v/>
      </c>
      <c r="U384" s="82"/>
    </row>
    <row r="385" spans="1:26" x14ac:dyDescent="0.25">
      <c r="A385" s="208"/>
      <c r="B385" s="246"/>
      <c r="C385" s="140" t="str">
        <f t="shared" si="7"/>
        <v/>
      </c>
      <c r="U385" s="82"/>
      <c r="Z385" s="87"/>
    </row>
    <row r="386" spans="1:26" x14ac:dyDescent="0.25">
      <c r="A386" s="208"/>
      <c r="B386" s="246"/>
      <c r="C386" s="140" t="str">
        <f t="shared" si="7"/>
        <v/>
      </c>
      <c r="U386" s="82"/>
    </row>
    <row r="387" spans="1:26" x14ac:dyDescent="0.25">
      <c r="A387" s="208"/>
      <c r="B387" s="246"/>
      <c r="C387" s="140" t="str">
        <f t="shared" si="7"/>
        <v/>
      </c>
      <c r="T387" s="82"/>
    </row>
    <row r="388" spans="1:26" x14ac:dyDescent="0.25">
      <c r="A388" s="208"/>
      <c r="B388" s="246"/>
      <c r="C388" s="140" t="str">
        <f t="shared" si="7"/>
        <v/>
      </c>
    </row>
    <row r="389" spans="1:26" x14ac:dyDescent="0.25">
      <c r="A389" s="208"/>
      <c r="B389" s="246"/>
      <c r="C389" s="140" t="str">
        <f t="shared" si="7"/>
        <v/>
      </c>
    </row>
    <row r="390" spans="1:26" x14ac:dyDescent="0.25">
      <c r="A390" s="208"/>
      <c r="B390" s="246"/>
      <c r="C390" s="140" t="str">
        <f t="shared" si="7"/>
        <v/>
      </c>
    </row>
    <row r="391" spans="1:26" x14ac:dyDescent="0.25">
      <c r="A391" s="208"/>
      <c r="B391" s="246"/>
      <c r="C391" s="140" t="str">
        <f t="shared" si="7"/>
        <v/>
      </c>
    </row>
    <row r="392" spans="1:26" x14ac:dyDescent="0.25">
      <c r="A392" s="208"/>
      <c r="B392" s="246"/>
      <c r="C392" s="140" t="str">
        <f t="shared" si="7"/>
        <v/>
      </c>
    </row>
    <row r="393" spans="1:26" x14ac:dyDescent="0.25">
      <c r="A393" s="208"/>
      <c r="B393" s="246"/>
      <c r="C393" s="140" t="str">
        <f t="shared" si="7"/>
        <v/>
      </c>
    </row>
    <row r="394" spans="1:26" x14ac:dyDescent="0.25">
      <c r="A394" s="208"/>
      <c r="B394" s="246"/>
      <c r="C394" s="140" t="str">
        <f t="shared" si="7"/>
        <v/>
      </c>
    </row>
    <row r="395" spans="1:26" x14ac:dyDescent="0.25">
      <c r="A395" s="208"/>
      <c r="B395" s="246"/>
      <c r="C395" s="140" t="str">
        <f t="shared" si="7"/>
        <v/>
      </c>
    </row>
    <row r="396" spans="1:26" x14ac:dyDescent="0.25">
      <c r="A396" s="208"/>
      <c r="B396" s="246"/>
      <c r="C396" s="140" t="str">
        <f t="shared" si="7"/>
        <v/>
      </c>
    </row>
    <row r="397" spans="1:26" x14ac:dyDescent="0.25">
      <c r="A397" s="208"/>
      <c r="B397" s="246"/>
      <c r="C397" s="140" t="str">
        <f t="shared" si="7"/>
        <v/>
      </c>
    </row>
    <row r="398" spans="1:26" x14ac:dyDescent="0.25">
      <c r="A398" s="208"/>
      <c r="B398" s="246"/>
      <c r="C398" s="140" t="str">
        <f t="shared" si="7"/>
        <v/>
      </c>
    </row>
    <row r="399" spans="1:26" x14ac:dyDescent="0.25">
      <c r="A399" s="208"/>
      <c r="B399" s="246"/>
      <c r="C399" s="140" t="str">
        <f t="shared" si="7"/>
        <v/>
      </c>
    </row>
    <row r="400" spans="1:26" x14ac:dyDescent="0.25">
      <c r="A400" s="208"/>
      <c r="B400" s="246"/>
      <c r="C400" s="140" t="str">
        <f t="shared" si="7"/>
        <v/>
      </c>
    </row>
    <row r="401" spans="1:3" x14ac:dyDescent="0.25">
      <c r="A401" s="208"/>
      <c r="B401" s="246"/>
      <c r="C401" s="140" t="str">
        <f t="shared" si="7"/>
        <v/>
      </c>
    </row>
    <row r="402" spans="1:3" x14ac:dyDescent="0.25">
      <c r="A402" s="208"/>
      <c r="B402" s="246"/>
      <c r="C402" s="140" t="str">
        <f t="shared" si="7"/>
        <v/>
      </c>
    </row>
    <row r="403" spans="1:3" x14ac:dyDescent="0.25">
      <c r="A403" s="208"/>
      <c r="B403" s="246"/>
      <c r="C403" s="140" t="str">
        <f t="shared" si="7"/>
        <v/>
      </c>
    </row>
    <row r="404" spans="1:3" x14ac:dyDescent="0.25">
      <c r="A404" s="208"/>
      <c r="B404" s="246"/>
      <c r="C404" s="140" t="str">
        <f t="shared" si="7"/>
        <v/>
      </c>
    </row>
    <row r="405" spans="1:3" x14ac:dyDescent="0.25">
      <c r="A405" s="208"/>
      <c r="B405" s="246"/>
      <c r="C405" s="140" t="str">
        <f t="shared" si="7"/>
        <v/>
      </c>
    </row>
    <row r="406" spans="1:3" x14ac:dyDescent="0.25">
      <c r="A406" s="208"/>
      <c r="B406" s="246"/>
      <c r="C406" s="140" t="str">
        <f t="shared" si="7"/>
        <v/>
      </c>
    </row>
    <row r="407" spans="1:3" x14ac:dyDescent="0.25">
      <c r="A407" s="208"/>
      <c r="B407" s="246"/>
      <c r="C407" s="140" t="str">
        <f t="shared" si="7"/>
        <v/>
      </c>
    </row>
    <row r="408" spans="1:3" x14ac:dyDescent="0.25">
      <c r="A408" s="208"/>
      <c r="B408" s="246"/>
      <c r="C408" s="140" t="str">
        <f t="shared" si="7"/>
        <v/>
      </c>
    </row>
    <row r="409" spans="1:3" x14ac:dyDescent="0.25">
      <c r="A409" s="208"/>
      <c r="B409" s="246"/>
      <c r="C409" s="140" t="str">
        <f t="shared" si="7"/>
        <v/>
      </c>
    </row>
    <row r="410" spans="1:3" x14ac:dyDescent="0.25">
      <c r="A410" s="208"/>
      <c r="B410" s="246"/>
      <c r="C410" s="140" t="str">
        <f t="shared" si="7"/>
        <v/>
      </c>
    </row>
    <row r="411" spans="1:3" x14ac:dyDescent="0.25">
      <c r="A411" s="208"/>
      <c r="B411" s="246"/>
      <c r="C411" s="140" t="str">
        <f t="shared" ref="C411:C474" si="8">+IFERROR(IF(B411="","",(VLOOKUP(B411,$F$2:$H$55,3,0))),"State Wrong")</f>
        <v/>
      </c>
    </row>
    <row r="412" spans="1:3" x14ac:dyDescent="0.25">
      <c r="A412" s="208"/>
      <c r="B412" s="246"/>
      <c r="C412" s="140" t="str">
        <f t="shared" si="8"/>
        <v/>
      </c>
    </row>
    <row r="413" spans="1:3" x14ac:dyDescent="0.25">
      <c r="A413" s="208"/>
      <c r="B413" s="246"/>
      <c r="C413" s="140" t="str">
        <f t="shared" si="8"/>
        <v/>
      </c>
    </row>
    <row r="414" spans="1:3" x14ac:dyDescent="0.25">
      <c r="A414" s="208"/>
      <c r="B414" s="246"/>
      <c r="C414" s="140" t="str">
        <f t="shared" si="8"/>
        <v/>
      </c>
    </row>
    <row r="415" spans="1:3" x14ac:dyDescent="0.25">
      <c r="A415" s="208"/>
      <c r="B415" s="246"/>
      <c r="C415" s="140" t="str">
        <f t="shared" si="8"/>
        <v/>
      </c>
    </row>
    <row r="416" spans="1:3" x14ac:dyDescent="0.25">
      <c r="A416" s="208"/>
      <c r="B416" s="246"/>
      <c r="C416" s="140" t="str">
        <f t="shared" si="8"/>
        <v/>
      </c>
    </row>
    <row r="417" spans="1:3" x14ac:dyDescent="0.25">
      <c r="A417" s="208"/>
      <c r="B417" s="246"/>
      <c r="C417" s="140" t="str">
        <f t="shared" si="8"/>
        <v/>
      </c>
    </row>
    <row r="418" spans="1:3" x14ac:dyDescent="0.25">
      <c r="A418" s="208"/>
      <c r="B418" s="246"/>
      <c r="C418" s="140" t="str">
        <f t="shared" si="8"/>
        <v/>
      </c>
    </row>
    <row r="419" spans="1:3" x14ac:dyDescent="0.25">
      <c r="A419" s="208"/>
      <c r="B419" s="246"/>
      <c r="C419" s="140" t="str">
        <f t="shared" si="8"/>
        <v/>
      </c>
    </row>
    <row r="420" spans="1:3" x14ac:dyDescent="0.25">
      <c r="A420" s="208"/>
      <c r="B420" s="246"/>
      <c r="C420" s="140" t="str">
        <f t="shared" si="8"/>
        <v/>
      </c>
    </row>
    <row r="421" spans="1:3" x14ac:dyDescent="0.25">
      <c r="A421" s="208"/>
      <c r="B421" s="246"/>
      <c r="C421" s="140" t="str">
        <f t="shared" si="8"/>
        <v/>
      </c>
    </row>
    <row r="422" spans="1:3" x14ac:dyDescent="0.25">
      <c r="A422" s="208"/>
      <c r="B422" s="246"/>
      <c r="C422" s="140" t="str">
        <f t="shared" si="8"/>
        <v/>
      </c>
    </row>
    <row r="423" spans="1:3" x14ac:dyDescent="0.25">
      <c r="A423" s="208"/>
      <c r="B423" s="246"/>
      <c r="C423" s="140" t="str">
        <f t="shared" si="8"/>
        <v/>
      </c>
    </row>
    <row r="424" spans="1:3" x14ac:dyDescent="0.25">
      <c r="A424" s="208"/>
      <c r="B424" s="246"/>
      <c r="C424" s="140" t="str">
        <f t="shared" si="8"/>
        <v/>
      </c>
    </row>
    <row r="425" spans="1:3" x14ac:dyDescent="0.25">
      <c r="A425" s="208"/>
      <c r="B425" s="246"/>
      <c r="C425" s="140" t="str">
        <f t="shared" si="8"/>
        <v/>
      </c>
    </row>
    <row r="426" spans="1:3" x14ac:dyDescent="0.25">
      <c r="A426" s="208"/>
      <c r="B426" s="246"/>
      <c r="C426" s="140" t="str">
        <f t="shared" si="8"/>
        <v/>
      </c>
    </row>
    <row r="427" spans="1:3" x14ac:dyDescent="0.25">
      <c r="A427" s="208"/>
      <c r="B427" s="246"/>
      <c r="C427" s="140" t="str">
        <f t="shared" si="8"/>
        <v/>
      </c>
    </row>
    <row r="428" spans="1:3" x14ac:dyDescent="0.25">
      <c r="A428" s="208"/>
      <c r="B428" s="246"/>
      <c r="C428" s="140" t="str">
        <f t="shared" si="8"/>
        <v/>
      </c>
    </row>
    <row r="429" spans="1:3" x14ac:dyDescent="0.25">
      <c r="A429" s="208"/>
      <c r="B429" s="246"/>
      <c r="C429" s="140" t="str">
        <f t="shared" si="8"/>
        <v/>
      </c>
    </row>
    <row r="430" spans="1:3" x14ac:dyDescent="0.25">
      <c r="A430" s="208"/>
      <c r="B430" s="246"/>
      <c r="C430" s="140" t="str">
        <f t="shared" si="8"/>
        <v/>
      </c>
    </row>
    <row r="431" spans="1:3" x14ac:dyDescent="0.25">
      <c r="A431" s="208"/>
      <c r="B431" s="246"/>
      <c r="C431" s="140" t="str">
        <f t="shared" si="8"/>
        <v/>
      </c>
    </row>
    <row r="432" spans="1:3" x14ac:dyDescent="0.25">
      <c r="A432" s="208"/>
      <c r="B432" s="246"/>
      <c r="C432" s="140" t="str">
        <f t="shared" si="8"/>
        <v/>
      </c>
    </row>
    <row r="433" spans="1:3" x14ac:dyDescent="0.25">
      <c r="A433" s="208"/>
      <c r="B433" s="246"/>
      <c r="C433" s="140" t="str">
        <f t="shared" si="8"/>
        <v/>
      </c>
    </row>
    <row r="434" spans="1:3" x14ac:dyDescent="0.25">
      <c r="A434" s="208"/>
      <c r="B434" s="246"/>
      <c r="C434" s="140" t="str">
        <f t="shared" si="8"/>
        <v/>
      </c>
    </row>
    <row r="435" spans="1:3" x14ac:dyDescent="0.25">
      <c r="A435" s="208"/>
      <c r="B435" s="246"/>
      <c r="C435" s="140" t="str">
        <f t="shared" si="8"/>
        <v/>
      </c>
    </row>
    <row r="436" spans="1:3" x14ac:dyDescent="0.25">
      <c r="A436" s="208"/>
      <c r="B436" s="246"/>
      <c r="C436" s="140" t="str">
        <f t="shared" si="8"/>
        <v/>
      </c>
    </row>
    <row r="437" spans="1:3" x14ac:dyDescent="0.25">
      <c r="A437" s="208"/>
      <c r="B437" s="246"/>
      <c r="C437" s="140" t="str">
        <f t="shared" si="8"/>
        <v/>
      </c>
    </row>
    <row r="438" spans="1:3" x14ac:dyDescent="0.25">
      <c r="A438" s="208"/>
      <c r="B438" s="246"/>
      <c r="C438" s="140" t="str">
        <f t="shared" si="8"/>
        <v/>
      </c>
    </row>
    <row r="439" spans="1:3" x14ac:dyDescent="0.25">
      <c r="A439" s="208"/>
      <c r="B439" s="246"/>
      <c r="C439" s="140" t="str">
        <f t="shared" si="8"/>
        <v/>
      </c>
    </row>
    <row r="440" spans="1:3" x14ac:dyDescent="0.25">
      <c r="A440" s="208"/>
      <c r="B440" s="246"/>
      <c r="C440" s="140" t="str">
        <f t="shared" si="8"/>
        <v/>
      </c>
    </row>
    <row r="441" spans="1:3" x14ac:dyDescent="0.25">
      <c r="A441" s="208"/>
      <c r="B441" s="246"/>
      <c r="C441" s="140" t="str">
        <f t="shared" si="8"/>
        <v/>
      </c>
    </row>
    <row r="442" spans="1:3" x14ac:dyDescent="0.25">
      <c r="A442" s="208"/>
      <c r="B442" s="246"/>
      <c r="C442" s="140" t="str">
        <f t="shared" si="8"/>
        <v/>
      </c>
    </row>
    <row r="443" spans="1:3" x14ac:dyDescent="0.25">
      <c r="A443" s="208"/>
      <c r="B443" s="246"/>
      <c r="C443" s="140" t="str">
        <f t="shared" si="8"/>
        <v/>
      </c>
    </row>
    <row r="444" spans="1:3" x14ac:dyDescent="0.25">
      <c r="A444" s="208"/>
      <c r="B444" s="246"/>
      <c r="C444" s="140" t="str">
        <f t="shared" si="8"/>
        <v/>
      </c>
    </row>
    <row r="445" spans="1:3" x14ac:dyDescent="0.25">
      <c r="A445" s="208"/>
      <c r="B445" s="246"/>
      <c r="C445" s="140" t="str">
        <f t="shared" si="8"/>
        <v/>
      </c>
    </row>
    <row r="446" spans="1:3" x14ac:dyDescent="0.25">
      <c r="A446" s="208"/>
      <c r="B446" s="246"/>
      <c r="C446" s="140" t="str">
        <f t="shared" si="8"/>
        <v/>
      </c>
    </row>
    <row r="447" spans="1:3" x14ac:dyDescent="0.25">
      <c r="A447" s="208"/>
      <c r="B447" s="246"/>
      <c r="C447" s="140" t="str">
        <f t="shared" si="8"/>
        <v/>
      </c>
    </row>
    <row r="448" spans="1:3" x14ac:dyDescent="0.25">
      <c r="A448" s="208"/>
      <c r="B448" s="246"/>
      <c r="C448" s="140" t="str">
        <f t="shared" si="8"/>
        <v/>
      </c>
    </row>
    <row r="449" spans="1:3" x14ac:dyDescent="0.25">
      <c r="A449" s="208"/>
      <c r="B449" s="246"/>
      <c r="C449" s="140" t="str">
        <f t="shared" si="8"/>
        <v/>
      </c>
    </row>
    <row r="450" spans="1:3" x14ac:dyDescent="0.25">
      <c r="A450" s="208"/>
      <c r="B450" s="246"/>
      <c r="C450" s="140" t="str">
        <f t="shared" si="8"/>
        <v/>
      </c>
    </row>
    <row r="451" spans="1:3" x14ac:dyDescent="0.25">
      <c r="A451" s="208"/>
      <c r="B451" s="246"/>
      <c r="C451" s="140" t="str">
        <f t="shared" si="8"/>
        <v/>
      </c>
    </row>
    <row r="452" spans="1:3" x14ac:dyDescent="0.25">
      <c r="A452" s="208"/>
      <c r="B452" s="246"/>
      <c r="C452" s="140" t="str">
        <f t="shared" si="8"/>
        <v/>
      </c>
    </row>
    <row r="453" spans="1:3" x14ac:dyDescent="0.25">
      <c r="A453" s="208"/>
      <c r="B453" s="246"/>
      <c r="C453" s="140" t="str">
        <f t="shared" si="8"/>
        <v/>
      </c>
    </row>
    <row r="454" spans="1:3" x14ac:dyDescent="0.25">
      <c r="A454" s="208"/>
      <c r="B454" s="246"/>
      <c r="C454" s="140" t="str">
        <f t="shared" si="8"/>
        <v/>
      </c>
    </row>
    <row r="455" spans="1:3" x14ac:dyDescent="0.25">
      <c r="A455" s="208"/>
      <c r="B455" s="246"/>
      <c r="C455" s="140" t="str">
        <f t="shared" si="8"/>
        <v/>
      </c>
    </row>
    <row r="456" spans="1:3" x14ac:dyDescent="0.25">
      <c r="A456" s="208"/>
      <c r="B456" s="246"/>
      <c r="C456" s="140" t="str">
        <f t="shared" si="8"/>
        <v/>
      </c>
    </row>
    <row r="457" spans="1:3" x14ac:dyDescent="0.25">
      <c r="A457" s="208"/>
      <c r="B457" s="246"/>
      <c r="C457" s="140" t="str">
        <f t="shared" si="8"/>
        <v/>
      </c>
    </row>
    <row r="458" spans="1:3" x14ac:dyDescent="0.25">
      <c r="A458" s="208"/>
      <c r="B458" s="246"/>
      <c r="C458" s="140" t="str">
        <f t="shared" si="8"/>
        <v/>
      </c>
    </row>
    <row r="459" spans="1:3" x14ac:dyDescent="0.25">
      <c r="A459" s="208"/>
      <c r="B459" s="246"/>
      <c r="C459" s="140" t="str">
        <f t="shared" si="8"/>
        <v/>
      </c>
    </row>
    <row r="460" spans="1:3" x14ac:dyDescent="0.25">
      <c r="A460" s="208"/>
      <c r="B460" s="246"/>
      <c r="C460" s="140" t="str">
        <f t="shared" si="8"/>
        <v/>
      </c>
    </row>
    <row r="461" spans="1:3" x14ac:dyDescent="0.25">
      <c r="A461" s="208"/>
      <c r="B461" s="246"/>
      <c r="C461" s="140" t="str">
        <f t="shared" si="8"/>
        <v/>
      </c>
    </row>
    <row r="462" spans="1:3" x14ac:dyDescent="0.25">
      <c r="A462" s="208"/>
      <c r="B462" s="246"/>
      <c r="C462" s="140" t="str">
        <f t="shared" si="8"/>
        <v/>
      </c>
    </row>
    <row r="463" spans="1:3" x14ac:dyDescent="0.25">
      <c r="A463" s="208"/>
      <c r="B463" s="246"/>
      <c r="C463" s="140" t="str">
        <f t="shared" si="8"/>
        <v/>
      </c>
    </row>
    <row r="464" spans="1:3" x14ac:dyDescent="0.25">
      <c r="A464" s="208"/>
      <c r="B464" s="246"/>
      <c r="C464" s="140" t="str">
        <f t="shared" si="8"/>
        <v/>
      </c>
    </row>
    <row r="465" spans="1:3" x14ac:dyDescent="0.25">
      <c r="A465" s="208"/>
      <c r="B465" s="246"/>
      <c r="C465" s="140" t="str">
        <f t="shared" si="8"/>
        <v/>
      </c>
    </row>
    <row r="466" spans="1:3" x14ac:dyDescent="0.25">
      <c r="A466" s="208"/>
      <c r="B466" s="246"/>
      <c r="C466" s="140" t="str">
        <f t="shared" si="8"/>
        <v/>
      </c>
    </row>
    <row r="467" spans="1:3" x14ac:dyDescent="0.25">
      <c r="A467" s="208"/>
      <c r="B467" s="246"/>
      <c r="C467" s="140" t="str">
        <f t="shared" si="8"/>
        <v/>
      </c>
    </row>
    <row r="468" spans="1:3" x14ac:dyDescent="0.25">
      <c r="A468" s="208"/>
      <c r="B468" s="246"/>
      <c r="C468" s="140" t="str">
        <f t="shared" si="8"/>
        <v/>
      </c>
    </row>
    <row r="469" spans="1:3" x14ac:dyDescent="0.25">
      <c r="A469" s="208"/>
      <c r="B469" s="246"/>
      <c r="C469" s="140" t="str">
        <f t="shared" si="8"/>
        <v/>
      </c>
    </row>
    <row r="470" spans="1:3" x14ac:dyDescent="0.25">
      <c r="A470" s="208"/>
      <c r="B470" s="246"/>
      <c r="C470" s="140" t="str">
        <f t="shared" si="8"/>
        <v/>
      </c>
    </row>
    <row r="471" spans="1:3" x14ac:dyDescent="0.25">
      <c r="A471" s="208"/>
      <c r="B471" s="246"/>
      <c r="C471" s="140" t="str">
        <f t="shared" si="8"/>
        <v/>
      </c>
    </row>
    <row r="472" spans="1:3" x14ac:dyDescent="0.25">
      <c r="A472" s="208"/>
      <c r="B472" s="246"/>
      <c r="C472" s="140" t="str">
        <f t="shared" si="8"/>
        <v/>
      </c>
    </row>
    <row r="473" spans="1:3" x14ac:dyDescent="0.25">
      <c r="A473" s="208"/>
      <c r="B473" s="246"/>
      <c r="C473" s="140" t="str">
        <f t="shared" si="8"/>
        <v/>
      </c>
    </row>
    <row r="474" spans="1:3" x14ac:dyDescent="0.25">
      <c r="A474" s="208"/>
      <c r="B474" s="246"/>
      <c r="C474" s="140" t="str">
        <f t="shared" si="8"/>
        <v/>
      </c>
    </row>
    <row r="475" spans="1:3" x14ac:dyDescent="0.25">
      <c r="A475" s="208"/>
      <c r="B475" s="246"/>
      <c r="C475" s="140" t="str">
        <f t="shared" ref="C475:C528" si="9">+IFERROR(IF(B475="","",(VLOOKUP(B475,$F$2:$H$55,3,0))),"State Wrong")</f>
        <v/>
      </c>
    </row>
    <row r="476" spans="1:3" x14ac:dyDescent="0.25">
      <c r="A476" s="208"/>
      <c r="B476" s="246"/>
      <c r="C476" s="140" t="str">
        <f t="shared" si="9"/>
        <v/>
      </c>
    </row>
    <row r="477" spans="1:3" x14ac:dyDescent="0.25">
      <c r="A477" s="208"/>
      <c r="B477" s="246"/>
      <c r="C477" s="140" t="str">
        <f t="shared" si="9"/>
        <v/>
      </c>
    </row>
    <row r="478" spans="1:3" x14ac:dyDescent="0.25">
      <c r="A478" s="208"/>
      <c r="B478" s="246"/>
      <c r="C478" s="140" t="str">
        <f t="shared" si="9"/>
        <v/>
      </c>
    </row>
    <row r="479" spans="1:3" x14ac:dyDescent="0.25">
      <c r="A479" s="208"/>
      <c r="B479" s="246"/>
      <c r="C479" s="140" t="str">
        <f t="shared" si="9"/>
        <v/>
      </c>
    </row>
    <row r="480" spans="1:3" x14ac:dyDescent="0.25">
      <c r="A480" s="208"/>
      <c r="B480" s="246"/>
      <c r="C480" s="140" t="str">
        <f t="shared" si="9"/>
        <v/>
      </c>
    </row>
    <row r="481" spans="1:3" x14ac:dyDescent="0.25">
      <c r="A481" s="208"/>
      <c r="B481" s="246"/>
      <c r="C481" s="140" t="str">
        <f t="shared" si="9"/>
        <v/>
      </c>
    </row>
    <row r="482" spans="1:3" x14ac:dyDescent="0.25">
      <c r="A482" s="208"/>
      <c r="B482" s="246"/>
      <c r="C482" s="140" t="str">
        <f t="shared" si="9"/>
        <v/>
      </c>
    </row>
    <row r="483" spans="1:3" x14ac:dyDescent="0.25">
      <c r="A483" s="208"/>
      <c r="B483" s="246"/>
      <c r="C483" s="140" t="str">
        <f t="shared" si="9"/>
        <v/>
      </c>
    </row>
    <row r="484" spans="1:3" x14ac:dyDescent="0.25">
      <c r="A484" s="208"/>
      <c r="B484" s="246"/>
      <c r="C484" s="140" t="str">
        <f t="shared" si="9"/>
        <v/>
      </c>
    </row>
    <row r="485" spans="1:3" x14ac:dyDescent="0.25">
      <c r="A485" s="208"/>
      <c r="B485" s="246"/>
      <c r="C485" s="140" t="str">
        <f t="shared" si="9"/>
        <v/>
      </c>
    </row>
    <row r="486" spans="1:3" x14ac:dyDescent="0.25">
      <c r="A486" s="208"/>
      <c r="B486" s="246"/>
      <c r="C486" s="140" t="str">
        <f t="shared" si="9"/>
        <v/>
      </c>
    </row>
    <row r="487" spans="1:3" x14ac:dyDescent="0.25">
      <c r="A487" s="208"/>
      <c r="B487" s="246"/>
      <c r="C487" s="140" t="str">
        <f t="shared" si="9"/>
        <v/>
      </c>
    </row>
    <row r="488" spans="1:3" x14ac:dyDescent="0.25">
      <c r="A488" s="208"/>
      <c r="B488" s="246"/>
      <c r="C488" s="140" t="str">
        <f t="shared" si="9"/>
        <v/>
      </c>
    </row>
    <row r="489" spans="1:3" x14ac:dyDescent="0.25">
      <c r="A489" s="208"/>
      <c r="B489" s="246"/>
      <c r="C489" s="140" t="str">
        <f t="shared" si="9"/>
        <v/>
      </c>
    </row>
    <row r="490" spans="1:3" x14ac:dyDescent="0.25">
      <c r="A490" s="208"/>
      <c r="B490" s="246"/>
      <c r="C490" s="140" t="str">
        <f t="shared" si="9"/>
        <v/>
      </c>
    </row>
    <row r="491" spans="1:3" x14ac:dyDescent="0.25">
      <c r="A491" s="208"/>
      <c r="B491" s="246"/>
      <c r="C491" s="140" t="str">
        <f t="shared" si="9"/>
        <v/>
      </c>
    </row>
    <row r="492" spans="1:3" x14ac:dyDescent="0.25">
      <c r="A492" s="208"/>
      <c r="B492" s="246"/>
      <c r="C492" s="140" t="str">
        <f t="shared" si="9"/>
        <v/>
      </c>
    </row>
    <row r="493" spans="1:3" x14ac:dyDescent="0.25">
      <c r="A493" s="208"/>
      <c r="B493" s="246"/>
      <c r="C493" s="140" t="str">
        <f t="shared" si="9"/>
        <v/>
      </c>
    </row>
    <row r="494" spans="1:3" x14ac:dyDescent="0.25">
      <c r="A494" s="208"/>
      <c r="B494" s="246"/>
      <c r="C494" s="140" t="str">
        <f t="shared" si="9"/>
        <v/>
      </c>
    </row>
    <row r="495" spans="1:3" x14ac:dyDescent="0.25">
      <c r="A495" s="208"/>
      <c r="B495" s="246"/>
      <c r="C495" s="140" t="str">
        <f t="shared" si="9"/>
        <v/>
      </c>
    </row>
    <row r="496" spans="1:3" x14ac:dyDescent="0.25">
      <c r="A496" s="208"/>
      <c r="B496" s="246"/>
      <c r="C496" s="140" t="str">
        <f t="shared" si="9"/>
        <v/>
      </c>
    </row>
    <row r="497" spans="1:3" x14ac:dyDescent="0.25">
      <c r="A497" s="208"/>
      <c r="B497" s="246"/>
      <c r="C497" s="140" t="str">
        <f t="shared" si="9"/>
        <v/>
      </c>
    </row>
    <row r="498" spans="1:3" x14ac:dyDescent="0.25">
      <c r="A498" s="208"/>
      <c r="B498" s="246"/>
      <c r="C498" s="140" t="str">
        <f t="shared" si="9"/>
        <v/>
      </c>
    </row>
    <row r="499" spans="1:3" x14ac:dyDescent="0.25">
      <c r="A499" s="208"/>
      <c r="B499" s="246"/>
      <c r="C499" s="140" t="str">
        <f t="shared" si="9"/>
        <v/>
      </c>
    </row>
    <row r="500" spans="1:3" x14ac:dyDescent="0.25">
      <c r="A500" s="208"/>
      <c r="B500" s="246"/>
      <c r="C500" s="140" t="str">
        <f t="shared" si="9"/>
        <v/>
      </c>
    </row>
    <row r="501" spans="1:3" x14ac:dyDescent="0.25">
      <c r="A501" s="208"/>
      <c r="B501" s="246"/>
      <c r="C501" s="140" t="str">
        <f t="shared" si="9"/>
        <v/>
      </c>
    </row>
    <row r="502" spans="1:3" x14ac:dyDescent="0.25">
      <c r="A502" s="208"/>
      <c r="B502" s="246"/>
      <c r="C502" s="140" t="str">
        <f t="shared" si="9"/>
        <v/>
      </c>
    </row>
    <row r="503" spans="1:3" x14ac:dyDescent="0.25">
      <c r="A503" s="208"/>
      <c r="B503" s="246"/>
      <c r="C503" s="140" t="str">
        <f t="shared" si="9"/>
        <v/>
      </c>
    </row>
    <row r="504" spans="1:3" x14ac:dyDescent="0.25">
      <c r="A504" s="208"/>
      <c r="B504" s="246"/>
      <c r="C504" s="140" t="str">
        <f t="shared" si="9"/>
        <v/>
      </c>
    </row>
    <row r="505" spans="1:3" x14ac:dyDescent="0.25">
      <c r="A505" s="208"/>
      <c r="B505" s="246"/>
      <c r="C505" s="140" t="str">
        <f t="shared" si="9"/>
        <v/>
      </c>
    </row>
    <row r="506" spans="1:3" x14ac:dyDescent="0.25">
      <c r="A506" s="208"/>
      <c r="B506" s="246"/>
      <c r="C506" s="140" t="str">
        <f t="shared" si="9"/>
        <v/>
      </c>
    </row>
    <row r="507" spans="1:3" x14ac:dyDescent="0.25">
      <c r="A507" s="208"/>
      <c r="B507" s="246"/>
      <c r="C507" s="140" t="str">
        <f t="shared" si="9"/>
        <v/>
      </c>
    </row>
    <row r="508" spans="1:3" x14ac:dyDescent="0.25">
      <c r="A508" s="208"/>
      <c r="B508" s="246"/>
      <c r="C508" s="140" t="str">
        <f t="shared" si="9"/>
        <v/>
      </c>
    </row>
    <row r="509" spans="1:3" x14ac:dyDescent="0.25">
      <c r="A509" s="208"/>
      <c r="B509" s="246"/>
      <c r="C509" s="140" t="str">
        <f t="shared" si="9"/>
        <v/>
      </c>
    </row>
    <row r="510" spans="1:3" x14ac:dyDescent="0.25">
      <c r="A510" s="208"/>
      <c r="B510" s="246"/>
      <c r="C510" s="140" t="str">
        <f t="shared" si="9"/>
        <v/>
      </c>
    </row>
    <row r="511" spans="1:3" x14ac:dyDescent="0.25">
      <c r="A511" s="208"/>
      <c r="B511" s="246"/>
      <c r="C511" s="140" t="str">
        <f t="shared" si="9"/>
        <v/>
      </c>
    </row>
    <row r="512" spans="1:3" x14ac:dyDescent="0.25">
      <c r="A512" s="208"/>
      <c r="B512" s="246"/>
      <c r="C512" s="140" t="str">
        <f t="shared" si="9"/>
        <v/>
      </c>
    </row>
    <row r="513" spans="1:3" x14ac:dyDescent="0.25">
      <c r="A513" s="208"/>
      <c r="B513" s="246"/>
      <c r="C513" s="140" t="str">
        <f t="shared" si="9"/>
        <v/>
      </c>
    </row>
    <row r="514" spans="1:3" x14ac:dyDescent="0.25">
      <c r="A514" s="208"/>
      <c r="B514" s="246"/>
      <c r="C514" s="140" t="str">
        <f t="shared" si="9"/>
        <v/>
      </c>
    </row>
    <row r="515" spans="1:3" x14ac:dyDescent="0.25">
      <c r="A515" s="208"/>
      <c r="B515" s="246"/>
      <c r="C515" s="140" t="str">
        <f t="shared" si="9"/>
        <v/>
      </c>
    </row>
    <row r="516" spans="1:3" x14ac:dyDescent="0.25">
      <c r="A516" s="208"/>
      <c r="B516" s="246"/>
      <c r="C516" s="140" t="str">
        <f t="shared" si="9"/>
        <v/>
      </c>
    </row>
    <row r="517" spans="1:3" x14ac:dyDescent="0.25">
      <c r="A517" s="208"/>
      <c r="B517" s="246"/>
      <c r="C517" s="140" t="str">
        <f t="shared" si="9"/>
        <v/>
      </c>
    </row>
    <row r="518" spans="1:3" x14ac:dyDescent="0.25">
      <c r="A518" s="208"/>
      <c r="B518" s="246"/>
      <c r="C518" s="140" t="str">
        <f t="shared" si="9"/>
        <v/>
      </c>
    </row>
    <row r="519" spans="1:3" x14ac:dyDescent="0.25">
      <c r="A519" s="208"/>
      <c r="B519" s="246"/>
      <c r="C519" s="140" t="str">
        <f t="shared" si="9"/>
        <v/>
      </c>
    </row>
    <row r="520" spans="1:3" x14ac:dyDescent="0.25">
      <c r="A520" s="208"/>
      <c r="B520" s="246"/>
      <c r="C520" s="140" t="str">
        <f t="shared" si="9"/>
        <v/>
      </c>
    </row>
    <row r="521" spans="1:3" x14ac:dyDescent="0.25">
      <c r="A521" s="208"/>
      <c r="B521" s="246"/>
      <c r="C521" s="140" t="str">
        <f t="shared" si="9"/>
        <v/>
      </c>
    </row>
    <row r="522" spans="1:3" x14ac:dyDescent="0.25">
      <c r="A522" s="208"/>
      <c r="B522" s="246"/>
      <c r="C522" s="140" t="str">
        <f t="shared" si="9"/>
        <v/>
      </c>
    </row>
    <row r="523" spans="1:3" x14ac:dyDescent="0.25">
      <c r="A523" s="208"/>
      <c r="B523" s="246"/>
      <c r="C523" s="140" t="str">
        <f t="shared" si="9"/>
        <v/>
      </c>
    </row>
    <row r="524" spans="1:3" x14ac:dyDescent="0.25">
      <c r="A524" s="208"/>
      <c r="B524" s="246"/>
      <c r="C524" s="140" t="str">
        <f t="shared" si="9"/>
        <v/>
      </c>
    </row>
    <row r="525" spans="1:3" x14ac:dyDescent="0.25">
      <c r="A525" s="208"/>
      <c r="B525" s="246"/>
      <c r="C525" s="140" t="str">
        <f t="shared" si="9"/>
        <v/>
      </c>
    </row>
    <row r="526" spans="1:3" x14ac:dyDescent="0.25">
      <c r="A526" s="208"/>
      <c r="B526" s="246"/>
      <c r="C526" s="140" t="str">
        <f t="shared" si="9"/>
        <v/>
      </c>
    </row>
    <row r="527" spans="1:3" x14ac:dyDescent="0.25">
      <c r="A527" s="208"/>
      <c r="B527" s="246"/>
      <c r="C527" s="140" t="str">
        <f t="shared" si="9"/>
        <v/>
      </c>
    </row>
    <row r="528" spans="1:3" x14ac:dyDescent="0.25">
      <c r="A528" s="208"/>
      <c r="B528" s="246"/>
      <c r="C528" s="140" t="str">
        <f t="shared" si="9"/>
        <v/>
      </c>
    </row>
    <row r="529" spans="3:4" x14ac:dyDescent="0.25">
      <c r="C529" s="140">
        <v>28</v>
      </c>
      <c r="D529" s="16">
        <v>28288</v>
      </c>
    </row>
    <row r="530" spans="3:4" x14ac:dyDescent="0.25">
      <c r="C530" s="140">
        <v>12</v>
      </c>
      <c r="D530" s="16">
        <v>1212</v>
      </c>
    </row>
    <row r="531" spans="3:4" x14ac:dyDescent="0.25">
      <c r="C531" s="140">
        <v>5</v>
      </c>
      <c r="D531" s="16">
        <v>55</v>
      </c>
    </row>
    <row r="532" spans="3:4" x14ac:dyDescent="0.25">
      <c r="C532" s="140">
        <v>18</v>
      </c>
      <c r="D532" s="16">
        <v>1818</v>
      </c>
    </row>
    <row r="533" spans="3:4" x14ac:dyDescent="0.25">
      <c r="C533" s="140">
        <v>28</v>
      </c>
      <c r="D533" s="16">
        <v>2828</v>
      </c>
    </row>
    <row r="534" spans="3:4" x14ac:dyDescent="0.25">
      <c r="C534" s="140">
        <v>12</v>
      </c>
      <c r="D534" s="16">
        <v>1212</v>
      </c>
    </row>
    <row r="535" spans="3:4" x14ac:dyDescent="0.25">
      <c r="C535" s="140">
        <v>5</v>
      </c>
      <c r="D535" s="16">
        <v>5</v>
      </c>
    </row>
    <row r="536" spans="3:4" x14ac:dyDescent="0.25">
      <c r="C536" s="140">
        <v>18</v>
      </c>
      <c r="D536" s="16">
        <v>1818</v>
      </c>
    </row>
    <row r="537" spans="3:4" x14ac:dyDescent="0.25">
      <c r="C537" s="140">
        <v>5</v>
      </c>
      <c r="D537" s="16">
        <v>55</v>
      </c>
    </row>
  </sheetData>
  <protectedRanges>
    <protectedRange sqref="A103" name="Range1_2"/>
    <protectedRange sqref="A104" name="Range1_1_1"/>
    <protectedRange sqref="DD5" name="Range1_1_1_2_4_1"/>
    <protectedRange sqref="N6:N13" name="Range1_1"/>
  </protectedRanges>
  <mergeCells count="2">
    <mergeCell ref="I1:K1"/>
    <mergeCell ref="N1:O1"/>
  </mergeCells>
  <phoneticPr fontId="43" type="noConversion"/>
  <conditionalFormatting sqref="A135:A138">
    <cfRule type="duplicateValues" dxfId="39" priority="82"/>
  </conditionalFormatting>
  <conditionalFormatting sqref="XEC33">
    <cfRule type="cellIs" dxfId="38" priority="60" operator="equal">
      <formula>#N/A</formula>
    </cfRule>
  </conditionalFormatting>
  <conditionalFormatting sqref="XEF33">
    <cfRule type="duplicateValues" dxfId="37" priority="61"/>
  </conditionalFormatting>
  <conditionalFormatting sqref="XEC33">
    <cfRule type="containsText" dxfId="36" priority="58" operator="containsText" text="Others">
      <formula>NOT(ISERROR(SEARCH("Others",XEC33)))</formula>
    </cfRule>
    <cfRule type="containsText" dxfId="35" priority="59" operator="containsText" text="#N/A">
      <formula>NOT(ISERROR(SEARCH("#N/A",XEC33)))</formula>
    </cfRule>
  </conditionalFormatting>
  <conditionalFormatting sqref="XEA32">
    <cfRule type="cellIs" dxfId="34" priority="57" operator="equal">
      <formula>#N/A</formula>
    </cfRule>
  </conditionalFormatting>
  <conditionalFormatting sqref="XEA32">
    <cfRule type="containsText" dxfId="33" priority="55" operator="containsText" text="Others">
      <formula>NOT(ISERROR(SEARCH("Others",XEA32)))</formula>
    </cfRule>
    <cfRule type="containsText" dxfId="32" priority="56" operator="containsText" text="#N/A">
      <formula>NOT(ISERROR(SEARCH("#N/A",XEA32)))</formula>
    </cfRule>
  </conditionalFormatting>
  <conditionalFormatting sqref="A124">
    <cfRule type="duplicateValues" dxfId="31" priority="44"/>
  </conditionalFormatting>
  <conditionalFormatting sqref="A98:A100 A2:A9 A103:A107 A11:A64">
    <cfRule type="duplicateValues" dxfId="30" priority="41"/>
  </conditionalFormatting>
  <conditionalFormatting sqref="A98:A100 A2:A9 A103:A108 A11:A96">
    <cfRule type="duplicateValues" dxfId="29" priority="42"/>
  </conditionalFormatting>
  <conditionalFormatting sqref="A2:A9 A11:A118">
    <cfRule type="duplicateValues" dxfId="28" priority="40"/>
  </conditionalFormatting>
  <conditionalFormatting sqref="G2:G37 G51:G118">
    <cfRule type="duplicateValues" dxfId="27" priority="39"/>
  </conditionalFormatting>
  <conditionalFormatting sqref="E2:E37 E51:E118">
    <cfRule type="duplicateValues" dxfId="26" priority="38"/>
  </conditionalFormatting>
  <conditionalFormatting sqref="F37">
    <cfRule type="duplicateValues" dxfId="25" priority="43"/>
  </conditionalFormatting>
  <conditionalFormatting sqref="A119:A120">
    <cfRule type="duplicateValues" dxfId="24" priority="37"/>
  </conditionalFormatting>
  <conditionalFormatting sqref="A1:A132 A134:A138 A529:A1048576">
    <cfRule type="duplicateValues" dxfId="23" priority="9"/>
  </conditionalFormatting>
  <conditionalFormatting sqref="F1:F1048576">
    <cfRule type="duplicateValues" dxfId="22" priority="8"/>
  </conditionalFormatting>
  <conditionalFormatting sqref="A1:A1048576">
    <cfRule type="duplicateValues" dxfId="21" priority="4"/>
  </conditionalFormatting>
  <conditionalFormatting sqref="AR1">
    <cfRule type="cellIs" dxfId="20" priority="3" operator="equal">
      <formula>#N/A</formula>
    </cfRule>
  </conditionalFormatting>
  <conditionalFormatting sqref="AR1">
    <cfRule type="containsText" dxfId="19" priority="1" operator="containsText" text="Others">
      <formula>NOT(ISERROR(SEARCH("Others",AR1)))</formula>
    </cfRule>
    <cfRule type="containsText" dxfId="18" priority="2" operator="containsText" text="#N/A">
      <formula>NOT(ISERROR(SEARCH("#N/A",AR1)))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836" r:id="rId4" name="MSH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8</xdr:row>
                    <xdr:rowOff>0</xdr:rowOff>
                  </from>
                  <to>
                    <xdr:col>9</xdr:col>
                    <xdr:colOff>419100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37" r:id="rId5" name="MSH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9</xdr:row>
                    <xdr:rowOff>0</xdr:rowOff>
                  </from>
                  <to>
                    <xdr:col>9</xdr:col>
                    <xdr:colOff>419100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38" r:id="rId6" name="MSH (3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10</xdr:row>
                    <xdr:rowOff>0</xdr:rowOff>
                  </from>
                  <to>
                    <xdr:col>9</xdr:col>
                    <xdr:colOff>419100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39" r:id="rId7" name="AMZ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11</xdr:row>
                    <xdr:rowOff>0</xdr:rowOff>
                  </from>
                  <to>
                    <xdr:col>9</xdr:col>
                    <xdr:colOff>419100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0" r:id="rId8" name="AMZ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12</xdr:row>
                    <xdr:rowOff>0</xdr:rowOff>
                  </from>
                  <to>
                    <xdr:col>9</xdr:col>
                    <xdr:colOff>419100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1" r:id="rId9" name="FLC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13</xdr:row>
                    <xdr:rowOff>0</xdr:rowOff>
                  </from>
                  <to>
                    <xdr:col>9</xdr:col>
                    <xdr:colOff>419100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2" r:id="rId10" name="FLC (C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14</xdr:row>
                    <xdr:rowOff>0</xdr:rowOff>
                  </from>
                  <to>
                    <xdr:col>9</xdr:col>
                    <xdr:colOff>419100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3" r:id="rId11" name="SND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15</xdr:row>
                    <xdr:rowOff>0</xdr:rowOff>
                  </from>
                  <to>
                    <xdr:col>9</xdr:col>
                    <xdr:colOff>419100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4" r:id="rId12" name="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16</xdr:row>
                    <xdr:rowOff>0</xdr:rowOff>
                  </from>
                  <to>
                    <xdr:col>9</xdr:col>
                    <xdr:colOff>419100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5" r:id="rId13" name="A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17</xdr:row>
                    <xdr:rowOff>0</xdr:rowOff>
                  </from>
                  <to>
                    <xdr:col>9</xdr:col>
                    <xdr:colOff>419100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6" r:id="rId14" name="GL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18</xdr:row>
                    <xdr:rowOff>0</xdr:rowOff>
                  </from>
                  <to>
                    <xdr:col>9</xdr:col>
                    <xdr:colOff>419100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7" r:id="rId15" name="MY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19</xdr:row>
                    <xdr:rowOff>0</xdr:rowOff>
                  </from>
                  <to>
                    <xdr:col>9</xdr:col>
                    <xdr:colOff>419100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8" r:id="rId16" name="MYR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20</xdr:row>
                    <xdr:rowOff>0</xdr:rowOff>
                  </from>
                  <to>
                    <xdr:col>9</xdr:col>
                    <xdr:colOff>419100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9" r:id="rId17" name="NPTL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21</xdr:row>
                    <xdr:rowOff>0</xdr:rowOff>
                  </from>
                  <to>
                    <xdr:col>9</xdr:col>
                    <xdr:colOff>419100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0" r:id="rId18" name="MRW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22</xdr:row>
                    <xdr:rowOff>0</xdr:rowOff>
                  </from>
                  <to>
                    <xdr:col>9</xdr:col>
                    <xdr:colOff>419100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1" r:id="rId19" name="S101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23</xdr:row>
                    <xdr:rowOff>0</xdr:rowOff>
                  </from>
                  <to>
                    <xdr:col>9</xdr:col>
                    <xdr:colOff>419100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2" r:id="rId20" name="S101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24</xdr:row>
                    <xdr:rowOff>0</xdr:rowOff>
                  </from>
                  <to>
                    <xdr:col>9</xdr:col>
                    <xdr:colOff>419100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3" r:id="rId21" name="S101 (3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25</xdr:row>
                    <xdr:rowOff>0</xdr:rowOff>
                  </from>
                  <to>
                    <xdr:col>9</xdr:col>
                    <xdr:colOff>419100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4" r:id="rId22" name="VMT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26</xdr:row>
                    <xdr:rowOff>0</xdr:rowOff>
                  </from>
                  <to>
                    <xdr:col>9</xdr:col>
                    <xdr:colOff>419100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5" r:id="rId23" name="UNI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27</xdr:row>
                    <xdr:rowOff>0</xdr:rowOff>
                  </from>
                  <to>
                    <xdr:col>9</xdr:col>
                    <xdr:colOff>419100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6" r:id="rId24" name="AMZ T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28</xdr:row>
                    <xdr:rowOff>0</xdr:rowOff>
                  </from>
                  <to>
                    <xdr:col>9</xdr:col>
                    <xdr:colOff>419100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7" r:id="rId25" name="GSTR2B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29</xdr:row>
                    <xdr:rowOff>0</xdr:rowOff>
                  </from>
                  <to>
                    <xdr:col>9</xdr:col>
                    <xdr:colOff>419100</xdr:colOff>
                    <xdr:row>29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theme="7" tint="-0.499984740745262"/>
  </sheetPr>
  <dimension ref="A1:AH4"/>
  <sheetViews>
    <sheetView showRuler="0" workbookViewId="0">
      <selection activeCell="F21" sqref="F21"/>
    </sheetView>
  </sheetViews>
  <sheetFormatPr defaultRowHeight="15" x14ac:dyDescent="0.25"/>
  <cols>
    <col min="1" max="1" width="18" style="16" customWidth="1"/>
    <col min="2" max="2" width="20.85546875" style="16" bestFit="1" customWidth="1"/>
    <col min="3" max="6" width="18" style="16" customWidth="1"/>
    <col min="7" max="7" width="18" style="201" customWidth="1"/>
    <col min="8" max="9" width="18" style="16" customWidth="1"/>
    <col min="10" max="10" width="14.140625" style="16" customWidth="1"/>
    <col min="11" max="12" width="18" style="16" customWidth="1"/>
    <col min="13" max="13" width="19.140625" style="16" customWidth="1"/>
    <col min="14" max="14" width="23.42578125" style="16" customWidth="1"/>
    <col min="15" max="16" width="20.42578125" style="16" customWidth="1"/>
    <col min="17" max="17" width="25" style="264" customWidth="1"/>
    <col min="18" max="18" width="22.28515625" style="16" customWidth="1"/>
    <col min="19" max="24" width="17.85546875" style="16" customWidth="1"/>
    <col min="25" max="25" width="17.85546875" style="201" customWidth="1"/>
    <col min="26" max="26" width="30.42578125" style="16" customWidth="1"/>
    <col min="27" max="31" width="17.85546875" style="16" customWidth="1"/>
    <col min="32" max="32" width="15.7109375" style="327" customWidth="1"/>
    <col min="33" max="33" width="12.42578125" style="16" customWidth="1"/>
    <col min="34" max="34" width="14.7109375" style="16" customWidth="1"/>
    <col min="35" max="16384" width="9.140625" style="16"/>
  </cols>
  <sheetData>
    <row r="1" spans="1:34" x14ac:dyDescent="0.25">
      <c r="A1" s="159"/>
      <c r="B1" s="160"/>
      <c r="C1" s="160"/>
      <c r="D1" s="160"/>
      <c r="E1" s="160"/>
      <c r="F1" s="160"/>
      <c r="G1" s="371"/>
      <c r="H1" s="160"/>
      <c r="I1" s="211"/>
      <c r="J1" s="332" t="s">
        <v>90</v>
      </c>
      <c r="K1" s="338" t="str">
        <f>+IF(K2=0,"Done","Pending")</f>
        <v>Done</v>
      </c>
      <c r="L1" s="333"/>
      <c r="M1" s="334"/>
      <c r="N1" s="330" t="s">
        <v>90</v>
      </c>
      <c r="O1" s="213" t="s">
        <v>87</v>
      </c>
      <c r="P1" s="214" t="s">
        <v>88</v>
      </c>
      <c r="Q1" s="266" t="s">
        <v>100</v>
      </c>
      <c r="R1" s="268" t="s">
        <v>103</v>
      </c>
      <c r="S1" s="215" t="s">
        <v>105</v>
      </c>
      <c r="T1" s="215" t="s">
        <v>757</v>
      </c>
      <c r="U1" s="216" t="s">
        <v>756</v>
      </c>
      <c r="V1" s="215" t="s">
        <v>107</v>
      </c>
      <c r="W1" s="215"/>
      <c r="X1" s="216" t="s">
        <v>732</v>
      </c>
      <c r="AA1" s="115"/>
      <c r="AB1" s="17"/>
      <c r="AD1" s="70"/>
      <c r="AE1" s="24"/>
    </row>
    <row r="2" spans="1:34" ht="16.5" thickBot="1" x14ac:dyDescent="0.3">
      <c r="A2" s="161"/>
      <c r="B2" s="355"/>
      <c r="C2" s="162"/>
      <c r="D2" s="162"/>
      <c r="E2" s="162"/>
      <c r="F2" s="162"/>
      <c r="G2" s="372"/>
      <c r="H2" s="162"/>
      <c r="I2" s="212"/>
      <c r="J2" s="335">
        <f>+MSH!H2+'AMZ (2)'!H2+FLC!H2+'FLC (C)'!H2+SND!H2+AJIO!H2+MYR!H2+'S101'!H2+JIO!H2+GLR!H2+MRW!H2+'S101 (2)'!H2+VMT!H2+'MYR (2)'!H2+'S101 (3)'!H2+UNI!H2+AMZ!H2+'MSH (2)'!H2+'MSH (3)'!H2</f>
        <v>0</v>
      </c>
      <c r="K2" s="339">
        <f>+J2-N2</f>
        <v>0</v>
      </c>
      <c r="L2" s="336"/>
      <c r="M2" s="337"/>
      <c r="N2" s="331">
        <f>+O2+P2</f>
        <v>0</v>
      </c>
      <c r="O2" s="217">
        <f>+COUNTIF($L:$L,"&gt;"&amp;0)</f>
        <v>0</v>
      </c>
      <c r="P2" s="218">
        <f>+COUNTIF($L:$L,"&lt;"&amp;0)</f>
        <v>0</v>
      </c>
      <c r="Q2" s="267">
        <f>+SUM(L:L)</f>
        <v>0</v>
      </c>
      <c r="R2" s="269">
        <f>+COUNTA($Q:$Q)-3</f>
        <v>0</v>
      </c>
      <c r="S2" s="219">
        <f>+SUM(M:M)</f>
        <v>0</v>
      </c>
      <c r="T2" s="220" t="str">
        <f>IF(Q2=0,"0",COUNTIF(R:R, "&gt;" &amp; U2))</f>
        <v>0</v>
      </c>
      <c r="U2" s="271">
        <v>85000</v>
      </c>
      <c r="V2" s="220">
        <f>+N2-R2</f>
        <v>0</v>
      </c>
      <c r="W2" s="270"/>
      <c r="X2" s="270" t="str">
        <f>+IFERROR((V2/N2),"")</f>
        <v/>
      </c>
      <c r="Y2" s="70">
        <f>+SUM(AD:AD)</f>
        <v>0</v>
      </c>
      <c r="Z2" s="70">
        <f>+Q2-Y2</f>
        <v>0</v>
      </c>
      <c r="AB2" s="24"/>
      <c r="AC2" s="24"/>
      <c r="AD2" s="24"/>
      <c r="AE2" s="24"/>
    </row>
    <row r="3" spans="1:34" ht="32.25" customHeight="1" x14ac:dyDescent="0.25">
      <c r="A3" s="68" t="s">
        <v>85</v>
      </c>
      <c r="B3" s="201"/>
      <c r="C3" s="375"/>
      <c r="D3" s="76">
        <f ca="1">+MSH!N2+FLC!N2+'AMZ (2)'!N2+SND!N2+GLR!N2+MRW!N2+'S101'!N2+JIO!N2+MYR!N2+VMT!N2+AJIO!N2</f>
        <v>0</v>
      </c>
      <c r="E3" s="77" t="str">
        <f>+IF(F3=0," ","Month State Check : ++++")</f>
        <v xml:space="preserve"> </v>
      </c>
      <c r="F3" s="76">
        <v>0</v>
      </c>
      <c r="G3" s="373" t="s">
        <v>316</v>
      </c>
      <c r="H3" s="376" t="s">
        <v>927</v>
      </c>
      <c r="I3" s="136" t="str">
        <f>+IF(J3=1,"All","State")</f>
        <v>State</v>
      </c>
      <c r="J3" s="377">
        <v>2</v>
      </c>
      <c r="K3" s="135"/>
      <c r="M3" s="69"/>
      <c r="N3" s="103" t="str">
        <f>IFERROR(IF($J$3=1,L3/K3,IF(F3="",CONCATENATE(IF(L3&gt;0,"","R-"),LEFT(B3,2),VLOOKUP(A3,Help!$F$2:$G$60,2,0),"-",VLOOKUP(E3,Help!$F$2:$G$60,2,0),TEXT(O3,"m"),LEFT(I3,6),LEFT(J3,2),),IF(L3&gt;0,H3,CONCATENATE("R-",H3)))),"Data MisMatch Check Data")</f>
        <v>R-Last Month</v>
      </c>
      <c r="O3" s="399" t="e">
        <f ca="1">IF($J$3=2,
   VALUE(TEXT(DATE(YEAR(G3)+IF(AND(ISNUMBER($H$3),$H$3&lt;MONTH(G3)),1,0),
   IF($H$3="Last Month",MONTH(NOW())-1,IF($H$3="Default",MONTH(G3),$H$3)),
   MIN(DAY(G3),DAY(EOMONTH(DATE(YEAR(G3)+IF(AND(ISNUMBER($H$3),$H$3&lt;MONTH(G3)),1,0),
   IF($H$3="Last Month",MONTH(NOW())-1,IF($H$3="Default",MONTH(G3),$H$3)),1),0)))),"dd/mm/yyyy")),
"")</f>
        <v>#VALUE!</v>
      </c>
      <c r="P3" s="24" t="str">
        <f>+IF(A3=E3,"ECom GST","ECom IGST")</f>
        <v>ECom IGST</v>
      </c>
      <c r="Q3" s="263"/>
      <c r="R3" s="366" t="str">
        <f>IF(S3="",IF(Q3&lt;&gt;"", SUMIFS(#REF!,#REF!, Q3), ""),"")</f>
        <v/>
      </c>
      <c r="S3" s="367" t="str">
        <f>IF(Q3="", "", INDEX(#REF!, MATCH(Q3,#REF!, 0)))</f>
        <v/>
      </c>
      <c r="T3" s="368" t="str">
        <f>IF(Q3="", "", INDEX(#REF!, MATCH(Q3,#REF!, 0)))</f>
        <v/>
      </c>
      <c r="U3" s="366" t="str">
        <f>IF(Q3="", "", INDEX(#REF!, MATCH(Q3,#REF!, 0)))</f>
        <v/>
      </c>
      <c r="V3" s="366" t="str">
        <f>AB3 &amp; "%" &amp; " (" &amp; AA3 &amp; ")"</f>
        <v>% ()</v>
      </c>
      <c r="W3" s="368" t="e">
        <f>+IF(X3="",INDEX(#REF!,MATCH(Q3,#REF!,0)),INDEX(Help!$F$2:$F$49,MATCH(VALUE(LEFT(X3,2)),Help!$E$2:$E$49,0)))</f>
        <v>#REF!</v>
      </c>
      <c r="X3" s="369" t="str">
        <f>IF(Q3="", "", IFERROR(INDEX(#REF!, MATCH(Q3,#REF!, 0)), ""))</f>
        <v/>
      </c>
      <c r="Y3" s="368" t="str">
        <f>IF(Q3="", "", IFERROR(INDEX(#REF!, MATCH(Q3,#REF!, 0)), ""))</f>
        <v/>
      </c>
      <c r="Z3" s="367" t="str">
        <f>SUBSTITUTE(Q3,"R-","")</f>
        <v/>
      </c>
      <c r="AA3" s="367" t="str">
        <f>IF($Q3="", "", IFERROR(VALUE(INDEX(#REF!, MATCH($Q3,#REF!, 0))), ""))</f>
        <v/>
      </c>
      <c r="AB3" s="367" t="str">
        <f>IF($Q3="", "", IFERROR(INDEX(#REF!, MATCH($Q3,#REF!, 0)), ""))</f>
        <v/>
      </c>
      <c r="AC3" s="367" t="e">
        <f>IF(VALUE(SUMIF(#REF!,Q3,#REF!))=0, 1, VALUE(SUMIF(#REF!,Q3,#REF!)))</f>
        <v>#REF!</v>
      </c>
      <c r="AD3" s="101" t="str">
        <f>IF(Q3="", "", SUMIFS(#REF!,#REF!, Q3))</f>
        <v/>
      </c>
      <c r="AE3" s="101" t="str">
        <f>IF(Q3="", "", SUMIFS(#REF!,#REF!, Q3))</f>
        <v/>
      </c>
      <c r="AF3" s="326" t="e">
        <f>+AD3/AC3</f>
        <v>#VALUE!</v>
      </c>
      <c r="AG3" s="102" t="s">
        <v>85</v>
      </c>
      <c r="AH3" s="98" t="e">
        <f>+IF(W3=S3,"ECom GST","ECom IGST")</f>
        <v>#REF!</v>
      </c>
    </row>
    <row r="4" spans="1:34" s="131" customFormat="1" x14ac:dyDescent="0.25">
      <c r="A4" s="129" t="s">
        <v>71</v>
      </c>
      <c r="B4" s="129" t="s">
        <v>72</v>
      </c>
      <c r="C4" s="210" t="s">
        <v>73</v>
      </c>
      <c r="D4" s="129" t="s">
        <v>237</v>
      </c>
      <c r="E4" s="129" t="s">
        <v>1</v>
      </c>
      <c r="F4" s="210" t="s">
        <v>74</v>
      </c>
      <c r="G4" s="374" t="s">
        <v>75</v>
      </c>
      <c r="H4" s="129" t="s">
        <v>76</v>
      </c>
      <c r="I4" s="128" t="s">
        <v>236</v>
      </c>
      <c r="J4" s="129" t="s">
        <v>54</v>
      </c>
      <c r="K4" s="129" t="s">
        <v>78</v>
      </c>
      <c r="L4" s="129" t="s">
        <v>79</v>
      </c>
      <c r="M4" s="129" t="s">
        <v>80</v>
      </c>
      <c r="N4" s="130" t="s">
        <v>415</v>
      </c>
      <c r="O4" s="130" t="str">
        <f>+IF(J3=2,"Month Date","")</f>
        <v>Month Date</v>
      </c>
      <c r="P4" s="130" t="s">
        <v>301</v>
      </c>
      <c r="Q4" s="130" t="s">
        <v>415</v>
      </c>
      <c r="R4" s="265"/>
      <c r="S4" s="209" t="s">
        <v>71</v>
      </c>
      <c r="T4" s="209" t="s">
        <v>874</v>
      </c>
      <c r="U4" s="209" t="s">
        <v>875</v>
      </c>
      <c r="V4" s="209" t="s">
        <v>302</v>
      </c>
      <c r="W4" s="209" t="s">
        <v>1</v>
      </c>
      <c r="X4" s="209" t="s">
        <v>74</v>
      </c>
      <c r="Y4" s="329" t="s">
        <v>75</v>
      </c>
      <c r="Z4" s="209" t="s">
        <v>76</v>
      </c>
      <c r="AA4" s="209" t="s">
        <v>55</v>
      </c>
      <c r="AB4" s="209" t="s">
        <v>54</v>
      </c>
      <c r="AC4" s="209" t="s">
        <v>78</v>
      </c>
      <c r="AD4" s="209" t="s">
        <v>106</v>
      </c>
      <c r="AE4" s="209" t="s">
        <v>80</v>
      </c>
      <c r="AF4" s="328" t="s">
        <v>315</v>
      </c>
      <c r="AG4" s="209"/>
      <c r="AH4" s="209" t="s">
        <v>301</v>
      </c>
    </row>
  </sheetData>
  <sheetProtection algorithmName="SHA-512" hashValue="2Zb8ktk7C3hlFBa5/1cCg4azOm9VxsqCVam74QYfW8J+WdBknG198i8V1+vA5cXK+1QcLaZ3FA9QPTYR98U7yg==" saltValue="+PD8W/oI62Z5tdRAHzPi9Q==" spinCount="100000" sheet="1" objects="1" scenarios="1"/>
  <dataConsolidate/>
  <conditionalFormatting sqref="N1">
    <cfRule type="cellIs" dxfId="17" priority="3335" operator="equal">
      <formula>#N/A</formula>
    </cfRule>
  </conditionalFormatting>
  <conditionalFormatting sqref="J1">
    <cfRule type="cellIs" dxfId="16" priority="3334" operator="equal">
      <formula>#N/A</formula>
    </cfRule>
  </conditionalFormatting>
  <conditionalFormatting sqref="F1:F2">
    <cfRule type="containsText" dxfId="15" priority="3326" operator="containsText" text="Others">
      <formula>NOT(ISERROR(SEARCH("Others",F1)))</formula>
    </cfRule>
    <cfRule type="containsText" dxfId="14" priority="3327" operator="containsText" text="#N/A">
      <formula>NOT(ISERROR(SEARCH("#N/A",F1)))</formula>
    </cfRule>
  </conditionalFormatting>
  <conditionalFormatting sqref="Q1:Q2">
    <cfRule type="cellIs" dxfId="13" priority="3186" operator="equal">
      <formula>#N/A</formula>
    </cfRule>
  </conditionalFormatting>
  <conditionalFormatting sqref="S2:V2">
    <cfRule type="cellIs" dxfId="12" priority="3182" operator="equal">
      <formula>#N/A</formula>
    </cfRule>
  </conditionalFormatting>
  <conditionalFormatting sqref="R1:R2">
    <cfRule type="duplicateValues" dxfId="11" priority="3138"/>
  </conditionalFormatting>
  <conditionalFormatting sqref="D3">
    <cfRule type="cellIs" dxfId="10" priority="2992" operator="greaterThan">
      <formula>0</formula>
    </cfRule>
  </conditionalFormatting>
  <conditionalFormatting sqref="F3">
    <cfRule type="containsText" dxfId="9" priority="2990" operator="containsText" text="Others">
      <formula>NOT(ISERROR(SEARCH("Others",F3)))</formula>
    </cfRule>
    <cfRule type="containsText" dxfId="8" priority="2991" operator="containsText" text="#N/A">
      <formula>NOT(ISERROR(SEARCH("#N/A",F3)))</formula>
    </cfRule>
  </conditionalFormatting>
  <conditionalFormatting sqref="Q3">
    <cfRule type="duplicateValues" dxfId="7" priority="2881"/>
  </conditionalFormatting>
  <conditionalFormatting sqref="Q3">
    <cfRule type="duplicateValues" dxfId="6" priority="2880"/>
  </conditionalFormatting>
  <conditionalFormatting sqref="G3">
    <cfRule type="duplicateValues" dxfId="5" priority="2672"/>
  </conditionalFormatting>
  <conditionalFormatting sqref="I3">
    <cfRule type="duplicateValues" dxfId="4" priority="3338"/>
  </conditionalFormatting>
  <conditionalFormatting sqref="R1:R2">
    <cfRule type="duplicateValues" dxfId="3" priority="3340"/>
  </conditionalFormatting>
  <conditionalFormatting sqref="U3">
    <cfRule type="cellIs" dxfId="2" priority="3" operator="equal">
      <formula>#N/A</formula>
    </cfRule>
  </conditionalFormatting>
  <conditionalFormatting sqref="U3">
    <cfRule type="containsText" dxfId="1" priority="1" operator="containsText" text="Others">
      <formula>NOT(ISERROR(SEARCH("Others",U3)))</formula>
    </cfRule>
    <cfRule type="containsText" dxfId="0" priority="2" operator="containsText" text="#N/A">
      <formula>NOT(ISERROR(SEARCH("#N/A",U3)))</formula>
    </cfRule>
  </conditionalFormatting>
  <dataValidations count="1">
    <dataValidation type="list" allowBlank="1" showInputMessage="1" showErrorMessage="1" sqref="H3" xr:uid="{00000000-0002-0000-1100-000001000000}">
      <formula1>",01,02,03,04,05,06,07,08,09,10,11,12,Last Month,Default"</formula1>
    </dataValidation>
  </dataValidation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2:O13"/>
  <sheetViews>
    <sheetView showRuler="0" workbookViewId="0">
      <selection activeCell="C15" sqref="C15"/>
    </sheetView>
  </sheetViews>
  <sheetFormatPr defaultRowHeight="15" x14ac:dyDescent="0.25"/>
  <cols>
    <col min="1" max="1" width="18.28515625" customWidth="1"/>
    <col min="2" max="2" width="28.5703125" customWidth="1"/>
    <col min="3" max="3" width="23.42578125" customWidth="1"/>
    <col min="15" max="15" width="8" customWidth="1"/>
  </cols>
  <sheetData>
    <row r="2" spans="1:15" x14ac:dyDescent="0.25">
      <c r="O2">
        <v>254</v>
      </c>
    </row>
    <row r="3" spans="1:15" x14ac:dyDescent="0.25">
      <c r="L3" t="s">
        <v>929</v>
      </c>
      <c r="O3" s="183" t="s">
        <v>917</v>
      </c>
    </row>
    <row r="4" spans="1:15" x14ac:dyDescent="0.25">
      <c r="O4" s="183" t="s">
        <v>918</v>
      </c>
    </row>
    <row r="5" spans="1:15" x14ac:dyDescent="0.25">
      <c r="O5">
        <v>7573990005</v>
      </c>
    </row>
    <row r="6" spans="1:15" x14ac:dyDescent="0.25">
      <c r="A6" s="310" t="s">
        <v>800</v>
      </c>
      <c r="B6" s="311"/>
      <c r="E6" s="314"/>
    </row>
    <row r="7" spans="1:15" x14ac:dyDescent="0.25">
      <c r="A7" s="310" t="s">
        <v>72</v>
      </c>
      <c r="B7" s="311"/>
    </row>
    <row r="8" spans="1:15" x14ac:dyDescent="0.25">
      <c r="A8" s="310" t="s">
        <v>801</v>
      </c>
      <c r="B8" s="311"/>
    </row>
    <row r="9" spans="1:15" x14ac:dyDescent="0.25">
      <c r="A9" s="310" t="s">
        <v>802</v>
      </c>
      <c r="B9" s="311"/>
    </row>
    <row r="10" spans="1:15" x14ac:dyDescent="0.25">
      <c r="A10" s="310" t="s">
        <v>804</v>
      </c>
      <c r="B10" s="311"/>
    </row>
    <row r="11" spans="1:15" x14ac:dyDescent="0.25">
      <c r="A11" s="310" t="s">
        <v>805</v>
      </c>
      <c r="B11" s="312"/>
    </row>
    <row r="12" spans="1:15" x14ac:dyDescent="0.25">
      <c r="A12" s="310" t="s">
        <v>803</v>
      </c>
      <c r="B12" s="312"/>
    </row>
    <row r="13" spans="1:15" x14ac:dyDescent="0.25">
      <c r="A13" s="310" t="s">
        <v>825</v>
      </c>
      <c r="B13" s="312"/>
    </row>
  </sheetData>
  <sheetProtection algorithmName="SHA-512" hashValue="aM87B+XUT+hRwBY605Plk8ffxywQkmwOajBx2WMkRtTYH4RR2wm7MeKufW7tT71jOQVLpZSJEwzZXY76/ZU8bw==" saltValue="8jImkknZ9IA6pLXg20SCcQ==" spinCount="100000" sheet="1" objects="1" scenarios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54A2F86-D9F6-472B-B8AA-291DDDF909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MSH</vt:lpstr>
      <vt:lpstr>MSH (2)</vt:lpstr>
      <vt:lpstr>MSH (3)</vt:lpstr>
      <vt:lpstr>AMZ</vt:lpstr>
      <vt:lpstr>AMZ (2)</vt:lpstr>
      <vt:lpstr>FLC</vt:lpstr>
      <vt:lpstr>FLC (C)</vt:lpstr>
      <vt:lpstr>SND</vt:lpstr>
      <vt:lpstr>JIO</vt:lpstr>
      <vt:lpstr>AJIO</vt:lpstr>
      <vt:lpstr>GLR</vt:lpstr>
      <vt:lpstr>MYR</vt:lpstr>
      <vt:lpstr>MYR (2)</vt:lpstr>
      <vt:lpstr>NPTL</vt:lpstr>
      <vt:lpstr>MRW</vt:lpstr>
      <vt:lpstr>S101</vt:lpstr>
      <vt:lpstr>S101 (2)</vt:lpstr>
      <vt:lpstr>S101 (3)</vt:lpstr>
      <vt:lpstr>VMT</vt:lpstr>
      <vt:lpstr>UNI</vt:lpstr>
      <vt:lpstr>AMZ TR</vt:lpstr>
      <vt:lpstr>GSTR2B</vt:lpstr>
      <vt:lpstr>Help</vt:lpstr>
      <vt:lpstr>MasterMonth</vt:lpstr>
      <vt:lpstr>Registration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AT</cp:lastModifiedBy>
  <cp:lastPrinted>2024-05-16T13:51:18Z</cp:lastPrinted>
  <dcterms:created xsi:type="dcterms:W3CDTF">2015-06-05T18:17:20Z</dcterms:created>
  <dcterms:modified xsi:type="dcterms:W3CDTF">2025-05-09T11:52:34Z</dcterms:modified>
</cp:coreProperties>
</file>