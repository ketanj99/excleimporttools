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drawings/drawing5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58.xml" ContentType="application/vnd.openxmlformats-officedocument.drawing+xml"/>
  <Override PartName="/xl/drawings/drawing5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\\ADITYA-TECH\All Sharing\Ecom Setup\Devlop\"/>
    </mc:Choice>
  </mc:AlternateContent>
  <xr:revisionPtr revIDLastSave="0" documentId="13_ncr:1_{0B835860-CBD4-4780-A00D-CD97817EC475}" xr6:coauthVersionLast="47" xr6:coauthVersionMax="47" xr10:uidLastSave="{00000000-0000-0000-0000-000000000000}"/>
  <bookViews>
    <workbookView xWindow="-28920" yWindow="-120" windowWidth="29040" windowHeight="15840" firstSheet="2" activeTab="57" xr2:uid="{00000000-000D-0000-FFFF-FFFF00000000}"/>
  </bookViews>
  <sheets>
    <sheet name="ICICI(C) (P)" sheetId="40" r:id="rId1"/>
    <sheet name="ICICI(S) (P)" sheetId="56" r:id="rId2"/>
    <sheet name="ICICI(C)2 (P)" sheetId="60" r:id="rId3"/>
    <sheet name="HDFC (P)" sheetId="42" state="hidden" r:id="rId4"/>
    <sheet name="Axis(S) (P)" sheetId="41" r:id="rId5"/>
    <sheet name="Axis(C) (P)" sheetId="57" r:id="rId6"/>
    <sheet name="IDBI (P)" sheetId="43" state="hidden" r:id="rId7"/>
    <sheet name="IDBI(S) (P)" sheetId="50" state="hidden" r:id="rId8"/>
    <sheet name="IDFC (P)" sheetId="44" state="hidden" r:id="rId9"/>
    <sheet name="CityUni (P)" sheetId="63" r:id="rId10"/>
    <sheet name="indusind (P)" sheetId="45" state="hidden" r:id="rId11"/>
    <sheet name="Kalupur (P)" sheetId="48" state="hidden" r:id="rId12"/>
    <sheet name="AU (P)" sheetId="49" state="hidden" r:id="rId13"/>
    <sheet name="SBI (P)" sheetId="47" r:id="rId14"/>
    <sheet name="Union (P)" sheetId="28" state="hidden" r:id="rId15"/>
    <sheet name="Union2 (P)" sheetId="51" state="hidden" r:id="rId16"/>
    <sheet name="Kotak (P)" sheetId="46" state="hidden" r:id="rId17"/>
    <sheet name="Kotak2 (P)" sheetId="55" state="hidden" r:id="rId18"/>
    <sheet name="Kotak3 (P)" sheetId="59" state="hidden" r:id="rId19"/>
    <sheet name="CBI (P)" sheetId="58" r:id="rId20"/>
    <sheet name="Varachha (P)" sheetId="53" r:id="rId21"/>
    <sheet name="SDCB (P)" sheetId="66" r:id="rId22"/>
    <sheet name="ICICI(C)" sheetId="2" r:id="rId23"/>
    <sheet name="ICICI(S)" sheetId="27" state="hidden" r:id="rId24"/>
    <sheet name="HDFC" sheetId="3" state="hidden" r:id="rId25"/>
    <sheet name="Kotak(C)" sheetId="6" state="hidden" r:id="rId26"/>
    <sheet name="Kotak(S)" sheetId="23" state="hidden" r:id="rId27"/>
    <sheet name="Axis(S)" sheetId="4" state="hidden" r:id="rId28"/>
    <sheet name="Axis(S) (2)" sheetId="62" state="hidden" r:id="rId29"/>
    <sheet name="Axis(C)" sheetId="19" state="hidden" r:id="rId30"/>
    <sheet name="Yes" sheetId="9" state="hidden" r:id="rId31"/>
    <sheet name="indusind" sheetId="14" state="hidden" r:id="rId32"/>
    <sheet name="IDBI" sheetId="5" state="hidden" r:id="rId33"/>
    <sheet name="Bandhan" sheetId="11" state="hidden" r:id="rId34"/>
    <sheet name="Indian" sheetId="10" state="hidden" r:id="rId35"/>
    <sheet name="IDFC" sheetId="24" state="hidden" r:id="rId36"/>
    <sheet name="RBL" sheetId="22" state="hidden" r:id="rId37"/>
    <sheet name="Union" sheetId="54" state="hidden" r:id="rId38"/>
    <sheet name="SBI" sheetId="1" state="hidden" r:id="rId39"/>
    <sheet name="BOI" sheetId="16" state="hidden" r:id="rId40"/>
    <sheet name="UCO" sheetId="32" state="hidden" r:id="rId41"/>
    <sheet name="CBI" sheetId="31" state="hidden" r:id="rId42"/>
    <sheet name="BOB(C)" sheetId="7" state="hidden" r:id="rId43"/>
    <sheet name="BOB(S)" sheetId="13" state="hidden" r:id="rId44"/>
    <sheet name="PNB" sheetId="25" state="hidden" r:id="rId45"/>
    <sheet name="PNB (2)" sheetId="61" state="hidden" r:id="rId46"/>
    <sheet name="RNSBE" sheetId="20" state="hidden" r:id="rId47"/>
    <sheet name="Federal" sheetId="34" state="hidden" r:id="rId48"/>
    <sheet name="Varachha" sheetId="15" state="hidden" r:id="rId49"/>
    <sheet name="SNCB" sheetId="33" state="hidden" r:id="rId50"/>
    <sheet name="SDCB" sheetId="26" state="hidden" r:id="rId51"/>
    <sheet name="AU" sheetId="36" state="hidden" r:id="rId52"/>
    <sheet name="Prime" sheetId="29" state="hidden" r:id="rId53"/>
    <sheet name="DCB" sheetId="37" state="hidden" r:id="rId54"/>
    <sheet name="Saraswat" sheetId="38" state="hidden" r:id="rId55"/>
    <sheet name="Equitas" sheetId="64" state="hidden" r:id="rId56"/>
    <sheet name="Help" sheetId="30" r:id="rId57"/>
    <sheet name="Master" sheetId="8" r:id="rId58"/>
    <sheet name="Registration" sheetId="65" state="veryHidden" r:id="rId59"/>
  </sheets>
  <functionGroups builtInGroupCount="19"/>
  <definedNames>
    <definedName name="_xlnm._FilterDatabase" localSheetId="40" hidden="1">UCO!$DA$3:$DK$3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F3" i="66" l="1"/>
  <c r="DH3" i="66"/>
  <c r="DB3" i="66"/>
  <c r="DJ3" i="66"/>
  <c r="DE3" i="66"/>
  <c r="DA3" i="66"/>
  <c r="DG3" i="66"/>
  <c r="DK3" i="66" l="1"/>
  <c r="DC3" i="66" s="1"/>
  <c r="F2" i="66"/>
  <c r="DD3" i="66"/>
  <c r="DA4" i="66"/>
  <c r="G2" i="66"/>
  <c r="E2" i="66"/>
  <c r="H2" i="8"/>
  <c r="G2" i="8"/>
  <c r="DK3" i="64"/>
  <c r="DJ3" i="64"/>
  <c r="DH3" i="64"/>
  <c r="DG3" i="64"/>
  <c r="DF3" i="64"/>
  <c r="DE3" i="64"/>
  <c r="F2" i="64" s="1"/>
  <c r="DD3" i="64"/>
  <c r="DB3" i="64"/>
  <c r="DA2" i="64"/>
  <c r="DA3" i="64" s="1"/>
  <c r="DA4" i="64" s="1"/>
  <c r="G2" i="64"/>
  <c r="E2" i="64"/>
  <c r="DJ4" i="38"/>
  <c r="DH4" i="38"/>
  <c r="DG4" i="38"/>
  <c r="DF4" i="38"/>
  <c r="DE4" i="38"/>
  <c r="DI4" i="38" s="1"/>
  <c r="DD4" i="38"/>
  <c r="DB4" i="38"/>
  <c r="DK3" i="38"/>
  <c r="DK4" i="38" s="1"/>
  <c r="DC4" i="38" s="1"/>
  <c r="DJ3" i="38"/>
  <c r="DH3" i="38"/>
  <c r="DF3" i="38"/>
  <c r="DE3" i="38"/>
  <c r="DI3" i="38" s="1"/>
  <c r="DD3" i="38"/>
  <c r="DB3" i="38"/>
  <c r="DA3" i="38"/>
  <c r="DA4" i="38" s="1"/>
  <c r="G2" i="38"/>
  <c r="E2" i="38"/>
  <c r="DK3" i="37"/>
  <c r="DJ3" i="37"/>
  <c r="DG3" i="37" s="1"/>
  <c r="DH3" i="37"/>
  <c r="DF3" i="37"/>
  <c r="DE3" i="37"/>
  <c r="DI3" i="37" s="1"/>
  <c r="DD3" i="37"/>
  <c r="G2" i="37" s="1"/>
  <c r="DB3" i="37"/>
  <c r="DA3" i="37"/>
  <c r="DA4" i="37" s="1"/>
  <c r="F2" i="37"/>
  <c r="E2" i="37"/>
  <c r="DK3" i="29"/>
  <c r="DJ3" i="29"/>
  <c r="DI3" i="29"/>
  <c r="DH3" i="29"/>
  <c r="DF3" i="29"/>
  <c r="DE3" i="29"/>
  <c r="DD3" i="29"/>
  <c r="G2" i="29" s="1"/>
  <c r="DB3" i="29"/>
  <c r="DC3" i="29" s="1"/>
  <c r="DA3" i="29"/>
  <c r="DA4" i="29" s="1"/>
  <c r="F2" i="29"/>
  <c r="E2" i="29"/>
  <c r="DK3" i="36"/>
  <c r="DJ3" i="36"/>
  <c r="DH3" i="36"/>
  <c r="DG3" i="36"/>
  <c r="DF3" i="36"/>
  <c r="DE3" i="36"/>
  <c r="DI3" i="36" s="1"/>
  <c r="DD3" i="36"/>
  <c r="DC3" i="36"/>
  <c r="DB3" i="36"/>
  <c r="DA2" i="36"/>
  <c r="DA3" i="36" s="1"/>
  <c r="DA4" i="36" s="1"/>
  <c r="G2" i="36"/>
  <c r="E2" i="36"/>
  <c r="DK3" i="26"/>
  <c r="DJ3" i="26"/>
  <c r="DH3" i="26"/>
  <c r="DG3" i="26"/>
  <c r="DF3" i="26"/>
  <c r="DE3" i="26"/>
  <c r="DI3" i="26" s="1"/>
  <c r="DD3" i="26"/>
  <c r="G2" i="26" s="1"/>
  <c r="DC3" i="26"/>
  <c r="DB3" i="26"/>
  <c r="DA2" i="26"/>
  <c r="DA3" i="26" s="1"/>
  <c r="DA4" i="26" s="1"/>
  <c r="E2" i="26"/>
  <c r="DK3" i="33"/>
  <c r="DJ3" i="33"/>
  <c r="DH3" i="33"/>
  <c r="DG3" i="33"/>
  <c r="DF3" i="33"/>
  <c r="DE3" i="33"/>
  <c r="DI3" i="33" s="1"/>
  <c r="DD3" i="33"/>
  <c r="DC3" i="33"/>
  <c r="DB3" i="33"/>
  <c r="DA3" i="33"/>
  <c r="DA4" i="33" s="1"/>
  <c r="G2" i="33"/>
  <c r="E2" i="33"/>
  <c r="DK3" i="15"/>
  <c r="DJ3" i="15"/>
  <c r="DH3" i="15"/>
  <c r="DG3" i="15"/>
  <c r="DF3" i="15"/>
  <c r="DE3" i="15"/>
  <c r="DI3" i="15" s="1"/>
  <c r="DD3" i="15"/>
  <c r="G2" i="15" s="1"/>
  <c r="DB3" i="15"/>
  <c r="DA2" i="15"/>
  <c r="DA3" i="15" s="1"/>
  <c r="DA4" i="15" s="1"/>
  <c r="F2" i="15"/>
  <c r="E2" i="15"/>
  <c r="DK3" i="34"/>
  <c r="DC3" i="34" s="1"/>
  <c r="DJ3" i="34"/>
  <c r="DH3" i="34"/>
  <c r="DF3" i="34"/>
  <c r="DE3" i="34"/>
  <c r="DI3" i="34" s="1"/>
  <c r="DD3" i="34"/>
  <c r="G2" i="34" s="1"/>
  <c r="DB3" i="34"/>
  <c r="DA3" i="34"/>
  <c r="DA4" i="34" s="1"/>
  <c r="F2" i="34"/>
  <c r="E2" i="34"/>
  <c r="DK3" i="20"/>
  <c r="DJ3" i="20"/>
  <c r="DH3" i="20"/>
  <c r="DG3" i="20"/>
  <c r="DF3" i="20"/>
  <c r="DE3" i="20"/>
  <c r="DI3" i="20" s="1"/>
  <c r="DD3" i="20"/>
  <c r="G2" i="20" s="1"/>
  <c r="DB3" i="20"/>
  <c r="DC3" i="20" s="1"/>
  <c r="DA2" i="20"/>
  <c r="DA3" i="20" s="1"/>
  <c r="DA4" i="20" s="1"/>
  <c r="F2" i="20"/>
  <c r="E2" i="20"/>
  <c r="DK3" i="61"/>
  <c r="DJ3" i="61"/>
  <c r="DF3" i="61"/>
  <c r="DE3" i="61"/>
  <c r="DI3" i="61" s="1"/>
  <c r="DD3" i="61"/>
  <c r="DB3" i="61"/>
  <c r="DH3" i="61" s="1"/>
  <c r="DA3" i="61"/>
  <c r="DA4" i="61" s="1"/>
  <c r="G2" i="61"/>
  <c r="F2" i="61"/>
  <c r="H2" i="61" s="1"/>
  <c r="E2" i="61"/>
  <c r="DA4" i="25"/>
  <c r="DK3" i="25"/>
  <c r="DJ3" i="25"/>
  <c r="DH3" i="25"/>
  <c r="DG3" i="25"/>
  <c r="DF3" i="25"/>
  <c r="DE3" i="25"/>
  <c r="DI3" i="25" s="1"/>
  <c r="DD3" i="25"/>
  <c r="G2" i="25" s="1"/>
  <c r="H2" i="25" s="1"/>
  <c r="DB3" i="25"/>
  <c r="DC3" i="25" s="1"/>
  <c r="DA3" i="25"/>
  <c r="F2" i="25"/>
  <c r="E2" i="25"/>
  <c r="DK3" i="13"/>
  <c r="DJ3" i="13"/>
  <c r="DH3" i="13"/>
  <c r="DG3" i="13"/>
  <c r="DF3" i="13"/>
  <c r="DE3" i="13"/>
  <c r="DI3" i="13" s="1"/>
  <c r="DD3" i="13"/>
  <c r="G2" i="13" s="1"/>
  <c r="DC3" i="13"/>
  <c r="DB3" i="13"/>
  <c r="DA2" i="13"/>
  <c r="DA3" i="13" s="1"/>
  <c r="DA4" i="13" s="1"/>
  <c r="E2" i="13"/>
  <c r="DK3" i="7"/>
  <c r="DJ3" i="7"/>
  <c r="DH3" i="7"/>
  <c r="DG3" i="7"/>
  <c r="DF3" i="7"/>
  <c r="DE3" i="7"/>
  <c r="DI3" i="7" s="1"/>
  <c r="DD3" i="7"/>
  <c r="G2" i="7" s="1"/>
  <c r="DB3" i="7"/>
  <c r="DC3" i="7" s="1"/>
  <c r="DA2" i="7"/>
  <c r="DA3" i="7" s="1"/>
  <c r="DA4" i="7" s="1"/>
  <c r="E2" i="7"/>
  <c r="DK3" i="31"/>
  <c r="DJ3" i="31"/>
  <c r="DH3" i="31"/>
  <c r="DF3" i="31"/>
  <c r="DE3" i="31"/>
  <c r="DI3" i="31" s="1"/>
  <c r="DD3" i="31"/>
  <c r="G2" i="31" s="1"/>
  <c r="DB3" i="31"/>
  <c r="DA2" i="31"/>
  <c r="DA3" i="31" s="1"/>
  <c r="DA4" i="31" s="1"/>
  <c r="F2" i="31"/>
  <c r="E2" i="31"/>
  <c r="DK3" i="32"/>
  <c r="DJ3" i="32"/>
  <c r="DH3" i="32"/>
  <c r="DF3" i="32"/>
  <c r="DE3" i="32"/>
  <c r="DI3" i="32" s="1"/>
  <c r="DD3" i="32"/>
  <c r="G2" i="32" s="1"/>
  <c r="DB3" i="32"/>
  <c r="DC3" i="32" s="1"/>
  <c r="DA3" i="32"/>
  <c r="DA4" i="32" s="1"/>
  <c r="E2" i="32"/>
  <c r="DA4" i="16"/>
  <c r="DK3" i="16"/>
  <c r="DJ3" i="16"/>
  <c r="DH3" i="16"/>
  <c r="DG3" i="16"/>
  <c r="DF3" i="16"/>
  <c r="DE3" i="16"/>
  <c r="DI3" i="16" s="1"/>
  <c r="DD3" i="16"/>
  <c r="G2" i="16" s="1"/>
  <c r="H2" i="16" s="1"/>
  <c r="DB3" i="16"/>
  <c r="DC3" i="16" s="1"/>
  <c r="DA3" i="16"/>
  <c r="F2" i="16"/>
  <c r="E2" i="16"/>
  <c r="I2" i="16" s="1"/>
  <c r="DK3" i="1"/>
  <c r="DJ3" i="1"/>
  <c r="DH3" i="1"/>
  <c r="DG3" i="1"/>
  <c r="DF3" i="1"/>
  <c r="DE3" i="1"/>
  <c r="DI3" i="1" s="1"/>
  <c r="DD3" i="1"/>
  <c r="G2" i="1" s="1"/>
  <c r="DB3" i="1"/>
  <c r="DC3" i="1" s="1"/>
  <c r="DA3" i="1"/>
  <c r="DA4" i="1" s="1"/>
  <c r="F2" i="1"/>
  <c r="H2" i="1" s="1"/>
  <c r="E2" i="1"/>
  <c r="DA4" i="54"/>
  <c r="DK3" i="54"/>
  <c r="DJ3" i="54"/>
  <c r="DH3" i="54"/>
  <c r="DG3" i="54"/>
  <c r="DF3" i="54"/>
  <c r="DE3" i="54"/>
  <c r="DI3" i="54" s="1"/>
  <c r="DD3" i="54"/>
  <c r="G2" i="54" s="1"/>
  <c r="DB3" i="54"/>
  <c r="DC3" i="54" s="1"/>
  <c r="DA3" i="54"/>
  <c r="F2" i="54"/>
  <c r="E2" i="54"/>
  <c r="DK3" i="22"/>
  <c r="DJ3" i="22"/>
  <c r="DH3" i="22"/>
  <c r="DG3" i="22"/>
  <c r="DF3" i="22"/>
  <c r="DE3" i="22"/>
  <c r="DI3" i="22" s="1"/>
  <c r="DD3" i="22"/>
  <c r="DC3" i="22"/>
  <c r="DB3" i="22"/>
  <c r="DA3" i="22"/>
  <c r="DA4" i="22" s="1"/>
  <c r="G2" i="22"/>
  <c r="E2" i="22"/>
  <c r="DK3" i="24"/>
  <c r="DJ3" i="24"/>
  <c r="DH3" i="24"/>
  <c r="DG3" i="24"/>
  <c r="DF3" i="24"/>
  <c r="DE3" i="24"/>
  <c r="DI3" i="24" s="1"/>
  <c r="DD3" i="24"/>
  <c r="G2" i="24" s="1"/>
  <c r="H2" i="24" s="1"/>
  <c r="DB3" i="24"/>
  <c r="DA3" i="24"/>
  <c r="DA4" i="24" s="1"/>
  <c r="F2" i="24"/>
  <c r="E2" i="24"/>
  <c r="I2" i="24" s="1"/>
  <c r="DK3" i="10"/>
  <c r="DJ3" i="10"/>
  <c r="DH3" i="10"/>
  <c r="DG3" i="10"/>
  <c r="DF3" i="10"/>
  <c r="DE3" i="10"/>
  <c r="DI3" i="10" s="1"/>
  <c r="DD3" i="10"/>
  <c r="G2" i="10" s="1"/>
  <c r="DB3" i="10"/>
  <c r="DC3" i="10" s="1"/>
  <c r="DA3" i="10"/>
  <c r="DA4" i="10" s="1"/>
  <c r="E2" i="10"/>
  <c r="DK3" i="11"/>
  <c r="DJ3" i="11"/>
  <c r="DG3" i="11"/>
  <c r="DF3" i="11"/>
  <c r="DE3" i="11"/>
  <c r="DI3" i="11" s="1"/>
  <c r="DD3" i="11"/>
  <c r="G2" i="11" s="1"/>
  <c r="H2" i="11" s="1"/>
  <c r="DB3" i="11"/>
  <c r="DA2" i="11"/>
  <c r="DA3" i="11" s="1"/>
  <c r="DA4" i="11" s="1"/>
  <c r="F2" i="11"/>
  <c r="E2" i="11"/>
  <c r="DA4" i="5"/>
  <c r="DK3" i="5"/>
  <c r="DJ3" i="5"/>
  <c r="DH3" i="5"/>
  <c r="DG3" i="5"/>
  <c r="DF3" i="5"/>
  <c r="DE3" i="5"/>
  <c r="DI3" i="5" s="1"/>
  <c r="DD3" i="5"/>
  <c r="G2" i="5" s="1"/>
  <c r="DB3" i="5"/>
  <c r="DC3" i="5" s="1"/>
  <c r="DA3" i="5"/>
  <c r="F2" i="5"/>
  <c r="E2" i="5"/>
  <c r="DK3" i="14"/>
  <c r="DJ3" i="14"/>
  <c r="DH3" i="14"/>
  <c r="DG3" i="14"/>
  <c r="DF3" i="14"/>
  <c r="DE3" i="14"/>
  <c r="F2" i="14" s="1"/>
  <c r="DD3" i="14"/>
  <c r="DC3" i="14"/>
  <c r="DB3" i="14"/>
  <c r="DA2" i="14"/>
  <c r="DA3" i="14" s="1"/>
  <c r="DA4" i="14" s="1"/>
  <c r="G2" i="14"/>
  <c r="E2" i="14"/>
  <c r="DK3" i="9"/>
  <c r="DJ3" i="9"/>
  <c r="DH3" i="9"/>
  <c r="DG3" i="9"/>
  <c r="DF3" i="9"/>
  <c r="DE3" i="9"/>
  <c r="DI3" i="9" s="1"/>
  <c r="DD3" i="9"/>
  <c r="G2" i="9" s="1"/>
  <c r="DB3" i="9"/>
  <c r="DC3" i="9" s="1"/>
  <c r="DA2" i="9"/>
  <c r="DA3" i="9" s="1"/>
  <c r="DA4" i="9" s="1"/>
  <c r="E2" i="9"/>
  <c r="DJ4" i="19"/>
  <c r="DH4" i="19"/>
  <c r="DG4" i="19"/>
  <c r="DF4" i="19"/>
  <c r="DE4" i="19"/>
  <c r="DI4" i="19" s="1"/>
  <c r="DD4" i="19"/>
  <c r="DB4" i="19"/>
  <c r="DK3" i="19"/>
  <c r="DK4" i="19" s="1"/>
  <c r="DC4" i="19" s="1"/>
  <c r="DJ3" i="19"/>
  <c r="DG3" i="19" s="1"/>
  <c r="DH3" i="19"/>
  <c r="DF3" i="19"/>
  <c r="DE3" i="19"/>
  <c r="DI3" i="19" s="1"/>
  <c r="DD3" i="19"/>
  <c r="DB3" i="19"/>
  <c r="DA3" i="19"/>
  <c r="DA4" i="19" s="1"/>
  <c r="F2" i="19"/>
  <c r="E2" i="19"/>
  <c r="DK3" i="62"/>
  <c r="DJ3" i="62"/>
  <c r="DH3" i="62"/>
  <c r="DG3" i="62"/>
  <c r="DF3" i="62"/>
  <c r="DE3" i="62"/>
  <c r="DI3" i="62" s="1"/>
  <c r="DD3" i="62"/>
  <c r="G2" i="62" s="1"/>
  <c r="DB3" i="62"/>
  <c r="DC3" i="62" s="1"/>
  <c r="DA3" i="62"/>
  <c r="DA4" i="62" s="1"/>
  <c r="F2" i="62"/>
  <c r="E2" i="62"/>
  <c r="DK3" i="4"/>
  <c r="DJ3" i="4"/>
  <c r="DH3" i="4"/>
  <c r="DG3" i="4"/>
  <c r="DF3" i="4"/>
  <c r="DE3" i="4"/>
  <c r="F2" i="4" s="1"/>
  <c r="H2" i="4" s="1"/>
  <c r="DD3" i="4"/>
  <c r="G2" i="4" s="1"/>
  <c r="DB3" i="4"/>
  <c r="DC3" i="4" s="1"/>
  <c r="DA3" i="4"/>
  <c r="DA4" i="4" s="1"/>
  <c r="E2" i="4"/>
  <c r="DL4" i="23"/>
  <c r="DK3" i="23"/>
  <c r="DJ3" i="23"/>
  <c r="DI3" i="23"/>
  <c r="DF3" i="23"/>
  <c r="DE3" i="23"/>
  <c r="DD3" i="23"/>
  <c r="G2" i="23" s="1"/>
  <c r="DB3" i="23"/>
  <c r="DA2" i="23"/>
  <c r="DA3" i="23" s="1"/>
  <c r="DA4" i="23" s="1"/>
  <c r="F2" i="23"/>
  <c r="H2" i="23" s="1"/>
  <c r="E2" i="23"/>
  <c r="DK3" i="6"/>
  <c r="DJ3" i="6"/>
  <c r="DH3" i="6"/>
  <c r="DF3" i="6"/>
  <c r="DE3" i="6"/>
  <c r="DI3" i="6" s="1"/>
  <c r="DD3" i="6"/>
  <c r="DC3" i="6"/>
  <c r="DB3" i="6"/>
  <c r="DA3" i="6"/>
  <c r="DA4" i="6" s="1"/>
  <c r="G2" i="6"/>
  <c r="E2" i="6"/>
  <c r="DK3" i="3"/>
  <c r="DJ3" i="3"/>
  <c r="DH3" i="3"/>
  <c r="DG3" i="3"/>
  <c r="DF3" i="3"/>
  <c r="DE3" i="3"/>
  <c r="DI3" i="3" s="1"/>
  <c r="DD3" i="3"/>
  <c r="G2" i="3" s="1"/>
  <c r="DB3" i="3"/>
  <c r="DA2" i="3"/>
  <c r="DA3" i="3" s="1"/>
  <c r="DA4" i="3" s="1"/>
  <c r="F2" i="3"/>
  <c r="E2" i="3"/>
  <c r="DK3" i="27"/>
  <c r="DJ3" i="27"/>
  <c r="DH3" i="27"/>
  <c r="DG3" i="27"/>
  <c r="DF3" i="27"/>
  <c r="DE3" i="27"/>
  <c r="DI3" i="27" s="1"/>
  <c r="DD3" i="27"/>
  <c r="G2" i="27" s="1"/>
  <c r="DB3" i="27"/>
  <c r="DA2" i="27"/>
  <c r="DA3" i="27" s="1"/>
  <c r="DA4" i="27" s="1"/>
  <c r="F2" i="27"/>
  <c r="H2" i="27" s="1"/>
  <c r="E2" i="27"/>
  <c r="DK3" i="2"/>
  <c r="DJ3" i="2"/>
  <c r="DH3" i="2"/>
  <c r="DG3" i="2"/>
  <c r="DF3" i="2"/>
  <c r="DE3" i="2"/>
  <c r="DI3" i="2" s="1"/>
  <c r="DD3" i="2"/>
  <c r="G2" i="2" s="1"/>
  <c r="DB3" i="2"/>
  <c r="DA3" i="2"/>
  <c r="DA4" i="2" s="1"/>
  <c r="F2" i="2"/>
  <c r="E2" i="2"/>
  <c r="DK3" i="58"/>
  <c r="DJ3" i="58"/>
  <c r="DH3" i="58"/>
  <c r="DF3" i="58"/>
  <c r="DE3" i="58"/>
  <c r="F2" i="58" s="1"/>
  <c r="DD3" i="58"/>
  <c r="DB3" i="58"/>
  <c r="DA3" i="58"/>
  <c r="DA4" i="58" s="1"/>
  <c r="G2" i="58"/>
  <c r="E2" i="58"/>
  <c r="DA4" i="59"/>
  <c r="DK3" i="59"/>
  <c r="DJ3" i="59"/>
  <c r="DI3" i="59"/>
  <c r="DH3" i="59"/>
  <c r="DF3" i="59"/>
  <c r="DE3" i="59"/>
  <c r="DD3" i="59"/>
  <c r="DB3" i="59"/>
  <c r="DC3" i="59" s="1"/>
  <c r="DA3" i="59"/>
  <c r="G2" i="59"/>
  <c r="F2" i="59"/>
  <c r="E2" i="59"/>
  <c r="DK3" i="55"/>
  <c r="DJ3" i="55"/>
  <c r="DH3" i="55"/>
  <c r="DG3" i="55"/>
  <c r="DF3" i="55"/>
  <c r="DE3" i="55"/>
  <c r="DI3" i="55" s="1"/>
  <c r="DD3" i="55"/>
  <c r="G2" i="55" s="1"/>
  <c r="DB3" i="55"/>
  <c r="DC3" i="55" s="1"/>
  <c r="DA3" i="55"/>
  <c r="DA4" i="55" s="1"/>
  <c r="F2" i="55"/>
  <c r="E2" i="55"/>
  <c r="DA4" i="46"/>
  <c r="DK3" i="46"/>
  <c r="DJ3" i="46"/>
  <c r="DG3" i="46" s="1"/>
  <c r="DF3" i="46"/>
  <c r="DE3" i="46"/>
  <c r="DI3" i="46" s="1"/>
  <c r="DD3" i="46"/>
  <c r="G2" i="46" s="1"/>
  <c r="DB3" i="46"/>
  <c r="DA3" i="46"/>
  <c r="F2" i="46"/>
  <c r="E2" i="46"/>
  <c r="DK3" i="53"/>
  <c r="DJ3" i="53"/>
  <c r="DH3" i="53"/>
  <c r="DG3" i="53"/>
  <c r="DF3" i="53"/>
  <c r="DE3" i="53"/>
  <c r="DI3" i="53" s="1"/>
  <c r="DD3" i="53"/>
  <c r="DC3" i="53"/>
  <c r="DB3" i="53"/>
  <c r="DA3" i="53"/>
  <c r="DA4" i="53" s="1"/>
  <c r="G2" i="53"/>
  <c r="F2" i="53"/>
  <c r="H2" i="53" s="1"/>
  <c r="E2" i="53"/>
  <c r="DK3" i="51"/>
  <c r="DJ3" i="51"/>
  <c r="DF3" i="51"/>
  <c r="DE3" i="51"/>
  <c r="DI3" i="51" s="1"/>
  <c r="DD3" i="51"/>
  <c r="G2" i="51" s="1"/>
  <c r="DB3" i="51"/>
  <c r="DH3" i="51" s="1"/>
  <c r="DA3" i="51"/>
  <c r="DA4" i="51" s="1"/>
  <c r="E2" i="51"/>
  <c r="DA4" i="28"/>
  <c r="DK3" i="28"/>
  <c r="DJ3" i="28"/>
  <c r="DF3" i="28"/>
  <c r="DE3" i="28"/>
  <c r="DI3" i="28" s="1"/>
  <c r="DD3" i="28"/>
  <c r="DB3" i="28"/>
  <c r="DH3" i="28" s="1"/>
  <c r="DA3" i="28"/>
  <c r="G2" i="28"/>
  <c r="F2" i="28"/>
  <c r="H2" i="28" s="1"/>
  <c r="E2" i="28"/>
  <c r="DK3" i="47"/>
  <c r="DJ3" i="47"/>
  <c r="DG3" i="47" s="1"/>
  <c r="DH3" i="47"/>
  <c r="DF3" i="47"/>
  <c r="DE3" i="47"/>
  <c r="DI3" i="47" s="1"/>
  <c r="DD3" i="47"/>
  <c r="G2" i="47" s="1"/>
  <c r="H2" i="47" s="1"/>
  <c r="DB3" i="47"/>
  <c r="DA3" i="47"/>
  <c r="DA4" i="47" s="1"/>
  <c r="F2" i="47"/>
  <c r="E2" i="47"/>
  <c r="DK3" i="49"/>
  <c r="DJ3" i="49"/>
  <c r="DI3" i="49"/>
  <c r="DH3" i="49"/>
  <c r="DF3" i="49"/>
  <c r="DE3" i="49"/>
  <c r="DD3" i="49"/>
  <c r="G2" i="49" s="1"/>
  <c r="DB3" i="49"/>
  <c r="DC3" i="49" s="1"/>
  <c r="DA2" i="49"/>
  <c r="DA3" i="49" s="1"/>
  <c r="DA4" i="49" s="1"/>
  <c r="F2" i="49"/>
  <c r="H2" i="49" s="1"/>
  <c r="E2" i="49"/>
  <c r="DK3" i="48"/>
  <c r="DJ3" i="48"/>
  <c r="DH3" i="48"/>
  <c r="DG3" i="48"/>
  <c r="DF3" i="48"/>
  <c r="DE3" i="48"/>
  <c r="DI3" i="48" s="1"/>
  <c r="DD3" i="48"/>
  <c r="G2" i="48" s="1"/>
  <c r="DB3" i="48"/>
  <c r="DA2" i="48"/>
  <c r="DA3" i="48" s="1"/>
  <c r="DA4" i="48" s="1"/>
  <c r="F2" i="48"/>
  <c r="E2" i="48"/>
  <c r="DA4" i="45"/>
  <c r="DK3" i="45"/>
  <c r="DJ3" i="45"/>
  <c r="DH3" i="45"/>
  <c r="DF3" i="45"/>
  <c r="DE3" i="45"/>
  <c r="DD3" i="45"/>
  <c r="DB3" i="45"/>
  <c r="DC3" i="45" s="1"/>
  <c r="DA3" i="45"/>
  <c r="DA2" i="45"/>
  <c r="G2" i="45"/>
  <c r="E2" i="45"/>
  <c r="DK3" i="63"/>
  <c r="DJ3" i="63"/>
  <c r="DI3" i="63"/>
  <c r="DH3" i="63"/>
  <c r="DF3" i="63"/>
  <c r="DE3" i="63"/>
  <c r="DD3" i="63"/>
  <c r="G2" i="63" s="1"/>
  <c r="DB3" i="63"/>
  <c r="DA2" i="63"/>
  <c r="DA3" i="63" s="1"/>
  <c r="DA4" i="63" s="1"/>
  <c r="F2" i="63"/>
  <c r="E2" i="63"/>
  <c r="DA4" i="44"/>
  <c r="DK3" i="44"/>
  <c r="DJ3" i="44"/>
  <c r="DH3" i="44"/>
  <c r="DF3" i="44"/>
  <c r="DE3" i="44"/>
  <c r="DI3" i="44" s="1"/>
  <c r="DD3" i="44"/>
  <c r="G2" i="44" s="1"/>
  <c r="DB3" i="44"/>
  <c r="DC3" i="44" s="1"/>
  <c r="DA3" i="44"/>
  <c r="F2" i="44"/>
  <c r="H2" i="44" s="1"/>
  <c r="E2" i="44"/>
  <c r="DK3" i="50"/>
  <c r="DJ3" i="50"/>
  <c r="DH3" i="50"/>
  <c r="DF3" i="50"/>
  <c r="DE3" i="50"/>
  <c r="DI3" i="50" s="1"/>
  <c r="DD3" i="50"/>
  <c r="DB3" i="50"/>
  <c r="DC3" i="50" s="1"/>
  <c r="DA3" i="50"/>
  <c r="DA4" i="50" s="1"/>
  <c r="DA2" i="50"/>
  <c r="G2" i="50"/>
  <c r="F2" i="50"/>
  <c r="H2" i="50" s="1"/>
  <c r="I2" i="50" s="1"/>
  <c r="E2" i="50"/>
  <c r="DK3" i="43"/>
  <c r="DJ3" i="43"/>
  <c r="DG3" i="43" s="1"/>
  <c r="DI3" i="43"/>
  <c r="DF3" i="43"/>
  <c r="DE3" i="43"/>
  <c r="F2" i="43" s="1"/>
  <c r="H2" i="43" s="1"/>
  <c r="DD3" i="43"/>
  <c r="DB3" i="43"/>
  <c r="DH3" i="43" s="1"/>
  <c r="DA3" i="43"/>
  <c r="DA4" i="43" s="1"/>
  <c r="G2" i="43"/>
  <c r="E2" i="43"/>
  <c r="DA4" i="57"/>
  <c r="DK3" i="57"/>
  <c r="DJ3" i="57"/>
  <c r="DF3" i="57"/>
  <c r="DE3" i="57"/>
  <c r="DI3" i="57" s="1"/>
  <c r="DD3" i="57"/>
  <c r="G2" i="57" s="1"/>
  <c r="DB3" i="57"/>
  <c r="DH3" i="57" s="1"/>
  <c r="DA3" i="57"/>
  <c r="F2" i="57"/>
  <c r="E2" i="57"/>
  <c r="DK3" i="41"/>
  <c r="DJ3" i="41"/>
  <c r="DH3" i="41"/>
  <c r="DG3" i="41"/>
  <c r="DF3" i="41"/>
  <c r="DE3" i="41"/>
  <c r="DI3" i="41" s="1"/>
  <c r="DD3" i="41"/>
  <c r="G2" i="41" s="1"/>
  <c r="DB3" i="41"/>
  <c r="DC3" i="41" s="1"/>
  <c r="DA3" i="41"/>
  <c r="DA4" i="41" s="1"/>
  <c r="E2" i="41"/>
  <c r="DK3" i="42"/>
  <c r="DJ3" i="42"/>
  <c r="DH3" i="42"/>
  <c r="DG3" i="42"/>
  <c r="DF3" i="42"/>
  <c r="DE3" i="42"/>
  <c r="DI3" i="42" s="1"/>
  <c r="DD3" i="42"/>
  <c r="DB3" i="42"/>
  <c r="DC3" i="42" s="1"/>
  <c r="DA2" i="42"/>
  <c r="DA3" i="42" s="1"/>
  <c r="DA4" i="42" s="1"/>
  <c r="G2" i="42"/>
  <c r="E2" i="42"/>
  <c r="DK3" i="60"/>
  <c r="DJ3" i="60"/>
  <c r="DG3" i="60"/>
  <c r="DF3" i="60"/>
  <c r="DE3" i="60"/>
  <c r="DI3" i="60" s="1"/>
  <c r="DD3" i="60"/>
  <c r="DB3" i="60"/>
  <c r="DA3" i="60"/>
  <c r="DA4" i="60" s="1"/>
  <c r="G2" i="60"/>
  <c r="E2" i="60"/>
  <c r="DK3" i="56"/>
  <c r="DJ3" i="56"/>
  <c r="DH3" i="56"/>
  <c r="DF3" i="56"/>
  <c r="DE3" i="56"/>
  <c r="DI3" i="56" s="1"/>
  <c r="DD3" i="56"/>
  <c r="DB3" i="56"/>
  <c r="DA3" i="56"/>
  <c r="DA4" i="56" s="1"/>
  <c r="G2" i="56"/>
  <c r="E2" i="56"/>
  <c r="DK3" i="40"/>
  <c r="DJ3" i="40"/>
  <c r="DG3" i="40"/>
  <c r="DF3" i="40"/>
  <c r="DE3" i="40"/>
  <c r="DI3" i="40" s="1"/>
  <c r="DD3" i="40"/>
  <c r="DB3" i="40"/>
  <c r="DA3" i="40"/>
  <c r="DA4" i="40" s="1"/>
  <c r="G2" i="40"/>
  <c r="E2" i="40"/>
  <c r="DH3" i="40"/>
  <c r="DG3" i="51"/>
  <c r="DG3" i="44"/>
  <c r="DG3" i="50"/>
  <c r="DG3" i="34"/>
  <c r="DG3" i="38"/>
  <c r="DG3" i="61"/>
  <c r="DG3" i="28"/>
  <c r="DG3" i="59"/>
  <c r="DG3" i="57"/>
  <c r="DG3" i="31"/>
  <c r="DG3" i="6"/>
  <c r="DG3" i="32"/>
  <c r="DG3" i="58"/>
  <c r="DG3" i="45"/>
  <c r="DG3" i="29"/>
  <c r="DG3" i="56"/>
  <c r="DG3" i="49"/>
  <c r="DG3" i="63"/>
  <c r="DG3" i="23"/>
  <c r="F2" i="8" l="1"/>
  <c r="J4" i="8" s="1"/>
  <c r="I2" i="47"/>
  <c r="H2" i="55"/>
  <c r="DC3" i="28"/>
  <c r="F2" i="40"/>
  <c r="H2" i="40" s="1"/>
  <c r="F2" i="56"/>
  <c r="H2" i="56" s="1"/>
  <c r="I2" i="56" s="1"/>
  <c r="F2" i="60"/>
  <c r="H2" i="60" s="1"/>
  <c r="F2" i="41"/>
  <c r="H2" i="41" s="1"/>
  <c r="I2" i="41" s="1"/>
  <c r="DC3" i="51"/>
  <c r="H2" i="58"/>
  <c r="I2" i="58" s="1"/>
  <c r="DI3" i="58"/>
  <c r="H2" i="2"/>
  <c r="I2" i="2" s="1"/>
  <c r="DC3" i="27"/>
  <c r="F2" i="6"/>
  <c r="H2" i="6" s="1"/>
  <c r="H2" i="62"/>
  <c r="I2" i="62" s="1"/>
  <c r="F2" i="22"/>
  <c r="H2" i="22" s="1"/>
  <c r="H2" i="31"/>
  <c r="I2" i="31" s="1"/>
  <c r="DC3" i="15"/>
  <c r="G2" i="19"/>
  <c r="H2" i="19" s="1"/>
  <c r="I2" i="19" s="1"/>
  <c r="I2" i="34"/>
  <c r="I2" i="15"/>
  <c r="H2" i="15"/>
  <c r="F2" i="33"/>
  <c r="H2" i="33" s="1"/>
  <c r="DC3" i="38"/>
  <c r="H2" i="64"/>
  <c r="H2" i="5"/>
  <c r="I2" i="5" s="1"/>
  <c r="DC3" i="24"/>
  <c r="I2" i="32"/>
  <c r="H2" i="34"/>
  <c r="DC3" i="37"/>
  <c r="F2" i="38"/>
  <c r="H2" i="38" s="1"/>
  <c r="I2" i="38" s="1"/>
  <c r="H2" i="57"/>
  <c r="I2" i="23"/>
  <c r="H2" i="59"/>
  <c r="I2" i="59" s="1"/>
  <c r="I2" i="40"/>
  <c r="DC3" i="40"/>
  <c r="DC3" i="56"/>
  <c r="I2" i="60"/>
  <c r="DC3" i="60"/>
  <c r="F2" i="42"/>
  <c r="H2" i="63"/>
  <c r="H2" i="48"/>
  <c r="F2" i="51"/>
  <c r="H2" i="51" s="1"/>
  <c r="I2" i="51" s="1"/>
  <c r="DC3" i="58"/>
  <c r="DC3" i="2"/>
  <c r="DC3" i="3"/>
  <c r="I2" i="6"/>
  <c r="H2" i="14"/>
  <c r="I2" i="14" s="1"/>
  <c r="I2" i="22"/>
  <c r="F2" i="32"/>
  <c r="H2" i="32" s="1"/>
  <c r="DC3" i="31"/>
  <c r="DC3" i="61"/>
  <c r="H2" i="20"/>
  <c r="I2" i="20" s="1"/>
  <c r="H2" i="37"/>
  <c r="DC3" i="64"/>
  <c r="H2" i="66"/>
  <c r="I2" i="66" s="1"/>
  <c r="DI3" i="66"/>
  <c r="DH3" i="60"/>
  <c r="I2" i="44"/>
  <c r="I2" i="49"/>
  <c r="I2" i="27"/>
  <c r="DI3" i="4"/>
  <c r="I2" i="25"/>
  <c r="H2" i="42"/>
  <c r="I2" i="42" s="1"/>
  <c r="I2" i="57"/>
  <c r="DC3" i="43"/>
  <c r="I2" i="63"/>
  <c r="DC3" i="63"/>
  <c r="DI3" i="45"/>
  <c r="F2" i="45"/>
  <c r="H2" i="45" s="1"/>
  <c r="I2" i="45" s="1"/>
  <c r="DC3" i="47"/>
  <c r="I2" i="28"/>
  <c r="I2" i="53"/>
  <c r="H2" i="46"/>
  <c r="I2" i="46" s="1"/>
  <c r="DC3" i="46"/>
  <c r="DH3" i="46"/>
  <c r="I2" i="55"/>
  <c r="H2" i="3"/>
  <c r="I2" i="3" s="1"/>
  <c r="DC3" i="19"/>
  <c r="DI3" i="14"/>
  <c r="I2" i="11"/>
  <c r="DH3" i="11"/>
  <c r="DC3" i="11"/>
  <c r="F2" i="10"/>
  <c r="H2" i="10" s="1"/>
  <c r="I2" i="10" s="1"/>
  <c r="H2" i="54"/>
  <c r="I2" i="54" s="1"/>
  <c r="I2" i="1"/>
  <c r="I2" i="61"/>
  <c r="I2" i="37"/>
  <c r="DH3" i="23"/>
  <c r="DC3" i="23"/>
  <c r="I2" i="4"/>
  <c r="I2" i="64"/>
  <c r="DC3" i="57"/>
  <c r="I2" i="43"/>
  <c r="I2" i="48"/>
  <c r="DC3" i="48"/>
  <c r="I2" i="33"/>
  <c r="H2" i="29"/>
  <c r="I2" i="29" s="1"/>
  <c r="F2" i="9"/>
  <c r="H2" i="9" s="1"/>
  <c r="I2" i="9" s="1"/>
  <c r="F2" i="13"/>
  <c r="H2" i="13" s="1"/>
  <c r="I2" i="13" s="1"/>
  <c r="F2" i="26"/>
  <c r="H2" i="26" s="1"/>
  <c r="I2" i="26" s="1"/>
  <c r="DI3" i="64"/>
  <c r="F2" i="7"/>
  <c r="H2" i="7" s="1"/>
  <c r="I2" i="7" s="1"/>
  <c r="F2" i="36"/>
  <c r="H2" i="36" s="1"/>
  <c r="I2" i="36" s="1"/>
</calcChain>
</file>

<file path=xl/sharedStrings.xml><?xml version="1.0" encoding="utf-8"?>
<sst xmlns="http://schemas.openxmlformats.org/spreadsheetml/2006/main" count="8799" uniqueCount="3178">
  <si>
    <t>Entry For Import</t>
  </si>
  <si>
    <t xml:space="preserve">Import Receipt Entry </t>
  </si>
  <si>
    <t>Import Payment Entry</t>
  </si>
  <si>
    <t>Total Entry Import</t>
  </si>
  <si>
    <t>All Data Import Successfully</t>
  </si>
  <si>
    <t>Bank Name</t>
  </si>
  <si>
    <t/>
  </si>
  <si>
    <t>Vou.Dt</t>
  </si>
  <si>
    <t>Vou.No.</t>
  </si>
  <si>
    <t>Withdwol</t>
  </si>
  <si>
    <t>Diposit</t>
  </si>
  <si>
    <t>Balance</t>
  </si>
  <si>
    <t>Chq No.</t>
  </si>
  <si>
    <t>Chq Dt</t>
  </si>
  <si>
    <t>A/c.</t>
  </si>
  <si>
    <t xml:space="preserve">Narration </t>
  </si>
  <si>
    <t>Sr No</t>
  </si>
  <si>
    <t>Txn Date</t>
  </si>
  <si>
    <t>Value Date</t>
  </si>
  <si>
    <t>Description</t>
  </si>
  <si>
    <t>Ref No./Cheque No.</t>
  </si>
  <si>
    <t xml:space="preserve">        Debit</t>
  </si>
  <si>
    <t>Credit</t>
  </si>
  <si>
    <t>S.N.</t>
  </si>
  <si>
    <t>Tran. Id</t>
  </si>
  <si>
    <t>Transaction Date</t>
  </si>
  <si>
    <t>Transaction Posted Date</t>
  </si>
  <si>
    <t>Cheque. No./Ref. No.</t>
  </si>
  <si>
    <t>Transaction Remarks</t>
  </si>
  <si>
    <t>Withdrawal Amt (INR)</t>
  </si>
  <si>
    <t>Deposit Amt (INR)</t>
  </si>
  <si>
    <t>Balance (INR)</t>
  </si>
  <si>
    <t>Date</t>
  </si>
  <si>
    <t>Narration</t>
  </si>
  <si>
    <t>Chq./Ref.No.</t>
  </si>
  <si>
    <t>Value Dt</t>
  </si>
  <si>
    <t>Withdrawal Amt.</t>
  </si>
  <si>
    <t>Deposit Amt.</t>
  </si>
  <si>
    <t>Closing Balance</t>
  </si>
  <si>
    <t>Tran Date</t>
  </si>
  <si>
    <t>CHQNO</t>
  </si>
  <si>
    <t>PARTICULARS</t>
  </si>
  <si>
    <t>DR</t>
  </si>
  <si>
    <t>CR</t>
  </si>
  <si>
    <t>BAL</t>
  </si>
  <si>
    <t>SOL</t>
  </si>
  <si>
    <t>Srl</t>
  </si>
  <si>
    <t>Cheque No</t>
  </si>
  <si>
    <t>CR/DR</t>
  </si>
  <si>
    <t>CCY</t>
  </si>
  <si>
    <t>Amount (INR)</t>
  </si>
  <si>
    <t>DATE</t>
  </si>
  <si>
    <t>NARRATION</t>
  </si>
  <si>
    <t>CHQ.NO.</t>
  </si>
  <si>
    <t>WITHDRAWAL(DR)</t>
  </si>
  <si>
    <t>DEPOSIT(CR)</t>
  </si>
  <si>
    <t>BALANCE(INR)</t>
  </si>
  <si>
    <t>Total Entry</t>
  </si>
  <si>
    <t>Bank Receipt</t>
  </si>
  <si>
    <t>Bank Payment</t>
  </si>
  <si>
    <t>ICICI Bank A/c.</t>
  </si>
  <si>
    <t>Axis Bank A/c.</t>
  </si>
  <si>
    <t>IDBI Bank A/c.</t>
  </si>
  <si>
    <t>SBI Bank A/c.</t>
  </si>
  <si>
    <t>HDFC Bank A/c.</t>
  </si>
  <si>
    <t>Kotak Bank A/c.</t>
  </si>
  <si>
    <t>Bank of Baroda A/c.</t>
  </si>
  <si>
    <t>Cheque No/Reference No</t>
  </si>
  <si>
    <t>Withdrawals</t>
  </si>
  <si>
    <t>Deposits</t>
  </si>
  <si>
    <t>Running Balance</t>
  </si>
  <si>
    <t xml:space="preserve">Yesh Bank </t>
  </si>
  <si>
    <t>Post Date</t>
  </si>
  <si>
    <t>Remitter Branch</t>
  </si>
  <si>
    <t>Cheque No.</t>
  </si>
  <si>
    <t>Debit Amount</t>
  </si>
  <si>
    <t>Credit Amount</t>
  </si>
  <si>
    <t>Indian Bank</t>
  </si>
  <si>
    <t>Sl. No.</t>
  </si>
  <si>
    <t>Chq / Ref number</t>
  </si>
  <si>
    <t>Amount</t>
  </si>
  <si>
    <t>Dr / Cr</t>
  </si>
  <si>
    <r>
      <rPr>
        <b/>
        <sz val="8"/>
        <rFont val="Times New Roman"/>
        <family val="1"/>
      </rPr>
      <t>Date</t>
    </r>
  </si>
  <si>
    <r>
      <rPr>
        <b/>
        <sz val="8"/>
        <rFont val="Times New Roman"/>
        <family val="1"/>
      </rPr>
      <t>Effective Date</t>
    </r>
  </si>
  <si>
    <r>
      <rPr>
        <b/>
        <sz val="8"/>
        <rFont val="Times New Roman"/>
        <family val="1"/>
      </rPr>
      <t>Cheque/Sequence Number</t>
    </r>
  </si>
  <si>
    <r>
      <rPr>
        <b/>
        <sz val="8"/>
        <rFont val="Times New Roman"/>
        <family val="1"/>
      </rPr>
      <t>Branch</t>
    </r>
  </si>
  <si>
    <r>
      <rPr>
        <b/>
        <sz val="8"/>
        <rFont val="Times New Roman"/>
        <family val="1"/>
      </rPr>
      <t>Description</t>
    </r>
  </si>
  <si>
    <r>
      <rPr>
        <b/>
        <sz val="8"/>
        <rFont val="Times New Roman"/>
        <family val="1"/>
      </rPr>
      <t xml:space="preserve">Withdrawal
</t>
    </r>
    <r>
      <rPr>
        <b/>
        <sz val="8"/>
        <rFont val="Times New Roman"/>
        <family val="1"/>
      </rPr>
      <t>Amt.</t>
    </r>
  </si>
  <si>
    <r>
      <rPr>
        <b/>
        <sz val="8"/>
        <rFont val="Times New Roman"/>
        <family val="1"/>
      </rPr>
      <t>Deposit Amt.</t>
    </r>
  </si>
  <si>
    <r>
      <rPr>
        <b/>
        <sz val="8"/>
        <rFont val="Times New Roman"/>
        <family val="1"/>
      </rPr>
      <t>Balance</t>
    </r>
  </si>
  <si>
    <t>Bandhan Bank</t>
  </si>
  <si>
    <t>Current Account</t>
  </si>
  <si>
    <t>Savings Accounts</t>
  </si>
  <si>
    <t>Indusind Bank</t>
  </si>
  <si>
    <t>Sr.No.</t>
  </si>
  <si>
    <t>Type</t>
  </si>
  <si>
    <t xml:space="preserve"> Description</t>
  </si>
  <si>
    <t xml:space="preserve"> Debit </t>
  </si>
  <si>
    <t xml:space="preserve">Credit </t>
  </si>
  <si>
    <t>Cheque/Ref No.</t>
  </si>
  <si>
    <t>Debit</t>
  </si>
  <si>
    <t>Closing Bal</t>
  </si>
  <si>
    <t>The Varachha Co-op. Bank A/c.</t>
  </si>
  <si>
    <t>Bank of India A/c.</t>
  </si>
  <si>
    <t>No.</t>
  </si>
  <si>
    <t>ChequeNo.</t>
  </si>
  <si>
    <t>Cr/Dr</t>
  </si>
  <si>
    <t>Amount(INR)</t>
  </si>
  <si>
    <t>Balance(INR)</t>
  </si>
  <si>
    <t>Axis Bank A/c. (Cur)</t>
  </si>
  <si>
    <t>Rajkot Nagarik Sahakari Bank A/c.</t>
  </si>
  <si>
    <r>
      <rPr>
        <b/>
        <sz val="12"/>
        <color rgb="FFFF0000"/>
        <rFont val="Arial"/>
        <family val="2"/>
      </rPr>
      <t>Date</t>
    </r>
  </si>
  <si>
    <r>
      <rPr>
        <b/>
        <sz val="12"/>
        <color rgb="FFFF0000"/>
        <rFont val="Arial"/>
        <family val="2"/>
      </rPr>
      <t>Particulars</t>
    </r>
  </si>
  <si>
    <r>
      <rPr>
        <b/>
        <sz val="12"/>
        <color rgb="FFFF0000"/>
        <rFont val="Arial"/>
        <family val="2"/>
      </rPr>
      <t>Debit</t>
    </r>
  </si>
  <si>
    <r>
      <rPr>
        <b/>
        <sz val="12"/>
        <color rgb="FFFF0000"/>
        <rFont val="Arial"/>
        <family val="2"/>
      </rPr>
      <t>Credit</t>
    </r>
  </si>
  <si>
    <r>
      <rPr>
        <b/>
        <sz val="12"/>
        <color rgb="FFFF0000"/>
        <rFont val="Arial"/>
        <family val="2"/>
      </rPr>
      <t>Balance</t>
    </r>
  </si>
  <si>
    <t>RBL Bank A/c.</t>
  </si>
  <si>
    <t>Transaction Details</t>
  </si>
  <si>
    <t>Cheque ID</t>
  </si>
  <si>
    <t>Withdrawl Amt</t>
  </si>
  <si>
    <t>Deposit Amt</t>
  </si>
  <si>
    <t>Balance (₹)</t>
  </si>
  <si>
    <t>Chq / Ref No.</t>
  </si>
  <si>
    <t>IDFC First</t>
  </si>
  <si>
    <t>Instrument ID</t>
  </si>
  <si>
    <t>Remarks</t>
  </si>
  <si>
    <t>ZZSDG</t>
  </si>
  <si>
    <t>PNB A/c.</t>
  </si>
  <si>
    <r>
      <rPr>
        <sz val="9"/>
        <rFont val="Arial MT"/>
        <family val="2"/>
      </rPr>
      <t>Sr.No.</t>
    </r>
  </si>
  <si>
    <r>
      <rPr>
        <sz val="9"/>
        <rFont val="Arial MT"/>
        <family val="2"/>
      </rPr>
      <t>Date</t>
    </r>
  </si>
  <si>
    <r>
      <rPr>
        <sz val="9"/>
        <rFont val="Arial MT"/>
        <family val="2"/>
      </rPr>
      <t>Particulars</t>
    </r>
  </si>
  <si>
    <r>
      <rPr>
        <sz val="9"/>
        <rFont val="Arial MT"/>
        <family val="2"/>
      </rPr>
      <t>Chq./Ref. Number</t>
    </r>
  </si>
  <si>
    <r>
      <rPr>
        <sz val="9"/>
        <rFont val="Arial MT"/>
        <family val="2"/>
      </rPr>
      <t>Debit</t>
    </r>
  </si>
  <si>
    <r>
      <rPr>
        <sz val="9"/>
        <rFont val="Arial MT"/>
        <family val="2"/>
      </rPr>
      <t>Credit</t>
    </r>
  </si>
  <si>
    <r>
      <rPr>
        <sz val="9"/>
        <rFont val="Arial MT"/>
        <family val="2"/>
      </rPr>
      <t>Closing Balance</t>
    </r>
  </si>
  <si>
    <t>THE SURAT DISTRICT CO-OP. BANK LTD.</t>
  </si>
  <si>
    <t>S No.</t>
  </si>
  <si>
    <t>Cheque Number</t>
  </si>
  <si>
    <t>Withdrawal Amount (INR )</t>
  </si>
  <si>
    <t>Deposit Amount (INR )</t>
  </si>
  <si>
    <t>Balance (INR )</t>
  </si>
  <si>
    <t>ICICI Bank A/c. (Saving)</t>
  </si>
  <si>
    <t>Union Bank of India A/c.</t>
  </si>
  <si>
    <t xml:space="preserve">Pending Entry </t>
  </si>
  <si>
    <t>Prime Co-op. Bank A/c.</t>
  </si>
  <si>
    <t>Central Bank of India</t>
  </si>
  <si>
    <t>Branch Code</t>
  </si>
  <si>
    <t>Account Description</t>
  </si>
  <si>
    <t>Particulars</t>
  </si>
  <si>
    <t>Chq. No.</t>
  </si>
  <si>
    <t xml:space="preserve">UCO Bank </t>
  </si>
  <si>
    <t>Surat National Co-op. Bank Ltd.</t>
  </si>
  <si>
    <t>Federal Bank</t>
  </si>
  <si>
    <t>Tran Type</t>
  </si>
  <si>
    <t>Cheque Details</t>
  </si>
  <si>
    <t>Withdrawal</t>
  </si>
  <si>
    <t>Deposit</t>
  </si>
  <si>
    <t>Balance Amount</t>
  </si>
  <si>
    <t>Description/Narration</t>
  </si>
  <si>
    <t>Value date</t>
  </si>
  <si>
    <t>Chq./Ref. No.</t>
  </si>
  <si>
    <t>Debit(Dr.)</t>
  </si>
  <si>
    <t>Credit(Cr.)</t>
  </si>
  <si>
    <t>AU SMALL FINANCE BANK</t>
  </si>
  <si>
    <t>DCB Bank A/c.</t>
  </si>
  <si>
    <t>Withdrawals(INR)</t>
  </si>
  <si>
    <t>Deposits(INR)</t>
  </si>
  <si>
    <t>B6</t>
  </si>
  <si>
    <t>A18</t>
  </si>
  <si>
    <t>H</t>
  </si>
  <si>
    <t>I</t>
  </si>
  <si>
    <t>J</t>
  </si>
  <si>
    <t xml:space="preserve">Last File Path </t>
  </si>
  <si>
    <t>F</t>
  </si>
  <si>
    <t>G</t>
  </si>
  <si>
    <t>Cr.</t>
  </si>
  <si>
    <t>Dr.</t>
  </si>
  <si>
    <t>,</t>
  </si>
  <si>
    <t>Db.</t>
  </si>
  <si>
    <t>"U" "V" "W"</t>
  </si>
  <si>
    <t>B9</t>
  </si>
  <si>
    <t>A23</t>
  </si>
  <si>
    <t>E</t>
  </si>
  <si>
    <t>C:\Users\ADITYA\Desktop\Ecomm\Bank Statement\HDFC BANK.xls</t>
  </si>
  <si>
    <t>A20</t>
  </si>
  <si>
    <t>C</t>
  </si>
  <si>
    <t>C:\Users\ADITYA\Desktop\Ecomm\Bank Statement\PNB.xlsx</t>
  </si>
  <si>
    <t>A24</t>
  </si>
  <si>
    <t>C:\Users\ADITYA\Desktop\Ecomm\Bank Statement\indian .xls</t>
  </si>
  <si>
    <t>Transaction Particulars</t>
  </si>
  <si>
    <t xml:space="preserve"> Amount(INR)</t>
  </si>
  <si>
    <t>DR|CR</t>
  </si>
  <si>
    <t>Branch Name</t>
  </si>
  <si>
    <t>B14</t>
  </si>
  <si>
    <t>A12</t>
  </si>
  <si>
    <t>C:\Users\ADITYA\Desktop\Ecomm\Bank Statement\Fedral Bank .xls</t>
  </si>
  <si>
    <t>C:\Users\ADITYA\Desktop\Ecomm\Bank Statement\SNCB.xls</t>
  </si>
  <si>
    <t>A15</t>
  </si>
  <si>
    <t>D</t>
  </si>
  <si>
    <t>C:\Users\ADITYA\Desktop\Ecomm\Bank Statement\Uco Bank .xls</t>
  </si>
  <si>
    <t xml:space="preserve">Bank Name </t>
  </si>
  <si>
    <t>A21</t>
  </si>
  <si>
    <t>C7</t>
  </si>
  <si>
    <t>C:\Users\ADITYA\Desktop\Ecomm\Bank Statement\IDBI BANK - ACURA.xls</t>
  </si>
  <si>
    <t>K</t>
  </si>
  <si>
    <t>A22</t>
  </si>
  <si>
    <t>C:\Users\ADITYA\Desktop\Ecomm\Bank Statement\yes bank cr.xls</t>
  </si>
  <si>
    <t>C:\Users\ADITYA\Desktop\Ecomm\Bank Statement\IDFCFIRST.xlsx</t>
  </si>
  <si>
    <t>B26</t>
  </si>
  <si>
    <t>C:\Users\ADITYA\Desktop\Ecomm\Bank Statement\RBL.xls</t>
  </si>
  <si>
    <t>A19</t>
  </si>
  <si>
    <t>C:\Users\ADITYA\Desktop\Ecomm\Bank Statement\BOI.xlsx</t>
  </si>
  <si>
    <t>C:\Users\ADITYA\Desktop\Ecomm\Bank Statement\ICICI Cur.xlsx</t>
  </si>
  <si>
    <t>C:\Users\ADITYA\Desktop\Ecomm\Bank Statement\prime bank.xls</t>
  </si>
  <si>
    <t>C:\Users\ADITYA\Desktop\Ecomm\Bank Statement\dcbbank.xls</t>
  </si>
  <si>
    <t>C:\Users\ADITYA\Desktop\Ecomm\Bank Statement\axis bank .xls</t>
  </si>
  <si>
    <t>B18</t>
  </si>
  <si>
    <t>\\ADITYA-TECH\All Sharing\A Party Backup\PATIDAR\Report-20240617190457.xlsx</t>
  </si>
  <si>
    <t>Saraswat Bank</t>
  </si>
  <si>
    <r>
      <rPr>
        <b/>
        <sz val="6.5"/>
        <rFont val="Arial"/>
        <family val="2"/>
      </rPr>
      <t>Value Date</t>
    </r>
  </si>
  <si>
    <r>
      <rPr>
        <b/>
        <sz val="6.5"/>
        <rFont val="Arial"/>
        <family val="2"/>
      </rPr>
      <t>Particulars</t>
    </r>
  </si>
  <si>
    <r>
      <rPr>
        <b/>
        <sz val="6.5"/>
        <rFont val="Arial"/>
        <family val="2"/>
      </rPr>
      <t>Location</t>
    </r>
  </si>
  <si>
    <r>
      <rPr>
        <b/>
        <sz val="6.5"/>
        <rFont val="Arial"/>
        <family val="2"/>
      </rPr>
      <t>Chq.No</t>
    </r>
  </si>
  <si>
    <r>
      <rPr>
        <b/>
        <sz val="6.5"/>
        <rFont val="Arial"/>
        <family val="2"/>
      </rPr>
      <t>Withdrawals</t>
    </r>
  </si>
  <si>
    <r>
      <rPr>
        <b/>
        <sz val="6.5"/>
        <rFont val="Arial"/>
        <family val="2"/>
      </rPr>
      <t>Deposits</t>
    </r>
  </si>
  <si>
    <r>
      <rPr>
        <b/>
        <sz val="6.5"/>
        <rFont val="Arial"/>
        <family val="2"/>
      </rPr>
      <t>Balance (INR)</t>
    </r>
  </si>
  <si>
    <t>N</t>
  </si>
  <si>
    <r>
      <rPr>
        <b/>
        <sz val="7"/>
        <rFont val="Arial"/>
        <family val="2"/>
      </rPr>
      <t>Srl</t>
    </r>
  </si>
  <si>
    <r>
      <rPr>
        <b/>
        <sz val="7"/>
        <rFont val="Arial"/>
        <family val="2"/>
      </rPr>
      <t>Txn Date</t>
    </r>
  </si>
  <si>
    <r>
      <rPr>
        <b/>
        <sz val="7"/>
        <rFont val="Arial"/>
        <family val="2"/>
      </rPr>
      <t>Value Date</t>
    </r>
  </si>
  <si>
    <r>
      <rPr>
        <b/>
        <sz val="7"/>
        <rFont val="Arial"/>
        <family val="2"/>
      </rPr>
      <t>Description</t>
    </r>
  </si>
  <si>
    <r>
      <rPr>
        <b/>
        <sz val="7"/>
        <rFont val="Arial"/>
        <family val="2"/>
      </rPr>
      <t>Cheque No</t>
    </r>
  </si>
  <si>
    <r>
      <rPr>
        <b/>
        <sz val="7"/>
        <rFont val="Arial"/>
        <family val="2"/>
      </rPr>
      <t>CR/DR</t>
    </r>
  </si>
  <si>
    <r>
      <rPr>
        <b/>
        <sz val="7"/>
        <rFont val="Arial"/>
        <family val="2"/>
      </rPr>
      <t>CC Y</t>
    </r>
  </si>
  <si>
    <r>
      <rPr>
        <b/>
        <sz val="7"/>
        <rFont val="Arial"/>
        <family val="2"/>
      </rPr>
      <t>Amount (INR)</t>
    </r>
  </si>
  <si>
    <r>
      <rPr>
        <b/>
        <sz val="7"/>
        <rFont val="Arial"/>
        <family val="2"/>
      </rPr>
      <t>Balance (INR)</t>
    </r>
  </si>
  <si>
    <t>L</t>
  </si>
  <si>
    <t>M</t>
  </si>
  <si>
    <t>Withdrawl</t>
  </si>
  <si>
    <r>
      <rPr>
        <sz val="10"/>
        <rFont val="Arial MT"/>
        <family val="2"/>
      </rPr>
      <t>Date</t>
    </r>
  </si>
  <si>
    <r>
      <rPr>
        <sz val="10"/>
        <rFont val="Arial MT"/>
        <family val="2"/>
      </rPr>
      <t>Narration</t>
    </r>
  </si>
  <si>
    <r>
      <rPr>
        <sz val="10"/>
        <rFont val="Arial MT"/>
        <family val="2"/>
      </rPr>
      <t>Chq/Ref No</t>
    </r>
  </si>
  <si>
    <r>
      <rPr>
        <sz val="10"/>
        <rFont val="Arial MT"/>
        <family val="2"/>
      </rPr>
      <t>Withdrawal (Dr)/ Deposit (Cr)</t>
    </r>
  </si>
  <si>
    <r>
      <rPr>
        <sz val="10"/>
        <rFont val="Arial MT"/>
        <family val="2"/>
      </rPr>
      <t>Balance</t>
    </r>
  </si>
  <si>
    <r>
      <rPr>
        <b/>
        <sz val="9"/>
        <rFont val="Arial"/>
        <family val="2"/>
      </rPr>
      <t>Txn Date</t>
    </r>
  </si>
  <si>
    <r>
      <rPr>
        <b/>
        <sz val="9"/>
        <rFont val="Arial"/>
        <family val="2"/>
      </rPr>
      <t>Value Date</t>
    </r>
  </si>
  <si>
    <r>
      <rPr>
        <b/>
        <sz val="9"/>
        <rFont val="Arial"/>
        <family val="2"/>
      </rPr>
      <t>Description</t>
    </r>
  </si>
  <si>
    <r>
      <rPr>
        <b/>
        <sz val="9"/>
        <rFont val="Arial"/>
        <family val="2"/>
      </rPr>
      <t>Ref No./Cheque No.</t>
    </r>
  </si>
  <si>
    <r>
      <rPr>
        <b/>
        <sz val="9"/>
        <rFont val="Arial"/>
        <family val="2"/>
      </rPr>
      <t>Branch Code</t>
    </r>
  </si>
  <si>
    <r>
      <rPr>
        <b/>
        <sz val="9"/>
        <rFont val="Arial"/>
        <family val="2"/>
      </rPr>
      <t>Debit</t>
    </r>
  </si>
  <si>
    <r>
      <rPr>
        <b/>
        <sz val="9"/>
        <rFont val="Arial"/>
        <family val="2"/>
      </rPr>
      <t>Credit</t>
    </r>
  </si>
  <si>
    <r>
      <rPr>
        <b/>
        <sz val="9"/>
        <rFont val="Arial"/>
        <family val="2"/>
      </rPr>
      <t>Balance</t>
    </r>
  </si>
  <si>
    <r>
      <rPr>
        <sz val="10"/>
        <rFont val="Arial MT"/>
        <family val="2"/>
      </rPr>
      <t>Tran Date</t>
    </r>
  </si>
  <si>
    <r>
      <rPr>
        <sz val="10"/>
        <rFont val="Arial MT"/>
        <family val="2"/>
      </rPr>
      <t>Value Date</t>
    </r>
  </si>
  <si>
    <r>
      <rPr>
        <sz val="8"/>
        <rFont val="Arial MT"/>
        <family val="2"/>
      </rPr>
      <t>TR-Mode- Instr.No</t>
    </r>
  </si>
  <si>
    <r>
      <rPr>
        <sz val="10"/>
        <rFont val="Arial MT"/>
        <family val="2"/>
      </rPr>
      <t>Particulars</t>
    </r>
  </si>
  <si>
    <r>
      <rPr>
        <sz val="10"/>
        <rFont val="Arial MT"/>
        <family val="2"/>
      </rPr>
      <t>Debit Amt.</t>
    </r>
  </si>
  <si>
    <r>
      <rPr>
        <sz val="10"/>
        <rFont val="Arial MT"/>
        <family val="2"/>
      </rPr>
      <t>Credit Amt.</t>
    </r>
  </si>
  <si>
    <t>B</t>
  </si>
  <si>
    <t>A</t>
  </si>
  <si>
    <r>
      <rPr>
        <sz val="12"/>
        <rFont val="Arial MT"/>
        <family val="2"/>
      </rPr>
      <t>Date</t>
    </r>
  </si>
  <si>
    <r>
      <rPr>
        <sz val="12"/>
        <rFont val="Arial MT"/>
        <family val="2"/>
      </rPr>
      <t>Description/Narration</t>
    </r>
  </si>
  <si>
    <r>
      <rPr>
        <sz val="12"/>
        <rFont val="Arial MT"/>
        <family val="2"/>
      </rPr>
      <t>Value date</t>
    </r>
  </si>
  <si>
    <r>
      <rPr>
        <sz val="12"/>
        <rFont val="Arial MT"/>
        <family val="2"/>
      </rPr>
      <t>Chq./Ref. No.</t>
    </r>
  </si>
  <si>
    <r>
      <rPr>
        <sz val="12"/>
        <rFont val="Arial MT"/>
        <family val="2"/>
      </rPr>
      <t>Debit(Dr.)</t>
    </r>
  </si>
  <si>
    <r>
      <rPr>
        <sz val="12"/>
        <rFont val="Arial MT"/>
        <family val="2"/>
      </rPr>
      <t>Credit(Cr.)</t>
    </r>
  </si>
  <si>
    <r>
      <rPr>
        <sz val="12"/>
        <rFont val="Arial MT"/>
        <family val="2"/>
      </rPr>
      <t>Balance</t>
    </r>
  </si>
  <si>
    <r>
      <rPr>
        <b/>
        <sz val="8"/>
        <rFont val="Arial"/>
        <family val="2"/>
      </rPr>
      <t>S.No</t>
    </r>
  </si>
  <si>
    <r>
      <rPr>
        <b/>
        <sz val="8"/>
        <rFont val="Arial"/>
        <family val="2"/>
      </rPr>
      <t>Txn Date</t>
    </r>
  </si>
  <si>
    <r>
      <rPr>
        <b/>
        <sz val="8"/>
        <rFont val="Arial"/>
        <family val="2"/>
      </rPr>
      <t>Value Date</t>
    </r>
  </si>
  <si>
    <r>
      <rPr>
        <b/>
        <sz val="8"/>
        <rFont val="Arial"/>
        <family val="2"/>
      </rPr>
      <t>Description</t>
    </r>
  </si>
  <si>
    <r>
      <rPr>
        <b/>
        <sz val="8"/>
        <rFont val="Arial"/>
        <family val="2"/>
      </rPr>
      <t>Cheque No</t>
    </r>
  </si>
  <si>
    <r>
      <rPr>
        <b/>
        <sz val="8"/>
        <rFont val="Arial"/>
        <family val="2"/>
      </rPr>
      <t>Withdrawals (Dr)</t>
    </r>
  </si>
  <si>
    <r>
      <rPr>
        <b/>
        <sz val="8"/>
        <rFont val="Arial"/>
        <family val="2"/>
      </rPr>
      <t>Deposits (Cr)</t>
    </r>
  </si>
  <si>
    <r>
      <rPr>
        <b/>
        <sz val="8"/>
        <rFont val="Arial"/>
        <family val="2"/>
      </rPr>
      <t>Balance (INR)</t>
    </r>
  </si>
  <si>
    <r>
      <rPr>
        <b/>
        <i/>
        <sz val="9"/>
        <rFont val="Calibri"/>
        <family val="1"/>
      </rPr>
      <t>SI</t>
    </r>
  </si>
  <si>
    <r>
      <rPr>
        <b/>
        <i/>
        <sz val="9"/>
        <rFont val="Calibri"/>
        <family val="1"/>
      </rPr>
      <t>Date</t>
    </r>
  </si>
  <si>
    <r>
      <rPr>
        <b/>
        <i/>
        <sz val="9"/>
        <rFont val="Calibri"/>
        <family val="1"/>
      </rPr>
      <t>Particulars</t>
    </r>
  </si>
  <si>
    <r>
      <rPr>
        <b/>
        <i/>
        <sz val="9"/>
        <rFont val="Calibri"/>
        <family val="1"/>
      </rPr>
      <t>Chq Num</t>
    </r>
  </si>
  <si>
    <r>
      <rPr>
        <b/>
        <i/>
        <sz val="9"/>
        <rFont val="Calibri"/>
        <family val="1"/>
      </rPr>
      <t>Withdrawal</t>
    </r>
  </si>
  <si>
    <r>
      <rPr>
        <b/>
        <i/>
        <sz val="9"/>
        <rFont val="Calibri"/>
        <family val="1"/>
      </rPr>
      <t>Deposit</t>
    </r>
  </si>
  <si>
    <r>
      <rPr>
        <b/>
        <i/>
        <sz val="9"/>
        <rFont val="Calibri"/>
        <family val="1"/>
      </rPr>
      <t>Balance</t>
    </r>
  </si>
  <si>
    <t>Sr No.</t>
  </si>
  <si>
    <t xml:space="preserve">Union Bank </t>
  </si>
  <si>
    <r>
      <rPr>
        <sz val="6.5"/>
        <rFont val="Arial"/>
        <family val="2"/>
      </rPr>
      <t>Date</t>
    </r>
  </si>
  <si>
    <r>
      <rPr>
        <sz val="6.5"/>
        <rFont val="Arial"/>
        <family val="2"/>
      </rPr>
      <t>Narration</t>
    </r>
  </si>
  <si>
    <r>
      <rPr>
        <sz val="6.5"/>
        <rFont val="Arial"/>
        <family val="2"/>
      </rPr>
      <t>Cheque No./Ref.No</t>
    </r>
  </si>
  <si>
    <r>
      <rPr>
        <sz val="6.5"/>
        <rFont val="Arial"/>
        <family val="2"/>
      </rPr>
      <t>Withdrawal</t>
    </r>
  </si>
  <si>
    <r>
      <rPr>
        <sz val="6.5"/>
        <rFont val="Arial"/>
        <family val="2"/>
      </rPr>
      <t>Deposit</t>
    </r>
  </si>
  <si>
    <r>
      <rPr>
        <sz val="6.5"/>
        <rFont val="Arial"/>
        <family val="2"/>
      </rPr>
      <t>Balance</t>
    </r>
  </si>
  <si>
    <t xml:space="preserve">The Varachha Co.Op. Bank </t>
  </si>
  <si>
    <t>B15</t>
  </si>
  <si>
    <t>C:\Users\ADITYA\Desktop\Ecomm\Bank Statement\Union Saving Excle .xls</t>
  </si>
  <si>
    <t>Tran Id</t>
  </si>
  <si>
    <t>UTR Number</t>
  </si>
  <si>
    <t>Instr. Id</t>
  </si>
  <si>
    <t>TRANSACTION</t>
  </si>
  <si>
    <t>TRANSACTION DETAILS</t>
  </si>
  <si>
    <t>CHQ / REF NO.</t>
  </si>
  <si>
    <t>DEBIT(₹)</t>
  </si>
  <si>
    <t>CREDIT(₹)</t>
  </si>
  <si>
    <t>BALANCE(₹)</t>
  </si>
  <si>
    <t>Sr</t>
  </si>
  <si>
    <t>Chq.No.</t>
  </si>
  <si>
    <t>Autosweep</t>
  </si>
  <si>
    <t>Reverse Sweep</t>
  </si>
  <si>
    <r>
      <rPr>
        <b/>
        <sz val="8"/>
        <rFont val="Arial"/>
        <family val="2"/>
      </rPr>
      <t>Tran Date</t>
    </r>
  </si>
  <si>
    <r>
      <rPr>
        <b/>
        <sz val="8"/>
        <rFont val="Arial"/>
        <family val="2"/>
      </rPr>
      <t>Value  Date</t>
    </r>
  </si>
  <si>
    <r>
      <rPr>
        <b/>
        <sz val="8"/>
        <rFont val="Arial"/>
        <family val="2"/>
      </rPr>
      <t>Transaction Details</t>
    </r>
  </si>
  <si>
    <r>
      <rPr>
        <b/>
        <sz val="8"/>
        <rFont val="Arial"/>
        <family val="2"/>
      </rPr>
      <t>Chq. No.</t>
    </r>
  </si>
  <si>
    <r>
      <rPr>
        <b/>
        <sz val="8"/>
        <rFont val="Arial"/>
        <family val="2"/>
      </rPr>
      <t>Amount (In Rs.)</t>
    </r>
  </si>
  <si>
    <r>
      <rPr>
        <b/>
        <sz val="8"/>
        <rFont val="Arial"/>
        <family val="2"/>
      </rPr>
      <t>Dr/Cr</t>
    </r>
  </si>
  <si>
    <r>
      <rPr>
        <b/>
        <sz val="8"/>
        <rFont val="Arial"/>
        <family val="2"/>
      </rPr>
      <t>Balance (In Rs.)</t>
    </r>
  </si>
  <si>
    <r>
      <rPr>
        <b/>
        <sz val="8"/>
        <rFont val="Arial"/>
        <family val="2"/>
      </rPr>
      <t xml:space="preserve">Branch  Name </t>
    </r>
  </si>
  <si>
    <t>CENTRAL BANK OF INDIA</t>
  </si>
  <si>
    <r>
      <rPr>
        <sz val="11"/>
        <rFont val="Arial MT"/>
        <family val="2"/>
      </rPr>
      <t>Post Date</t>
    </r>
  </si>
  <si>
    <r>
      <rPr>
        <sz val="11"/>
        <rFont val="Arial MT"/>
        <family val="2"/>
      </rPr>
      <t>Value Date</t>
    </r>
  </si>
  <si>
    <r>
      <rPr>
        <sz val="11"/>
        <rFont val="Arial MT"/>
        <family val="2"/>
      </rPr>
      <t>Branch Code</t>
    </r>
  </si>
  <si>
    <r>
      <rPr>
        <sz val="11"/>
        <rFont val="Arial MT"/>
        <family val="2"/>
      </rPr>
      <t>Cheque Number</t>
    </r>
  </si>
  <si>
    <r>
      <rPr>
        <sz val="11"/>
        <rFont val="Arial MT"/>
        <family val="2"/>
      </rPr>
      <t>Account Description</t>
    </r>
  </si>
  <si>
    <r>
      <rPr>
        <sz val="11"/>
        <rFont val="Arial MT"/>
        <family val="2"/>
      </rPr>
      <t>Debit</t>
    </r>
  </si>
  <si>
    <r>
      <rPr>
        <sz val="11"/>
        <rFont val="Arial MT"/>
        <family val="2"/>
      </rPr>
      <t>Credit</t>
    </r>
  </si>
  <si>
    <r>
      <rPr>
        <sz val="11"/>
        <rFont val="Arial MT"/>
        <family val="2"/>
      </rPr>
      <t>Balance</t>
    </r>
  </si>
  <si>
    <r>
      <rPr>
        <b/>
        <sz val="9"/>
        <rFont val="Arial"/>
        <family val="2"/>
      </rPr>
      <t>Narration</t>
    </r>
  </si>
  <si>
    <r>
      <rPr>
        <b/>
        <sz val="9"/>
        <rFont val="Arial"/>
        <family val="2"/>
      </rPr>
      <t>Chq/Ref No.</t>
    </r>
  </si>
  <si>
    <r>
      <rPr>
        <b/>
        <sz val="9"/>
        <rFont val="Arial"/>
        <family val="2"/>
      </rPr>
      <t>Withdrawal (Dr)</t>
    </r>
  </si>
  <si>
    <r>
      <rPr>
        <b/>
        <sz val="9"/>
        <rFont val="Arial"/>
        <family val="2"/>
      </rPr>
      <t>Deposit (Cr)</t>
    </r>
  </si>
  <si>
    <t>Tran ID</t>
  </si>
  <si>
    <t>Cheque no/  RefNo</t>
  </si>
  <si>
    <t>Withdrawl (Dr)</t>
  </si>
  <si>
    <t>Deposit (Cr)</t>
  </si>
  <si>
    <t>Txn No.</t>
  </si>
  <si>
    <t>Dr Amount</t>
  </si>
  <si>
    <t>Cr Amount</t>
  </si>
  <si>
    <t>KIMS Remarks</t>
  </si>
  <si>
    <t>02-04-2023</t>
  </si>
  <si>
    <t>-</t>
  </si>
  <si>
    <t>UPI/P2A/309158152957/RONAL TRA/Union Ban/job</t>
  </si>
  <si>
    <t xml:space="preserve">             16800.00</t>
  </si>
  <si>
    <t xml:space="preserve"> </t>
  </si>
  <si>
    <t xml:space="preserve">          1247374.56</t>
  </si>
  <si>
    <t>3732</t>
  </si>
  <si>
    <t>UPI/P2A/309139743635/RAMANATH /Union Ban/Payment</t>
  </si>
  <si>
    <t xml:space="preserve">              8000.00</t>
  </si>
  <si>
    <t xml:space="preserve">          1239374.56</t>
  </si>
  <si>
    <t>UPI/P2M/309176273657/ROHIT CAR/HDFC BANK/UPI</t>
  </si>
  <si>
    <t xml:space="preserve">             35000.00</t>
  </si>
  <si>
    <t xml:space="preserve">          1204374.56</t>
  </si>
  <si>
    <t>UPI/P2A/309214672283/VIRENDRA /Union Ban/UPI</t>
  </si>
  <si>
    <t xml:space="preserve">               500.00</t>
  </si>
  <si>
    <t xml:space="preserve">          1203874.56</t>
  </si>
  <si>
    <t>03-04-2023</t>
  </si>
  <si>
    <t>UPI/P2A/309347103647/KANJIBHAI/Bank of B/table</t>
  </si>
  <si>
    <t xml:space="preserve">              3675.00</t>
  </si>
  <si>
    <t xml:space="preserve">          1200199.56</t>
  </si>
  <si>
    <t>04-04-2023</t>
  </si>
  <si>
    <t>UPI/P2A/309459756909/VIRENDRA /Union Ban/ashish</t>
  </si>
  <si>
    <t xml:space="preserve">              1500.00</t>
  </si>
  <si>
    <t xml:space="preserve">          1198699.56</t>
  </si>
  <si>
    <t>UPI/P2A/309473808633/CHIRAG NA/State Ban/help</t>
  </si>
  <si>
    <t xml:space="preserve">             50000.00</t>
  </si>
  <si>
    <t xml:space="preserve">          1148699.56</t>
  </si>
  <si>
    <t>05-04-2023</t>
  </si>
  <si>
    <t>UPI/P2A/309511094780/RAHUL KUM/State Ban/UPI</t>
  </si>
  <si>
    <t xml:space="preserve">              1000.00</t>
  </si>
  <si>
    <t xml:space="preserve">          1147699.56</t>
  </si>
  <si>
    <t>UPI/P2A/309511109589/CHIRAG NA/State Ban/UPI</t>
  </si>
  <si>
    <t xml:space="preserve">          1097699.56</t>
  </si>
  <si>
    <t>ACH-DR-TP ACH IIL-1113915297-UTIB7020912210002553</t>
  </si>
  <si>
    <t xml:space="preserve">              2950.00</t>
  </si>
  <si>
    <t xml:space="preserve">          1094749.56</t>
  </si>
  <si>
    <t>UPI/P2M/309522162038/BHAGVAN P/Paytm Pay/UPI</t>
  </si>
  <si>
    <t xml:space="preserve">               160.00</t>
  </si>
  <si>
    <t xml:space="preserve">          1094589.56</t>
  </si>
  <si>
    <t>UPI/P2M/309522246258/BHAGVAN P/Paytm Pay/UPI</t>
  </si>
  <si>
    <t xml:space="preserve">                80.00</t>
  </si>
  <si>
    <t xml:space="preserve">          1094509.56</t>
  </si>
  <si>
    <t>06-04-2023</t>
  </si>
  <si>
    <t>UPI/P2A/309647123294/DHAVAL AS/The Varac/UPI</t>
  </si>
  <si>
    <t xml:space="preserve">             37000.00</t>
  </si>
  <si>
    <t xml:space="preserve">          1057509.56</t>
  </si>
  <si>
    <t>07-04-2023</t>
  </si>
  <si>
    <t>NEFT/MB/AXMB230979193232/pratik babadiyaOthers</t>
  </si>
  <si>
    <t xml:space="preserve">            150000.00</t>
  </si>
  <si>
    <t xml:space="preserve">           907509.56</t>
  </si>
  <si>
    <t>NEFT/SPCBN23097011124/k p enterprise//ATTN/bill</t>
  </si>
  <si>
    <t xml:space="preserve">             33941.00</t>
  </si>
  <si>
    <t xml:space="preserve">           941450.56</t>
  </si>
  <si>
    <t>248</t>
  </si>
  <si>
    <t>UPI/P2A/309786457920/D K CARDS/Surat Peo/UPI</t>
  </si>
  <si>
    <t xml:space="preserve">              1200.00</t>
  </si>
  <si>
    <t xml:space="preserve">           940250.56</t>
  </si>
  <si>
    <t>08-04-2023</t>
  </si>
  <si>
    <t>NEFT/MB/AXMB230989519497/pratik babadiyaOthers-gs</t>
  </si>
  <si>
    <t xml:space="preserve">             39594.00</t>
  </si>
  <si>
    <t xml:space="preserve">           900656.56</t>
  </si>
  <si>
    <t>NEFT/MB/AXMB230989522450/Rinkal sperparts</t>
  </si>
  <si>
    <t xml:space="preserve">              4366.00</t>
  </si>
  <si>
    <t xml:space="preserve">           896290.56</t>
  </si>
  <si>
    <t>NEFT/MB/AXMB230989584945/GIPL SALESOthers-k p ent</t>
  </si>
  <si>
    <t xml:space="preserve">             26992.00</t>
  </si>
  <si>
    <t xml:space="preserve">           869298.56</t>
  </si>
  <si>
    <t>09-04-2023</t>
  </si>
  <si>
    <t>UPI/P2A/309961197051/SHIBHAJI /Airtel Pa/Payment</t>
  </si>
  <si>
    <t xml:space="preserve">              3000.00</t>
  </si>
  <si>
    <t xml:space="preserve">           866298.56</t>
  </si>
  <si>
    <t>UPI/P2A/309944620763/PRINCE KU/Union Ban/UPI</t>
  </si>
  <si>
    <t xml:space="preserve">           865798.56</t>
  </si>
  <si>
    <t>UPI/P2A/309962018006/VIKASH KU/Union Ban/UPI</t>
  </si>
  <si>
    <t xml:space="preserve">               170.00</t>
  </si>
  <si>
    <t xml:space="preserve">           865628.56</t>
  </si>
  <si>
    <t>10-04-2023</t>
  </si>
  <si>
    <t>UPI/P2A/310092822428/VIKASH KU/Union Ban/ashish</t>
  </si>
  <si>
    <t xml:space="preserve">              2900.00</t>
  </si>
  <si>
    <t xml:space="preserve">           862728.56</t>
  </si>
  <si>
    <t>UPI/P2A/346618489940/VIKASH KU/Union Ban/vikas</t>
  </si>
  <si>
    <t xml:space="preserve">             11000.00</t>
  </si>
  <si>
    <t xml:space="preserve">           851728.56</t>
  </si>
  <si>
    <t>UPI/P2A/310094028458/VIKASH KU/Union Ban/Payment</t>
  </si>
  <si>
    <t xml:space="preserve">              9866.00</t>
  </si>
  <si>
    <t xml:space="preserve">           841862.56</t>
  </si>
  <si>
    <t>UPI/P2A/310091930033/VIKASH KU/Union Ban/Payment</t>
  </si>
  <si>
    <t xml:space="preserve">              3366.00</t>
  </si>
  <si>
    <t xml:space="preserve">           838496.56</t>
  </si>
  <si>
    <t>UPI/P2A/310093176470/PRINCE KU/Union Ban/prince</t>
  </si>
  <si>
    <t xml:space="preserve">              5625.00</t>
  </si>
  <si>
    <t xml:space="preserve">           832871.56</t>
  </si>
  <si>
    <t>UPI/P2A/310094593165/SHIVDAS  /State Ban/UPI</t>
  </si>
  <si>
    <t xml:space="preserve">              2100.00</t>
  </si>
  <si>
    <t xml:space="preserve">           830771.56</t>
  </si>
  <si>
    <t>UPI/P2A/310099123527/UPENDRA K/India Pos/UPI</t>
  </si>
  <si>
    <t xml:space="preserve">              5000.00</t>
  </si>
  <si>
    <t xml:space="preserve">           825771.56</t>
  </si>
  <si>
    <t>11-04-2023</t>
  </si>
  <si>
    <t>UPI/P2A/310116224134/VIKASH KU/Union Ban/ravi</t>
  </si>
  <si>
    <t xml:space="preserve">             11050.00</t>
  </si>
  <si>
    <t xml:space="preserve">           814721.56</t>
  </si>
  <si>
    <t xml:space="preserve">           77943</t>
  </si>
  <si>
    <t>BRN-CLG-CHQ PAID TO RINKAL NIKUNJ H/HDFC BANK LTD.</t>
  </si>
  <si>
    <t xml:space="preserve">             99000.00</t>
  </si>
  <si>
    <t xml:space="preserve">           715721.56</t>
  </si>
  <si>
    <t>2567</t>
  </si>
  <si>
    <t>NEFT/MB/AXMB231011068367/GIPL SALES</t>
  </si>
  <si>
    <t xml:space="preserve">            127438.00</t>
  </si>
  <si>
    <t xml:space="preserve">           588283.56</t>
  </si>
  <si>
    <t>12-04-2023</t>
  </si>
  <si>
    <t>NEFT/MB/AXMB231021203641/yamuna computerOthers-ya</t>
  </si>
  <si>
    <t xml:space="preserve">              7500.00</t>
  </si>
  <si>
    <t xml:space="preserve">           580783.56</t>
  </si>
  <si>
    <t>UPI/P2M/310264223840/Shree sai/Paytm Pay/UPI</t>
  </si>
  <si>
    <t xml:space="preserve">               324.00</t>
  </si>
  <si>
    <t xml:space="preserve">           580459.56</t>
  </si>
  <si>
    <t xml:space="preserve">             550</t>
  </si>
  <si>
    <t>By Clg 000550 641  Surat</t>
  </si>
  <si>
    <t xml:space="preserve">              9731.00</t>
  </si>
  <si>
    <t xml:space="preserve">           590190.56</t>
  </si>
  <si>
    <t>14-04-2023</t>
  </si>
  <si>
    <t>UPI/P2A/310419992597/Ravi  /Fino Paym/UPI</t>
  </si>
  <si>
    <t xml:space="preserve">               660.00</t>
  </si>
  <si>
    <t xml:space="preserve">           589530.56</t>
  </si>
  <si>
    <t>NEFT/MB/AXMB231042286579/Atmiya reyon</t>
  </si>
  <si>
    <t xml:space="preserve">              7860.00</t>
  </si>
  <si>
    <t xml:space="preserve">           581670.56</t>
  </si>
  <si>
    <t>15-04-2023</t>
  </si>
  <si>
    <t>UPI/P2A/310546977289/UPENDRA K/India Pos/UPI</t>
  </si>
  <si>
    <t xml:space="preserve">           580170.56</t>
  </si>
  <si>
    <t>UPI/P2A/310564289747/SHIVDAS  /State Ban/UPI</t>
  </si>
  <si>
    <t xml:space="preserve">                 1.00</t>
  </si>
  <si>
    <t xml:space="preserve">           580169.56</t>
  </si>
  <si>
    <t>GST @18% on Charge</t>
  </si>
  <si>
    <t xml:space="preserve">                18.00</t>
  </si>
  <si>
    <t xml:space="preserve">           580151.56</t>
  </si>
  <si>
    <t>Consolidated Charges for A/c</t>
  </si>
  <si>
    <t xml:space="preserve">               100.00</t>
  </si>
  <si>
    <t xml:space="preserve">           580051.56</t>
  </si>
  <si>
    <t>19-04-2023</t>
  </si>
  <si>
    <t>NEFT/MB/AXMB231093878337/Rameshbhai DobariyaOther</t>
  </si>
  <si>
    <t xml:space="preserve">             15000.00</t>
  </si>
  <si>
    <t xml:space="preserve">           565051.56</t>
  </si>
  <si>
    <t>20-04-2023</t>
  </si>
  <si>
    <t>UPI/P2M/311035722751/Roopam Ha/Axis Bank/hardwar</t>
  </si>
  <si>
    <t xml:space="preserve">               713.00</t>
  </si>
  <si>
    <t xml:space="preserve">           564338.56</t>
  </si>
  <si>
    <t>23-04-2023</t>
  </si>
  <si>
    <t>UPI/P2A/347967087011/PRINCE KU/Union Ban/UPI</t>
  </si>
  <si>
    <t xml:space="preserve">           564238.56</t>
  </si>
  <si>
    <t>24-04-2023</t>
  </si>
  <si>
    <t>UPI/P2M/311435108535/PATEL GEN/ICICI Ban/UPI</t>
  </si>
  <si>
    <t xml:space="preserve">               205.00</t>
  </si>
  <si>
    <t xml:space="preserve">           564033.56</t>
  </si>
  <si>
    <t>25-04-2023</t>
  </si>
  <si>
    <t>UPI/P2A/311523741179/SANJAYBHA/State Ban/UPI</t>
  </si>
  <si>
    <t xml:space="preserve">           561033.56</t>
  </si>
  <si>
    <t>UPI/P2M/348139945973/HARSHADBH/Federal B/Pay to</t>
  </si>
  <si>
    <t xml:space="preserve">              2000.00</t>
  </si>
  <si>
    <t xml:space="preserve">           559033.56</t>
  </si>
  <si>
    <t>UPI/P2A/348183142908/BARAVALIY/Paytm Pay/UPI</t>
  </si>
  <si>
    <t xml:space="preserve">             13800.00</t>
  </si>
  <si>
    <t xml:space="preserve">           545233.56</t>
  </si>
  <si>
    <t>UPI/P2A/348183142908/920020062659737/250423</t>
  </si>
  <si>
    <t>UPI/P2A/311532341367/BARAVALIY/Paytm Pay/UPI</t>
  </si>
  <si>
    <t>UPI/P2A/311532341367/920020062659737/250423</t>
  </si>
  <si>
    <t>UPI/P2A/311586542700/BARAVALIY/Paytm Pay/UPI</t>
  </si>
  <si>
    <t>UPI/P2A/311586542700/920020062659737/250423</t>
  </si>
  <si>
    <t>UPI/P2M/311510940587/HARSHADBH/Federal B/Pay to</t>
  </si>
  <si>
    <t xml:space="preserve">           557033.56</t>
  </si>
  <si>
    <t>UPI/P2M/311543240071/HARSHADBH/Federal B/UPI</t>
  </si>
  <si>
    <t xml:space="preserve">           555033.56</t>
  </si>
  <si>
    <t>UPI/P2M/311538441852/HARSHADBH/Federal B/UPI</t>
  </si>
  <si>
    <t xml:space="preserve">           553033.56</t>
  </si>
  <si>
    <t>UPI/P2M/311529948312/HARSHADBH/Federal B/UPI</t>
  </si>
  <si>
    <t xml:space="preserve">           551033.56</t>
  </si>
  <si>
    <t>UPI/P2M/348142047059/HARSHADBH/Federal B/UPI</t>
  </si>
  <si>
    <t xml:space="preserve">           549033.56</t>
  </si>
  <si>
    <t>UPI/P2M/348196744715/HARSHADBH/Federal B/UPI</t>
  </si>
  <si>
    <t xml:space="preserve">           547033.56</t>
  </si>
  <si>
    <t>UPI/P2M/311501037819/HARSHADBH/Federal B/UPI</t>
  </si>
  <si>
    <t xml:space="preserve">              1800.00</t>
  </si>
  <si>
    <t>UPI/P2A/311524545308/CHIRAG NA/State Ban/UPI</t>
  </si>
  <si>
    <t xml:space="preserve">           595233.56</t>
  </si>
  <si>
    <t>UPI/P2A/311577248485/NISHA MAU/Axis Bank/UPI</t>
  </si>
  <si>
    <t xml:space="preserve">             13500.00</t>
  </si>
  <si>
    <t xml:space="preserve">           581733.56</t>
  </si>
  <si>
    <t>UPI/P2A/311529399976/NISHA MAU/Axis Bank/UPI</t>
  </si>
  <si>
    <t xml:space="preserve">              2500.00</t>
  </si>
  <si>
    <t xml:space="preserve">           579233.56</t>
  </si>
  <si>
    <t>UPI/P2A/348129754325/VIRENDRA /Union Ban/kalu</t>
  </si>
  <si>
    <t xml:space="preserve">           574233.56</t>
  </si>
  <si>
    <t>NEFT/MB/AXMB231156194384/Rajnis DobariyaOthers-kh</t>
  </si>
  <si>
    <t xml:space="preserve">              3510.00</t>
  </si>
  <si>
    <t xml:space="preserve">           570723.56</t>
  </si>
  <si>
    <t>UPI/P2A/311518454768/PRINCE KU/Union Ban/UPI</t>
  </si>
  <si>
    <t xml:space="preserve">               600.00</t>
  </si>
  <si>
    <t xml:space="preserve">           570123.56</t>
  </si>
  <si>
    <t>UPI/P2A/348136652142/SUSHIL/Union Ban/abhishek</t>
  </si>
  <si>
    <t xml:space="preserve">              4000.00</t>
  </si>
  <si>
    <t xml:space="preserve">           566123.56</t>
  </si>
  <si>
    <t>UPI/P2A/311501856859/RAKESH KU/India Pos/rakesh</t>
  </si>
  <si>
    <t xml:space="preserve">           561123.56</t>
  </si>
  <si>
    <t>UPI/P2A/311523258636/RAKESH KU/India Pos/avdhesh</t>
  </si>
  <si>
    <t xml:space="preserve">           559123.56</t>
  </si>
  <si>
    <t>UPI/P2A/348170860400/VIKASH KU/Union Ban/ashish</t>
  </si>
  <si>
    <t xml:space="preserve">              5150.00</t>
  </si>
  <si>
    <t xml:space="preserve">           553973.56</t>
  </si>
  <si>
    <t>26-04-2023</t>
  </si>
  <si>
    <t>UPI/P2A/311644576048/SHIBHAJI /Airtel Pa/Payment</t>
  </si>
  <si>
    <t xml:space="preserve">           548973.56</t>
  </si>
  <si>
    <t>UPI/P2A/311681374256/VIRENDRA /Union Ban/UPI</t>
  </si>
  <si>
    <t xml:space="preserve">           533973.56</t>
  </si>
  <si>
    <t>UPI/P2A/311635598168/VIKASH KU/Union Ban/vikas</t>
  </si>
  <si>
    <t xml:space="preserve">           525973.56</t>
  </si>
  <si>
    <t>UPI/P2A/311618171010/VIRENDRA /Union Ban/ashish</t>
  </si>
  <si>
    <t xml:space="preserve">           520973.56</t>
  </si>
  <si>
    <t>UPI/P2A/311674174093/SHIBHAJI /Airtel Pa/Payment</t>
  </si>
  <si>
    <t xml:space="preserve">           515973.56</t>
  </si>
  <si>
    <t>UPI/P2A/348267972503/Subhakar /Bank of B/shubhak</t>
  </si>
  <si>
    <t xml:space="preserve">           510973.56</t>
  </si>
  <si>
    <t>UPI/P2A/311650966884/CHIRAG NA/State Ban/UPI</t>
  </si>
  <si>
    <t xml:space="preserve">             40000.00</t>
  </si>
  <si>
    <t xml:space="preserve">           550973.56</t>
  </si>
  <si>
    <t>UPI/P2A/311668408714/PRINCE KU/Union Ban/UPI</t>
  </si>
  <si>
    <t xml:space="preserve">           551473.56</t>
  </si>
  <si>
    <t>UPI/P2A/348206094304/NARESHBHA/Federal B/UPI</t>
  </si>
  <si>
    <t xml:space="preserve">             38285.00</t>
  </si>
  <si>
    <t xml:space="preserve">           513188.56</t>
  </si>
  <si>
    <t>27-04-2023</t>
  </si>
  <si>
    <t>UPI/P2A/311780264037/UPENDRA K/India Pos/Payment</t>
  </si>
  <si>
    <t xml:space="preserve">           511188.56</t>
  </si>
  <si>
    <t>UPI/P2A/311787658740/DOBARIYA /Bank of B/UPI</t>
  </si>
  <si>
    <t xml:space="preserve">           511788.56</t>
  </si>
  <si>
    <t>UPI/P2A/311757157409/ARTEE DHA/State Ban/UPI</t>
  </si>
  <si>
    <t xml:space="preserve">           509788.56</t>
  </si>
  <si>
    <t>UPI/P2A/311757184032/ARTEE DHA/State Ban/UPI</t>
  </si>
  <si>
    <t xml:space="preserve">           507788.56</t>
  </si>
  <si>
    <t>UPI/P2A/311757199796/ARTEE DHA/State Ban/UPI</t>
  </si>
  <si>
    <t xml:space="preserve">           506288.56</t>
  </si>
  <si>
    <t>28-04-2023</t>
  </si>
  <si>
    <t xml:space="preserve">           77944</t>
  </si>
  <si>
    <t>SAK/CASH WDL/SAK341784351/4901/SELF</t>
  </si>
  <si>
    <t xml:space="preserve">            160000.00</t>
  </si>
  <si>
    <t xml:space="preserve">           346288.56</t>
  </si>
  <si>
    <t>4901</t>
  </si>
  <si>
    <t>UPI/P2A/311828578883/CHIRAG NA/State Ban/UPI</t>
  </si>
  <si>
    <t xml:space="preserve">             10000.00</t>
  </si>
  <si>
    <t xml:space="preserve">           356288.56</t>
  </si>
  <si>
    <t>UPI/P2A/311816964858/NISHA MAU/Axis Bank/UPI</t>
  </si>
  <si>
    <t xml:space="preserve">              1900.00</t>
  </si>
  <si>
    <t xml:space="preserve">           354388.56</t>
  </si>
  <si>
    <t xml:space="preserve">            4797</t>
  </si>
  <si>
    <t>By Clg/004797/485 /Surat</t>
  </si>
  <si>
    <t xml:space="preserve">            190460.00</t>
  </si>
  <si>
    <t xml:space="preserve">           544848.56</t>
  </si>
  <si>
    <t>UPI/P2A/311822470364/VIRENDRA /Union Ban/rohit</t>
  </si>
  <si>
    <t xml:space="preserve">              4288.00</t>
  </si>
  <si>
    <t xml:space="preserve">           540560.56</t>
  </si>
  <si>
    <t>UPI/P2A/311812175081/VIKASH KU/Union Ban/pavan</t>
  </si>
  <si>
    <t xml:space="preserve">              1888.00</t>
  </si>
  <si>
    <t xml:space="preserve">           538672.56</t>
  </si>
  <si>
    <t>UPI/P2A/348419774013/PRINCE KU/Union Ban/UPI</t>
  </si>
  <si>
    <t xml:space="preserve">             15600.00</t>
  </si>
  <si>
    <t xml:space="preserve">           523072.56</t>
  </si>
  <si>
    <t>29-04-2023</t>
  </si>
  <si>
    <t>UPI/P2A/311933287264/Subhakar /Bank of B/UPI</t>
  </si>
  <si>
    <t xml:space="preserve">           515072.56</t>
  </si>
  <si>
    <t>NEFT/PUNBH23119424834/MOHAN SILK MILLS/</t>
  </si>
  <si>
    <t xml:space="preserve">            101099.00</t>
  </si>
  <si>
    <t xml:space="preserve">           616171.56</t>
  </si>
  <si>
    <t>NEFT/MB/AXMB231197827212/magination solutionOther</t>
  </si>
  <si>
    <t xml:space="preserve">           613221.56</t>
  </si>
  <si>
    <t>01-05-2023</t>
  </si>
  <si>
    <t>UPI/P2A/348762292797/RONAL TRA/Union Ban/job</t>
  </si>
  <si>
    <t xml:space="preserve">             26856.00</t>
  </si>
  <si>
    <t xml:space="preserve">           586365.56</t>
  </si>
  <si>
    <t>NEFT/MB/AXMB231218348486/GIPL SALESOthers-gipl</t>
  </si>
  <si>
    <t xml:space="preserve">           559373.56</t>
  </si>
  <si>
    <t>UPI/P2M/348733399207/REDGOLD I/Federal B/Verifie</t>
  </si>
  <si>
    <t xml:space="preserve">              1050.00</t>
  </si>
  <si>
    <t xml:space="preserve">           558323.56</t>
  </si>
  <si>
    <t>02-05-2023</t>
  </si>
  <si>
    <t>UPI/P2M/312232226865/NAVSHAKTI/Federal B/Verifie</t>
  </si>
  <si>
    <t xml:space="preserve">              1737.00</t>
  </si>
  <si>
    <t xml:space="preserve">           556586.56</t>
  </si>
  <si>
    <t>UPI/P2A/312208329411/SHAIKH SA/Paytm Pay/UPI</t>
  </si>
  <si>
    <t xml:space="preserve">           555586.56</t>
  </si>
  <si>
    <t>UPI/P2A/312243762310/RAMANATH /Union Ban/Payment</t>
  </si>
  <si>
    <t xml:space="preserve">               300.00</t>
  </si>
  <si>
    <t xml:space="preserve">           555286.56</t>
  </si>
  <si>
    <t>UPI/P2A/312208846550/VIRENDRA /Union Ban/kalu</t>
  </si>
  <si>
    <t xml:space="preserve">           550286.56</t>
  </si>
  <si>
    <t>03-05-2023</t>
  </si>
  <si>
    <t>NEFT/MB/AXMB231239098327/surenkumar dipakOthers-d</t>
  </si>
  <si>
    <t xml:space="preserve">           547286.56</t>
  </si>
  <si>
    <t>05-05-2023</t>
  </si>
  <si>
    <t>UPI/P2A/312576177401/Mr SIKKI /Central B/raj kum</t>
  </si>
  <si>
    <t xml:space="preserve">           544286.56</t>
  </si>
  <si>
    <t>ACH-DR-TP ACH IIL-1139416992-UTIB7020912210002553</t>
  </si>
  <si>
    <t xml:space="preserve">           541336.56</t>
  </si>
  <si>
    <t>07-05-2023</t>
  </si>
  <si>
    <t>UPI/P2A/312746029021/NISHA MAU/Axis Bank/UPI</t>
  </si>
  <si>
    <t xml:space="preserve">           540836.56</t>
  </si>
  <si>
    <t>UPI/P2A/312741229447/ARTEE DHA/State Ban/UPI</t>
  </si>
  <si>
    <t xml:space="preserve">           539836.56</t>
  </si>
  <si>
    <t>08-05-2023</t>
  </si>
  <si>
    <t>UPI/P2A/312840290486/VIRENDRA /Union Ban/ashish</t>
  </si>
  <si>
    <t xml:space="preserve">              5833.00</t>
  </si>
  <si>
    <t xml:space="preserve">           534003.56</t>
  </si>
  <si>
    <t>10-05-2023</t>
  </si>
  <si>
    <t>UPI/P2A/349620347788/VIKASH KU/Union Ban/UPI</t>
  </si>
  <si>
    <t xml:space="preserve">              4667.00</t>
  </si>
  <si>
    <t xml:space="preserve">           529336.56</t>
  </si>
  <si>
    <t>UPI/P2M/349646845489/SAGAR HAR/ICICI Ban/UPI</t>
  </si>
  <si>
    <t xml:space="preserve">               700.00</t>
  </si>
  <si>
    <t xml:space="preserve">           528636.56</t>
  </si>
  <si>
    <t>UPI/P2A/313067058931/SHIBHAJI /Airtel Pa/Payment</t>
  </si>
  <si>
    <t xml:space="preserve">              4266.00</t>
  </si>
  <si>
    <t xml:space="preserve">           524370.56</t>
  </si>
  <si>
    <t>UPI/P2A/349697877861/Subhakar /Fino Paym/UPI</t>
  </si>
  <si>
    <t xml:space="preserve">              8033.00</t>
  </si>
  <si>
    <t xml:space="preserve">           516337.56</t>
  </si>
  <si>
    <t>UPI/P2A/313073282726/VIKASH KU/Union Ban/ravi</t>
  </si>
  <si>
    <t xml:space="preserve">           506337.56</t>
  </si>
  <si>
    <t>11-05-2023</t>
  </si>
  <si>
    <t>UPI/P2A/313176290231/NIRTESH K/Union Ban/Payment</t>
  </si>
  <si>
    <t xml:space="preserve">           498337.56</t>
  </si>
  <si>
    <t>UPI/P2A/313116871788/RAKESH KU/India Pos/Payment</t>
  </si>
  <si>
    <t xml:space="preserve">             14400.00</t>
  </si>
  <si>
    <t xml:space="preserve">           483937.56</t>
  </si>
  <si>
    <t>UPI/P2A/313178249071/VIRENDRA /Union Ban/ashish</t>
  </si>
  <si>
    <t xml:space="preserve">           480937.56</t>
  </si>
  <si>
    <t>UPI/P2A/349789396361/SUSHIL/Union Ban/UPI</t>
  </si>
  <si>
    <t xml:space="preserve">             11400.00</t>
  </si>
  <si>
    <t xml:space="preserve">           469537.56</t>
  </si>
  <si>
    <t>NEFT/MB/AXMB231313095964/pratik babadiyaOthers-gs</t>
  </si>
  <si>
    <t xml:space="preserve">             23085.00</t>
  </si>
  <si>
    <t xml:space="preserve">           446452.56</t>
  </si>
  <si>
    <t>14-05-2023</t>
  </si>
  <si>
    <t>UPI/P2A/350099423805/MONU  /Kotak Mah/monu kar</t>
  </si>
  <si>
    <t xml:space="preserve">           445952.56</t>
  </si>
  <si>
    <t>UPI/P2A/313455140653/PAVAN MAW/Bank of B/dipak</t>
  </si>
  <si>
    <t xml:space="preserve">              6000.00</t>
  </si>
  <si>
    <t xml:space="preserve">           439952.56</t>
  </si>
  <si>
    <t>17-05-2023</t>
  </si>
  <si>
    <t>UPI/P2A/350379176532/DUMMY NAM/Kotak Mah/polyste</t>
  </si>
  <si>
    <t xml:space="preserve">              1198.00</t>
  </si>
  <si>
    <t xml:space="preserve">           438754.56</t>
  </si>
  <si>
    <t>18-05-2023</t>
  </si>
  <si>
    <t>NEFT/MB/AXMB231385999051/Trisha enterpriseOthers-</t>
  </si>
  <si>
    <t xml:space="preserve">              5260.00</t>
  </si>
  <si>
    <t xml:space="preserve">           433494.56</t>
  </si>
  <si>
    <t>UPI/P2A/350417731503/ARTEE DHA/State Ban/machine</t>
  </si>
  <si>
    <t xml:space="preserve">           432294.56</t>
  </si>
  <si>
    <t>NEFT/RETURN/AXMB231385999051/R03/Trisha enterpris</t>
  </si>
  <si>
    <t xml:space="preserve">           437554.56</t>
  </si>
  <si>
    <t>19-05-2023</t>
  </si>
  <si>
    <t>UPI/P2A/313909457735/RAMANATH /Union Ban/Payment</t>
  </si>
  <si>
    <t xml:space="preserve">           436554.56</t>
  </si>
  <si>
    <t>20-05-2023</t>
  </si>
  <si>
    <t xml:space="preserve">           436536.56</t>
  </si>
  <si>
    <t xml:space="preserve">           436436.56</t>
  </si>
  <si>
    <t>21-05-2023</t>
  </si>
  <si>
    <t>UPI/P2A/314149979104/DHAVAL AS/The Varac/UPI</t>
  </si>
  <si>
    <t xml:space="preserve">             20000.00</t>
  </si>
  <si>
    <t xml:space="preserve">           416436.56</t>
  </si>
  <si>
    <t>22-05-2023</t>
  </si>
  <si>
    <t>UPI/P2A/350831390805/NIRTESH K/Union Ban/UPI</t>
  </si>
  <si>
    <t xml:space="preserve">           406436.56</t>
  </si>
  <si>
    <t>23-05-2023</t>
  </si>
  <si>
    <t>NEFT/CMS3307704782/BHARAT SILKS/BHARAT SILKS</t>
  </si>
  <si>
    <t xml:space="preserve">             13789.00</t>
  </si>
  <si>
    <t xml:space="preserve">           420225.56</t>
  </si>
  <si>
    <t>UPI/P2M/314344646536/HIRENKUMA/Yes Bank /UPI</t>
  </si>
  <si>
    <t xml:space="preserve">              3503.00</t>
  </si>
  <si>
    <t xml:space="preserve">           416722.56</t>
  </si>
  <si>
    <t>24-05-2023</t>
  </si>
  <si>
    <t>UPI/P2M/314403258815/Bhojal Au/Axis Bank/UPI</t>
  </si>
  <si>
    <t xml:space="preserve">              3200.00</t>
  </si>
  <si>
    <t xml:space="preserve">           413522.56</t>
  </si>
  <si>
    <t>UPI/P2A/314471648630/Mrs ARTEE/Central B/UPI</t>
  </si>
  <si>
    <t xml:space="preserve">           411522.56</t>
  </si>
  <si>
    <t>25-05-2023</t>
  </si>
  <si>
    <t>UPI/P2A/314576001416/SURYA LAL/Paytm Pay/UPI</t>
  </si>
  <si>
    <t xml:space="preserve">           407522.56</t>
  </si>
  <si>
    <t>UPI/P2A/314538206319/Deepak Ma/Fino Paym/UPI</t>
  </si>
  <si>
    <t xml:space="preserve">           406022.56</t>
  </si>
  <si>
    <t>26-05-2023</t>
  </si>
  <si>
    <t>UPI/P2A/314640441122/Mrs ARTEE/Central B/pradip</t>
  </si>
  <si>
    <t xml:space="preserve">               800.00</t>
  </si>
  <si>
    <t xml:space="preserve">           405222.56</t>
  </si>
  <si>
    <t>27-05-2023</t>
  </si>
  <si>
    <t>UPI/P2A/314770629551/Vikash Mi/Punjab an/UPI</t>
  </si>
  <si>
    <t xml:space="preserve">              1300.00</t>
  </si>
  <si>
    <t xml:space="preserve">           403922.56</t>
  </si>
  <si>
    <t>28-05-2023</t>
  </si>
  <si>
    <t>UPI/P2A/314899191722/Roshan/Bank of B/karigar</t>
  </si>
  <si>
    <t xml:space="preserve">              1566.00</t>
  </si>
  <si>
    <t xml:space="preserve">           402356.56</t>
  </si>
  <si>
    <t>UPI/P2A/314810046793/Shibhaji /Airtel Pa/shiva</t>
  </si>
  <si>
    <t xml:space="preserve">           401856.56</t>
  </si>
  <si>
    <t>29-05-2023</t>
  </si>
  <si>
    <t>UPI/P2M/314939020343/GAYATRI T/Axis Bank/UPI</t>
  </si>
  <si>
    <t xml:space="preserve">           399856.56</t>
  </si>
  <si>
    <t>UPI/P2M/314939030015/GAYATRI T/Axis Bank/UPI</t>
  </si>
  <si>
    <t xml:space="preserve">               595.00</t>
  </si>
  <si>
    <t xml:space="preserve">           399261.56</t>
  </si>
  <si>
    <t>NEFT/SPCBN23149010143/shivam fab//ATTN/k</t>
  </si>
  <si>
    <t xml:space="preserve">             92460.00</t>
  </si>
  <si>
    <t xml:space="preserve">           491721.56</t>
  </si>
  <si>
    <t>UPI/P2A/314957568294/Deepak Ma/Fino Paym/dipak</t>
  </si>
  <si>
    <t xml:space="preserve">           489721.56</t>
  </si>
  <si>
    <t>30-05-2023</t>
  </si>
  <si>
    <t>UPI/P2A/315078884349/ASHISH KU/State Ban/UPI</t>
  </si>
  <si>
    <t xml:space="preserve">              1895.00</t>
  </si>
  <si>
    <t xml:space="preserve">           487826.56</t>
  </si>
  <si>
    <t xml:space="preserve">          138103</t>
  </si>
  <si>
    <t>By Clg 138103 259  Surat</t>
  </si>
  <si>
    <t xml:space="preserve">             35250.00</t>
  </si>
  <si>
    <t xml:space="preserve">           523076.56</t>
  </si>
  <si>
    <t>UPI/P2A/315075585004/Shibhaji /Airtel Pa/Payment</t>
  </si>
  <si>
    <t xml:space="preserve">           522576.56</t>
  </si>
  <si>
    <t>UPI/P2A/315048305726/RAKESH KU/India Pos/Payment</t>
  </si>
  <si>
    <t xml:space="preserve">              5100.00</t>
  </si>
  <si>
    <t xml:space="preserve">           517476.56</t>
  </si>
  <si>
    <t>UPI/P2A/315097419446/RAKESH KU/India Pos/Payment</t>
  </si>
  <si>
    <t xml:space="preserve">           515476.56</t>
  </si>
  <si>
    <t>31-05-2023</t>
  </si>
  <si>
    <t>UPI/P2A/315147681013/RAKESH KU/India Pos/Payment</t>
  </si>
  <si>
    <t xml:space="preserve">           513476.56</t>
  </si>
  <si>
    <t>01-06-2023</t>
  </si>
  <si>
    <t>NEFT/MB/AXMB231520442114/lemerite yarn</t>
  </si>
  <si>
    <t xml:space="preserve">            135428.00</t>
  </si>
  <si>
    <t xml:space="preserve">           378048.56</t>
  </si>
  <si>
    <t>NEFT/MB/AXMB231520844739/Ronal Enterprise</t>
  </si>
  <si>
    <t xml:space="preserve">             12800.00</t>
  </si>
  <si>
    <t xml:space="preserve">           365248.56</t>
  </si>
  <si>
    <t>03-06-2023</t>
  </si>
  <si>
    <t>UPI/P2A/315410281211/MONU  /Kotak Mah/UPI</t>
  </si>
  <si>
    <t xml:space="preserve">           363248.56</t>
  </si>
  <si>
    <t>UPI/P2A/315416418359/NITIN V R/ICICI Ban/mobile</t>
  </si>
  <si>
    <t xml:space="preserve">             30000.00</t>
  </si>
  <si>
    <t xml:space="preserve">           333248.56</t>
  </si>
  <si>
    <t>UPI/P2A/315433976379/Deepak Ma/Fino Paym/dipak</t>
  </si>
  <si>
    <t xml:space="preserve">           332248.56</t>
  </si>
  <si>
    <t>04-06-2023</t>
  </si>
  <si>
    <t>UPI/P2M/315563681915/Kathiriya/Paytm Pay/dhosa</t>
  </si>
  <si>
    <t xml:space="preserve">              3110.00</t>
  </si>
  <si>
    <t xml:space="preserve">           329138.56</t>
  </si>
  <si>
    <t>05-06-2023</t>
  </si>
  <si>
    <t>UPI/P2A/315687405207/DOBARIYA /Bank of B/Payment</t>
  </si>
  <si>
    <t xml:space="preserve">           329139.56</t>
  </si>
  <si>
    <t xml:space="preserve">           77945</t>
  </si>
  <si>
    <t>BRN-CLG-CHQ PAID TO SHIV BABA CREAT/HDFC BANK LTD.</t>
  </si>
  <si>
    <t xml:space="preserve">            150334.00</t>
  </si>
  <si>
    <t xml:space="preserve">           178805.56</t>
  </si>
  <si>
    <t>UPI/P2M/315675515481/HARSHADBH/Federal B/Pay to</t>
  </si>
  <si>
    <t xml:space="preserve">           176805.56</t>
  </si>
  <si>
    <t>UPI/P2M/315675545479/HARSHADBH/Federal B/UPI</t>
  </si>
  <si>
    <t xml:space="preserve">              8810.00</t>
  </si>
  <si>
    <t xml:space="preserve">           167995.56</t>
  </si>
  <si>
    <t>ACH-DR-TP ACH IIL-1164282872-UTIB7020912210002553</t>
  </si>
  <si>
    <t xml:space="preserve">           165045.56</t>
  </si>
  <si>
    <t>UPI/P2A/315690192035/NIRTESH K/Union Ban/nirtesh</t>
  </si>
  <si>
    <t xml:space="preserve">           157545.56</t>
  </si>
  <si>
    <t>08-06-2023</t>
  </si>
  <si>
    <t>UPI/P2A/315973381993/MONU  /Kotak Mah/monu</t>
  </si>
  <si>
    <t xml:space="preserve">             10500.00</t>
  </si>
  <si>
    <t xml:space="preserve">           147045.56</t>
  </si>
  <si>
    <t>UPI/P2A/315953659698/Shibhaji /Airtel Pa/Payment</t>
  </si>
  <si>
    <t xml:space="preserve">              3041.00</t>
  </si>
  <si>
    <t xml:space="preserve">           144004.56</t>
  </si>
  <si>
    <t>UPI/P2A/315913943882/Shibhaji /Airtel Pa/Payment</t>
  </si>
  <si>
    <t xml:space="preserve">           142004.56</t>
  </si>
  <si>
    <t>UPI/P2A/315984569760/DAMODAR S/Bank of B/kren</t>
  </si>
  <si>
    <t xml:space="preserve">           140004.56</t>
  </si>
  <si>
    <t>UPI/P2A/315985365977/HARESHKUM/Axis Bank/gas</t>
  </si>
  <si>
    <t xml:space="preserve">              8260.00</t>
  </si>
  <si>
    <t xml:space="preserve">           131744.56</t>
  </si>
  <si>
    <t xml:space="preserve">            4892</t>
  </si>
  <si>
    <t>By Clg 004892 485  Surat</t>
  </si>
  <si>
    <t xml:space="preserve">            410281.00</t>
  </si>
  <si>
    <t xml:space="preserve">           542025.56</t>
  </si>
  <si>
    <t>09-06-2023</t>
  </si>
  <si>
    <t>UPI/P2A/316055504133/RAMANATH /Union Ban/Payment</t>
  </si>
  <si>
    <t xml:space="preserve">           541525.56</t>
  </si>
  <si>
    <t>NEFT/MB/AXMB231604552849/pratik babadiyaOthers-gs</t>
  </si>
  <si>
    <t xml:space="preserve">             17063.00</t>
  </si>
  <si>
    <t xml:space="preserve">           524462.56</t>
  </si>
  <si>
    <t>UPI/P2A/316026827479/JAGRUTIBE/HDFC BANK/boiler</t>
  </si>
  <si>
    <t xml:space="preserve">             32000.00</t>
  </si>
  <si>
    <t xml:space="preserve">           492462.56</t>
  </si>
  <si>
    <t>10-06-2023</t>
  </si>
  <si>
    <t>UPI/P2A/316145603876/Subhakar /Fino Paym/UPI</t>
  </si>
  <si>
    <t xml:space="preserve">              7906.00</t>
  </si>
  <si>
    <t xml:space="preserve">           484556.56</t>
  </si>
  <si>
    <t>UPI/P2M/316163853294/Shree sai/Paytm Pay/nasto</t>
  </si>
  <si>
    <t xml:space="preserve">               161.00</t>
  </si>
  <si>
    <t xml:space="preserve">           484395.56</t>
  </si>
  <si>
    <t>11-06-2023</t>
  </si>
  <si>
    <t>UPI/P2A/316283741771/Deepak Ma/Fino Paym/dipak</t>
  </si>
  <si>
    <t xml:space="preserve">             14166.00</t>
  </si>
  <si>
    <t xml:space="preserve">           470229.56</t>
  </si>
  <si>
    <t>UPI/P2A/316284274774/Deepak Ma/Fino Paym/akash</t>
  </si>
  <si>
    <t xml:space="preserve">           469729.56</t>
  </si>
  <si>
    <t>UPI/P2A/316242107247/RAKESH KU/India Pos/Payment</t>
  </si>
  <si>
    <t xml:space="preserve">           469229.56</t>
  </si>
  <si>
    <t>12-06-2023</t>
  </si>
  <si>
    <t>UPI/P2A/316320530959/NIRTESH K/Union Ban/UPI</t>
  </si>
  <si>
    <t xml:space="preserve">             15200.00</t>
  </si>
  <si>
    <t xml:space="preserve">           454029.56</t>
  </si>
  <si>
    <t>UPI/P2A/316321757007/NIRTESH K/Union Ban/upendra</t>
  </si>
  <si>
    <t xml:space="preserve">              4400.00</t>
  </si>
  <si>
    <t xml:space="preserve">           449629.56</t>
  </si>
  <si>
    <t>UPI/P2A/316362291016/RAKESH KU/India Pos/Payment</t>
  </si>
  <si>
    <t xml:space="preserve">             22800.00</t>
  </si>
  <si>
    <t xml:space="preserve">           426829.56</t>
  </si>
  <si>
    <t>UPI/P2A/316326066135/SUSHIL/Union Ban/UPI</t>
  </si>
  <si>
    <t xml:space="preserve">             19800.00</t>
  </si>
  <si>
    <t xml:space="preserve">           407029.56</t>
  </si>
  <si>
    <t>13-06-2023</t>
  </si>
  <si>
    <t>NEFT/MB/AXMB231645922889/Trisha EenterpriseOthers</t>
  </si>
  <si>
    <t xml:space="preserve">             10520.00</t>
  </si>
  <si>
    <t xml:space="preserve">           396509.56</t>
  </si>
  <si>
    <t>NEFT/MB/AXMB231645950144/magination solution</t>
  </si>
  <si>
    <t xml:space="preserve">           393559.56</t>
  </si>
  <si>
    <t>NEFT/RETURN/AXMB231645922889/R03/Trisha Eenterpri</t>
  </si>
  <si>
    <t xml:space="preserve">           404079.56</t>
  </si>
  <si>
    <t>NEFT/MB/AXMB231645951644/magination solutionOther</t>
  </si>
  <si>
    <t xml:space="preserve">              2006.00</t>
  </si>
  <si>
    <t xml:space="preserve">           402073.56</t>
  </si>
  <si>
    <t>NEFT/MB/AXMB231645956443/Trisha EnterpriseOthers-</t>
  </si>
  <si>
    <t xml:space="preserve">             10528.00</t>
  </si>
  <si>
    <t xml:space="preserve">           391545.56</t>
  </si>
  <si>
    <t>NEFT/MB/AXMB231646157567/Global texOthers</t>
  </si>
  <si>
    <t xml:space="preserve">             19080.00</t>
  </si>
  <si>
    <t xml:space="preserve">           372465.56</t>
  </si>
  <si>
    <t>NEFT/MB/AXMB231646157367/Global texOthers-poy</t>
  </si>
  <si>
    <t xml:space="preserve">             37628.00</t>
  </si>
  <si>
    <t xml:space="preserve">           334837.56</t>
  </si>
  <si>
    <t>NEFT/MB/AXMB231646295971/momai jariOthers</t>
  </si>
  <si>
    <t xml:space="preserve">              5197.00</t>
  </si>
  <si>
    <t xml:space="preserve">           329640.56</t>
  </si>
  <si>
    <t>NEFT/MB/AXMB231646296079/momai jariOthers</t>
  </si>
  <si>
    <t xml:space="preserve">              4465.00</t>
  </si>
  <si>
    <t xml:space="preserve">           325175.56</t>
  </si>
  <si>
    <t>UPI/P2A/316473088012/Deepak Ma/Fino Paym/UPI</t>
  </si>
  <si>
    <t xml:space="preserve">               900.00</t>
  </si>
  <si>
    <t xml:space="preserve">           324275.56</t>
  </si>
  <si>
    <t>14-06-2023</t>
  </si>
  <si>
    <t>UPI/P2A/316583078055/Avnish Ku/Airtel Pa/onish</t>
  </si>
  <si>
    <t xml:space="preserve">           322275.56</t>
  </si>
  <si>
    <t>NEFT/N165232503029974/GLOBAL TEX/32</t>
  </si>
  <si>
    <t xml:space="preserve">           341355.56</t>
  </si>
  <si>
    <t>UPI/P2A/316582004979/Shibhaji /Airtel Pa/Payment</t>
  </si>
  <si>
    <t xml:space="preserve">           340355.56</t>
  </si>
  <si>
    <t>16-06-2023</t>
  </si>
  <si>
    <t>NEFT/N167232505996903/GLOBAL TEX/Loan return</t>
  </si>
  <si>
    <t xml:space="preserve">           377983.56</t>
  </si>
  <si>
    <t xml:space="preserve">           377965.56</t>
  </si>
  <si>
    <t xml:space="preserve">           377865.56</t>
  </si>
  <si>
    <t>19-06-2023</t>
  </si>
  <si>
    <t>UPI/P2A/317092530783/Shibhaji /Airtel Pa/Payment</t>
  </si>
  <si>
    <t xml:space="preserve">           375365.56</t>
  </si>
  <si>
    <t>UPI/P2A/317018902253/Shibhaji /Airtel Pa/Payment</t>
  </si>
  <si>
    <t xml:space="preserve">           377365.56</t>
  </si>
  <si>
    <t>UPI/P2M/317075761636/ ISMAIL /Yes Bank /shiva</t>
  </si>
  <si>
    <t>20-06-2023</t>
  </si>
  <si>
    <t>UPI/P2A/317112869092/SHAIKH SA/Paytm Pay/UPI</t>
  </si>
  <si>
    <t xml:space="preserve">           374365.56</t>
  </si>
  <si>
    <t>21-06-2023</t>
  </si>
  <si>
    <t>UPI/P2A/317287958879/Shibhaji /Airtel Pa/Payment</t>
  </si>
  <si>
    <t xml:space="preserve">           369365.56</t>
  </si>
  <si>
    <t>UPI/P2A/317242177496/Arjun Kan/Fino Paym/arjun</t>
  </si>
  <si>
    <t xml:space="preserve">             29000.00</t>
  </si>
  <si>
    <t xml:space="preserve">           340365.56</t>
  </si>
  <si>
    <t>22-06-2023</t>
  </si>
  <si>
    <t>UPI/P2A/317357372369/Subhakar /Fino Paym/sudhaka</t>
  </si>
  <si>
    <t xml:space="preserve">           330365.56</t>
  </si>
  <si>
    <t>UPI/P2A/317312885223/Shibhaji /Airtel Pa/Payment</t>
  </si>
  <si>
    <t xml:space="preserve">           326365.56</t>
  </si>
  <si>
    <t>UPI/P2A/317357439189/Subhakar /Fino Paym/rohit</t>
  </si>
  <si>
    <t xml:space="preserve">           321365.56</t>
  </si>
  <si>
    <t>UPI/P2A/317357453295/Subhakar /Fino Paym/ravi</t>
  </si>
  <si>
    <t xml:space="preserve">           319865.56</t>
  </si>
  <si>
    <t>UPI/P2A/317357479412/Subhakar /Fino Paym/brijesh</t>
  </si>
  <si>
    <t xml:space="preserve">           315865.56</t>
  </si>
  <si>
    <t>UPI/P2A/317357510235/Arjun Kan/Fino Paym/UPI</t>
  </si>
  <si>
    <t xml:space="preserve">           313865.56</t>
  </si>
  <si>
    <t>23-06-2023</t>
  </si>
  <si>
    <t>UPI/P2A/317485458587/Avnish Ku/Airtel Pa/UPI</t>
  </si>
  <si>
    <t xml:space="preserve">           308865.56</t>
  </si>
  <si>
    <t>UPI/P2A/317485492014/SUSHIL/Union Ban/abhishek</t>
  </si>
  <si>
    <t xml:space="preserve">           298865.56</t>
  </si>
  <si>
    <t>UPI/P2A/317487042612/RAKESH KU/India Pos/Payment</t>
  </si>
  <si>
    <t xml:space="preserve">           290865.56</t>
  </si>
  <si>
    <t>UPI/P2A/317411697937/INDRARAJ /Punjab Na/jatka</t>
  </si>
  <si>
    <t xml:space="preserve">             19350.00</t>
  </si>
  <si>
    <t xml:space="preserve">           271515.56</t>
  </si>
  <si>
    <t>24-06-2023</t>
  </si>
  <si>
    <t>UPI/P2A/317525076069/NIRTESH K/Union Ban/rajkuma</t>
  </si>
  <si>
    <t xml:space="preserve">           261515.56</t>
  </si>
  <si>
    <t>25-06-2023</t>
  </si>
  <si>
    <t>UPI/P2A/317672253918/Deepak Ma/Fino Paym/UPI</t>
  </si>
  <si>
    <t xml:space="preserve">           257515.56</t>
  </si>
  <si>
    <t>26-06-2023</t>
  </si>
  <si>
    <t>UPI/P2A/317710104567/Dharani G/State Ban/UPI</t>
  </si>
  <si>
    <t xml:space="preserve">           250015.56</t>
  </si>
  <si>
    <t>28-06-2023</t>
  </si>
  <si>
    <t>NEFT/MB/AXMB231791160511/Rajnis DobariyaOthers-he</t>
  </si>
  <si>
    <t xml:space="preserve">             14000.00</t>
  </si>
  <si>
    <t xml:space="preserve">           236015.56</t>
  </si>
  <si>
    <t>UPI/P2A/317968188770/BIBI FARH/Bank of I/Payment</t>
  </si>
  <si>
    <t xml:space="preserve">           234015.56</t>
  </si>
  <si>
    <t>29-06-2023</t>
  </si>
  <si>
    <t>UPI/P2A/318019543151/SANDEEP K/Kotak Mah/dk sand</t>
  </si>
  <si>
    <t xml:space="preserve">           233015.56</t>
  </si>
  <si>
    <t>30-06-2023</t>
  </si>
  <si>
    <t>UPI/P2A/318130554131/MILAN PLU/HDFC BANK/UPI</t>
  </si>
  <si>
    <t xml:space="preserve">           228015.56</t>
  </si>
  <si>
    <t>UPI/P2A/318130564125/MILAN PLU/HDFC BANK/UPI</t>
  </si>
  <si>
    <t xml:space="preserve">           223015.56</t>
  </si>
  <si>
    <t>UPI/P2A/318130575405/MILAN PLU/HDFC BANK/UPI</t>
  </si>
  <si>
    <t xml:space="preserve">               480.00</t>
  </si>
  <si>
    <t xml:space="preserve">           222535.56</t>
  </si>
  <si>
    <t>UPI/P2M/318131441440/PATEL ANK/Axis Bank/UPI</t>
  </si>
  <si>
    <t xml:space="preserve">               200.00</t>
  </si>
  <si>
    <t xml:space="preserve">           222335.56</t>
  </si>
  <si>
    <t>02-07-2023</t>
  </si>
  <si>
    <t>NEFT/MB/AXMB231833017145/altaf dalalOthers-altaf</t>
  </si>
  <si>
    <t xml:space="preserve">              9100.00</t>
  </si>
  <si>
    <t xml:space="preserve">           213235.56</t>
  </si>
  <si>
    <t>04-07-2023</t>
  </si>
  <si>
    <t>UPI/P2A/318591985854/NITINBHAI/The Varac/bag</t>
  </si>
  <si>
    <t xml:space="preserve">           212935.56</t>
  </si>
  <si>
    <t>05-07-2023</t>
  </si>
  <si>
    <t>TRF/SHIV TEXTILES/transfer</t>
  </si>
  <si>
    <t xml:space="preserve">              8263.00</t>
  </si>
  <si>
    <t xml:space="preserve">           221198.56</t>
  </si>
  <si>
    <t>UPI/P2A/318636776230/Deepak Ma/Fino Paym/UPI</t>
  </si>
  <si>
    <t xml:space="preserve">           218698.56</t>
  </si>
  <si>
    <t>NEFT/MB/AXMB231864866733/janki metalikOthers-j m</t>
  </si>
  <si>
    <t xml:space="preserve">             42681.00</t>
  </si>
  <si>
    <t xml:space="preserve">           176017.56</t>
  </si>
  <si>
    <t>06-07-2023</t>
  </si>
  <si>
    <t>NEFT/HS92318708444147/RAJNISHBHAI RAMESHBHAI DOBA</t>
  </si>
  <si>
    <t xml:space="preserve">           190017.56</t>
  </si>
  <si>
    <t>UPI/P2A/318762508197/VIKASH KU/Union Ban/vikas</t>
  </si>
  <si>
    <t xml:space="preserve">           187517.56</t>
  </si>
  <si>
    <t>UPI/P2M/318779970793/SATPAL  S/Federal B/Pay to</t>
  </si>
  <si>
    <t xml:space="preserve">           186617.56</t>
  </si>
  <si>
    <t>07-07-2023</t>
  </si>
  <si>
    <t>UPI/P2A/318883613897/VIKASH KU/Union Ban/UPI</t>
  </si>
  <si>
    <t xml:space="preserve">           186117.56</t>
  </si>
  <si>
    <t>POS/BAPS SWAMINARAYAN/NEW DELHI/070723/12:07</t>
  </si>
  <si>
    <t xml:space="preserve">           181117.56</t>
  </si>
  <si>
    <t>10-07-2023</t>
  </si>
  <si>
    <t>UPI/P2A/319114393691/SUSHIL/Union Ban/UPI</t>
  </si>
  <si>
    <t xml:space="preserve">             19000.00</t>
  </si>
  <si>
    <t xml:space="preserve">           162117.56</t>
  </si>
  <si>
    <t>11-07-2023</t>
  </si>
  <si>
    <t>UPI/P2A/319235620973/SUFIYAN A/India Pos/UPI</t>
  </si>
  <si>
    <t xml:space="preserve">              6678.00</t>
  </si>
  <si>
    <t xml:space="preserve">           155439.56</t>
  </si>
  <si>
    <t>UPI/P2A/319235734950/RAKESH KU/India Pos/nitin</t>
  </si>
  <si>
    <t xml:space="preserve">           149439.56</t>
  </si>
  <si>
    <t>UPI/P2A/319235757218/RAKESH KU/India Pos/rakesh</t>
  </si>
  <si>
    <t xml:space="preserve">           134439.56</t>
  </si>
  <si>
    <t>UPI/P2A/319235992285/NIRTESH K/Union Ban/UPI</t>
  </si>
  <si>
    <t xml:space="preserve">             19500.00</t>
  </si>
  <si>
    <t xml:space="preserve">           114939.56</t>
  </si>
  <si>
    <t>UPI/P2A/319236275443/SUFIYAN A/India Pos/ravi ch</t>
  </si>
  <si>
    <t xml:space="preserve">           109939.56</t>
  </si>
  <si>
    <t>UPI/P2A/319236372312/SUFIYAN A/India Pos/sanjay</t>
  </si>
  <si>
    <t xml:space="preserve">           108639.56</t>
  </si>
  <si>
    <t>UPI/P2M/319238127482/ DIPAK PA/Yes Bank /sper pa</t>
  </si>
  <si>
    <t xml:space="preserve">           108339.56</t>
  </si>
  <si>
    <t xml:space="preserve">              98</t>
  </si>
  <si>
    <t>By Clg 000098 240  Surat</t>
  </si>
  <si>
    <t xml:space="preserve">             50450.00</t>
  </si>
  <si>
    <t xml:space="preserve">           158789.56</t>
  </si>
  <si>
    <t xml:space="preserve">             161</t>
  </si>
  <si>
    <t>By Clg 000161 240  Surat</t>
  </si>
  <si>
    <t xml:space="preserve">            108653.00</t>
  </si>
  <si>
    <t xml:space="preserve">           267442.56</t>
  </si>
  <si>
    <t>12-07-2023</t>
  </si>
  <si>
    <t>UPI/P2A/319369609746/Avnish Ku/Airtel Pa/UPI</t>
  </si>
  <si>
    <t xml:space="preserve">              7400.00</t>
  </si>
  <si>
    <t xml:space="preserve">           260042.56</t>
  </si>
  <si>
    <t>UPI/P2A/319369797005/Ravi Kuma/Fino Paym/ravi ga</t>
  </si>
  <si>
    <t xml:space="preserve">             12225.00</t>
  </si>
  <si>
    <t xml:space="preserve">           247817.56</t>
  </si>
  <si>
    <t>UPI/P2A/319369849471/Deepak Ma/Fino Paym/akhiles</t>
  </si>
  <si>
    <t xml:space="preserve">              4550.00</t>
  </si>
  <si>
    <t xml:space="preserve">           243267.56</t>
  </si>
  <si>
    <t>NEFT/MB/AXMB231937787767/erfan</t>
  </si>
  <si>
    <t xml:space="preserve">              4084.00</t>
  </si>
  <si>
    <t xml:space="preserve">           239183.56</t>
  </si>
  <si>
    <t>UPI/P2A/319389245251/Deepak Ma/Fino Paym/UPI</t>
  </si>
  <si>
    <t xml:space="preserve">           237683.56</t>
  </si>
  <si>
    <t>13-07-2023</t>
  </si>
  <si>
    <t>NEFT/VARA000009306343/JIYA FAB///URGENT/</t>
  </si>
  <si>
    <t xml:space="preserve">             25000.00</t>
  </si>
  <si>
    <t xml:space="preserve">           262683.56</t>
  </si>
  <si>
    <t>NEFT/VARA000009306348/JIYA FAB///URGENT/</t>
  </si>
  <si>
    <t xml:space="preserve">            175000.00</t>
  </si>
  <si>
    <t xml:space="preserve">           437683.56</t>
  </si>
  <si>
    <t>14-07-2023</t>
  </si>
  <si>
    <t>UPI/P2A/319546216623/Rajkumar /Fino Paym/rajkuma</t>
  </si>
  <si>
    <t xml:space="preserve">           422483.56</t>
  </si>
  <si>
    <t>UPI/P2A/319546295699/Ravi  ../Fino Paym/UPI</t>
  </si>
  <si>
    <t xml:space="preserve">           414983.56</t>
  </si>
  <si>
    <t>NEFT/MB/AXMB231958710665/Rajnis Dobariya</t>
  </si>
  <si>
    <t xml:space="preserve">           400983.56</t>
  </si>
  <si>
    <t>17-07-2023</t>
  </si>
  <si>
    <t>NEFT/MB/AXMB231989762499/Trisha EnterpriseOthers-</t>
  </si>
  <si>
    <t xml:space="preserve">           395723.56</t>
  </si>
  <si>
    <t>18-07-2023</t>
  </si>
  <si>
    <t>NEFT/MB/AXMB231999973280/pratik babadiyaOthers-gs</t>
  </si>
  <si>
    <t xml:space="preserve">             66662.00</t>
  </si>
  <si>
    <t xml:space="preserve">           329061.56</t>
  </si>
  <si>
    <t>19-07-2023</t>
  </si>
  <si>
    <t>UPI/P2A/320042614198/MEHULKUMA/INDUSIND /UPI</t>
  </si>
  <si>
    <t xml:space="preserve">              6800.00</t>
  </si>
  <si>
    <t xml:space="preserve">           322261.56</t>
  </si>
  <si>
    <t>UPI/P2A/320052958313/MILAN PLU/HDFC BANK/UPI</t>
  </si>
  <si>
    <t xml:space="preserve">              2910.00</t>
  </si>
  <si>
    <t xml:space="preserve">           319351.56</t>
  </si>
  <si>
    <t>ECOM PUR/Paytm_IRCTC/1204770770/190723/13:30</t>
  </si>
  <si>
    <t xml:space="preserve">              1708.42</t>
  </si>
  <si>
    <t xml:space="preserve">           317643.14</t>
  </si>
  <si>
    <t>21-07-2023</t>
  </si>
  <si>
    <t xml:space="preserve">             561</t>
  </si>
  <si>
    <t>By Clg 000561 313  Surat</t>
  </si>
  <si>
    <t xml:space="preserve">             79554.00</t>
  </si>
  <si>
    <t xml:space="preserve">           397197.14</t>
  </si>
  <si>
    <t xml:space="preserve">           397097.14</t>
  </si>
  <si>
    <t xml:space="preserve">           397079.14</t>
  </si>
  <si>
    <t>22-07-2023</t>
  </si>
  <si>
    <t>UPI/P2A/320361552251/Deepak Ma/Fino Paym/UPI</t>
  </si>
  <si>
    <t xml:space="preserve">           396579.14</t>
  </si>
  <si>
    <t>23-07-2023</t>
  </si>
  <si>
    <t>UPI/P2M/320480965502/Nandaniya/Paytm Pay/UPI</t>
  </si>
  <si>
    <t xml:space="preserve">              2400.00</t>
  </si>
  <si>
    <t xml:space="preserve">           394179.14</t>
  </si>
  <si>
    <t>UPI/P2M/320495637003/Nandaniya/Paytm Pay/UPI</t>
  </si>
  <si>
    <t xml:space="preserve">              3250.00</t>
  </si>
  <si>
    <t xml:space="preserve">           390929.14</t>
  </si>
  <si>
    <t>25-07-2023</t>
  </si>
  <si>
    <t>UPI/P2A/320612742742/Shibhaji /Airtel Pa/Payment</t>
  </si>
  <si>
    <t xml:space="preserve">              7000.00</t>
  </si>
  <si>
    <t xml:space="preserve">           383929.14</t>
  </si>
  <si>
    <t>UPI/P2A/320644803537/Deepak Ma/Fino Paym/UPI</t>
  </si>
  <si>
    <t xml:space="preserve">           378929.14</t>
  </si>
  <si>
    <t>UPI/P2A/320644999505/SUSHIL/Union Ban/rohit</t>
  </si>
  <si>
    <t xml:space="preserve">           376929.14</t>
  </si>
  <si>
    <t>UPI/P2A/320645052217/Ravi Kuma/Fino Paym/UPI</t>
  </si>
  <si>
    <t xml:space="preserve">           375929.14</t>
  </si>
  <si>
    <t>UPI/P2A/320645100303/SUSHIL/Union Ban/brijesh</t>
  </si>
  <si>
    <t xml:space="preserve">           373929.14</t>
  </si>
  <si>
    <t>UPI/P2A/320645247274/SUSHIL/Union Ban/akhilesh</t>
  </si>
  <si>
    <t xml:space="preserve">           367929.14</t>
  </si>
  <si>
    <t>UPI/P2A/320645310563/SUSHIL/Union Ban/akash</t>
  </si>
  <si>
    <t xml:space="preserve">           362929.14</t>
  </si>
  <si>
    <t>UPI/P2A/320632095981/RAKESH KU/India Pos/Payment</t>
  </si>
  <si>
    <t xml:space="preserve">           357929.14</t>
  </si>
  <si>
    <t>UPI/P2A/320645480238/SUSHIL/Union Ban/amit</t>
  </si>
  <si>
    <t xml:space="preserve">           355929.14</t>
  </si>
  <si>
    <t>UPI/P2A/320645536677/SUSHIL/Union Ban/dharm</t>
  </si>
  <si>
    <t xml:space="preserve">           353429.14</t>
  </si>
  <si>
    <t>UPI/P2A/320663547238/SUSHIL/Union Ban/abhishek</t>
  </si>
  <si>
    <t xml:space="preserve">           347429.14</t>
  </si>
  <si>
    <t>26-07-2023</t>
  </si>
  <si>
    <t>UPI/P2A/320774317678/Subhakar /Fino Paym/UPI</t>
  </si>
  <si>
    <t xml:space="preserve">           340429.14</t>
  </si>
  <si>
    <t>UPI/P2A/320774570568/GOTI ASHV/Kotak Mah/bus</t>
  </si>
  <si>
    <t xml:space="preserve">           329429.14</t>
  </si>
  <si>
    <t>UPI/P2A/320793059371/SUFIYAN A/India Pos/erfan</t>
  </si>
  <si>
    <t xml:space="preserve">           325429.14</t>
  </si>
  <si>
    <t>27-07-2023</t>
  </si>
  <si>
    <t>NEFT/HS92320810475754/RAJNISHBHAI RAMESHBHAI DOBA</t>
  </si>
  <si>
    <t xml:space="preserve">           339429.14</t>
  </si>
  <si>
    <t>28-07-2023</t>
  </si>
  <si>
    <t>UPI/P2A/320949639588/Rajkumar /Fino Paym/rajkuma</t>
  </si>
  <si>
    <t xml:space="preserve">           333429.14</t>
  </si>
  <si>
    <t>01-08-2023</t>
  </si>
  <si>
    <t>NEFT/AXOMB32130243574//Rameshbhai D</t>
  </si>
  <si>
    <t xml:space="preserve">           323429.14</t>
  </si>
  <si>
    <t>UPI/P2A/321312513534/SUFIYAN A/India Pos/azad ka</t>
  </si>
  <si>
    <t xml:space="preserve">           321929.14</t>
  </si>
  <si>
    <t>02-08-2023</t>
  </si>
  <si>
    <t>UPI/P2M/321466439454/PRINCE CH/Yes Bank /medical</t>
  </si>
  <si>
    <t xml:space="preserve">               278.00</t>
  </si>
  <si>
    <t xml:space="preserve">           321651.14</t>
  </si>
  <si>
    <t>04-08-2023</t>
  </si>
  <si>
    <t>NEFT/AXOMB32160628776//Rameshbhai D</t>
  </si>
  <si>
    <t xml:space="preserve">           301651.14</t>
  </si>
  <si>
    <t>05-08-2023</t>
  </si>
  <si>
    <t>NEFT/BARBV23217360800/PRIYA ENTERPRISE/</t>
  </si>
  <si>
    <t xml:space="preserve">              3644.00</t>
  </si>
  <si>
    <t xml:space="preserve">           305295.14</t>
  </si>
  <si>
    <t xml:space="preserve">            1011</t>
  </si>
  <si>
    <t>By Clg 001011 313  Surat</t>
  </si>
  <si>
    <t xml:space="preserve">             62174.00</t>
  </si>
  <si>
    <t xml:space="preserve">           367469.14</t>
  </si>
  <si>
    <t>07-08-2023</t>
  </si>
  <si>
    <t xml:space="preserve">             918</t>
  </si>
  <si>
    <t>By Clg 000918 229  Surat</t>
  </si>
  <si>
    <t xml:space="preserve">            574991.00</t>
  </si>
  <si>
    <t xml:space="preserve">           942460.14</t>
  </si>
  <si>
    <t>08-08-2023</t>
  </si>
  <si>
    <t>UPI/P2A/358618747260/HARKHANI /State Ban/UPI</t>
  </si>
  <si>
    <t xml:space="preserve">           935460.14</t>
  </si>
  <si>
    <t>10-08-2023</t>
  </si>
  <si>
    <t>UPI/P2A/322295059869/NIRTESH K/Union Ban/UPI</t>
  </si>
  <si>
    <t xml:space="preserve">             20133.00</t>
  </si>
  <si>
    <t xml:space="preserve">           915327.14</t>
  </si>
  <si>
    <t>UPI/P2A/322243309804/Shibhaji /Airtel Pa/Payment</t>
  </si>
  <si>
    <t xml:space="preserve">              8300.00</t>
  </si>
  <si>
    <t xml:space="preserve">           907027.14</t>
  </si>
  <si>
    <t>UPI/P2A/322200415849/Ravi  Kum/Fino Paym/Payment</t>
  </si>
  <si>
    <t xml:space="preserve">             36265.00</t>
  </si>
  <si>
    <t xml:space="preserve">           870762.14</t>
  </si>
  <si>
    <t>UPI/P2A/322295507299/Arjun Kan/Fino Paym/ashish</t>
  </si>
  <si>
    <t xml:space="preserve">              6250.00</t>
  </si>
  <si>
    <t xml:space="preserve">           864512.14</t>
  </si>
  <si>
    <t>UPI/P2A/322295537736/Arjun Kan/Fino Paym/UPI</t>
  </si>
  <si>
    <t xml:space="preserve">              3354.00</t>
  </si>
  <si>
    <t xml:space="preserve">           861158.14</t>
  </si>
  <si>
    <t>NEFT/AXOMB32222221574//GIPL SALES</t>
  </si>
  <si>
    <t xml:space="preserve">             73995.00</t>
  </si>
  <si>
    <t xml:space="preserve">           787163.14</t>
  </si>
  <si>
    <t>11-08-2023</t>
  </si>
  <si>
    <t>UPI/P2A/322323450303/SUSHIL/Union Ban/UPI</t>
  </si>
  <si>
    <t xml:space="preserve">             15833.00</t>
  </si>
  <si>
    <t xml:space="preserve">           771330.14</t>
  </si>
  <si>
    <t>UPI/P2A/358930894240/Vikash Ku/Bank of B/Payment</t>
  </si>
  <si>
    <t xml:space="preserve">              2333.00</t>
  </si>
  <si>
    <t xml:space="preserve">           768997.14</t>
  </si>
  <si>
    <t>UPI/P2M/322348428150/KRISHNA S/Yes Bank /UPI</t>
  </si>
  <si>
    <t xml:space="preserve">              6500.00</t>
  </si>
  <si>
    <t xml:space="preserve">           762497.14</t>
  </si>
  <si>
    <t>12-08-2023</t>
  </si>
  <si>
    <t>UPI/P2A/322462768041/Shibhaji /Airtel Pa/Payment</t>
  </si>
  <si>
    <t xml:space="preserve">           760497.14</t>
  </si>
  <si>
    <t xml:space="preserve">           760479.14</t>
  </si>
  <si>
    <t xml:space="preserve">           760379.14</t>
  </si>
  <si>
    <t>13-08-2023</t>
  </si>
  <si>
    <t>NEFT/AXOMB32251813730//Umiya Tex</t>
  </si>
  <si>
    <t xml:space="preserve">           710379.14</t>
  </si>
  <si>
    <t>UPI/P2A/322519316300/RAVI  MAU/Kotak Mah/UPI</t>
  </si>
  <si>
    <t xml:space="preserve">              8800.00</t>
  </si>
  <si>
    <t xml:space="preserve">           701579.14</t>
  </si>
  <si>
    <t>14-08-2023</t>
  </si>
  <si>
    <t>UPI/P2A/322651943410/Ravi  Kum/Fino Paym/Payment</t>
  </si>
  <si>
    <t xml:space="preserve">           700579.14</t>
  </si>
  <si>
    <t>NEFT/AXOMB32264937253//Umiya Tex</t>
  </si>
  <si>
    <t xml:space="preserve">             29554.00</t>
  </si>
  <si>
    <t xml:space="preserve">           671025.14</t>
  </si>
  <si>
    <t>18-08-2023</t>
  </si>
  <si>
    <t>UPI/P2A/323011410925/ROHITKUMA/DBS Bank /digital</t>
  </si>
  <si>
    <t xml:space="preserve">           670325.14</t>
  </si>
  <si>
    <t>19-08-2023</t>
  </si>
  <si>
    <t xml:space="preserve">           91195</t>
  </si>
  <si>
    <t>By Clg 091195 016  Surat</t>
  </si>
  <si>
    <t xml:space="preserve">             10523.00</t>
  </si>
  <si>
    <t xml:space="preserve">           680848.14</t>
  </si>
  <si>
    <t xml:space="preserve">             241</t>
  </si>
  <si>
    <t>By Clg 000241 240  Surat</t>
  </si>
  <si>
    <t xml:space="preserve">             22221.00</t>
  </si>
  <si>
    <t xml:space="preserve">           703069.14</t>
  </si>
  <si>
    <t>21-08-2023</t>
  </si>
  <si>
    <t>UPI/P2A/323318401127/Deepak Ma/Fino Paym/UPI</t>
  </si>
  <si>
    <t xml:space="preserve">           701069.14</t>
  </si>
  <si>
    <t>22-08-2023</t>
  </si>
  <si>
    <t xml:space="preserve">          120180</t>
  </si>
  <si>
    <t>By Clg 120180 251  Surat</t>
  </si>
  <si>
    <t xml:space="preserve">            103329.00</t>
  </si>
  <si>
    <t xml:space="preserve">           804398.14</t>
  </si>
  <si>
    <t>23-08-2023</t>
  </si>
  <si>
    <t>NEFT/AXOMB32353073873//Rajnis Dobariya</t>
  </si>
  <si>
    <t xml:space="preserve">           790398.14</t>
  </si>
  <si>
    <t>NEFT/AXOMB32353187550//GIPL SALES</t>
  </si>
  <si>
    <t xml:space="preserve">             12050.00</t>
  </si>
  <si>
    <t xml:space="preserve">           778348.14</t>
  </si>
  <si>
    <t>NEFT/AXOMB32353188307//GIPL SALES</t>
  </si>
  <si>
    <t xml:space="preserve">             27826.00</t>
  </si>
  <si>
    <t xml:space="preserve">           750522.14</t>
  </si>
  <si>
    <t xml:space="preserve">             674</t>
  </si>
  <si>
    <t>By Clg 000674 240  Surat</t>
  </si>
  <si>
    <t xml:space="preserve">             56250.00</t>
  </si>
  <si>
    <t xml:space="preserve">           806772.14</t>
  </si>
  <si>
    <t>25-08-2023</t>
  </si>
  <si>
    <t>NEFT/MB/AXOMB32379175120/pratik babadiya/STATE BANK OF INDIA/Others-gst</t>
  </si>
  <si>
    <t xml:space="preserve">             72072.00</t>
  </si>
  <si>
    <t xml:space="preserve">           734700.14</t>
  </si>
  <si>
    <t>UPI/P2A/323794929222/SUSHIL/Union Ban/UPI</t>
  </si>
  <si>
    <t xml:space="preserve">           724700.14</t>
  </si>
  <si>
    <t>UPI/P2A/323794984920/Rajkumar /Fino Paym/rajkuma</t>
  </si>
  <si>
    <t xml:space="preserve">           714700.14</t>
  </si>
  <si>
    <t>UPI/P2A/323795004601/Deepak Ma/Fino Paym/UPI</t>
  </si>
  <si>
    <t xml:space="preserve">           709700.14</t>
  </si>
  <si>
    <t>UPI/P2A/323795601449/VIKASH KU/Union Ban/UPI</t>
  </si>
  <si>
    <t xml:space="preserve">           703700.14</t>
  </si>
  <si>
    <t>26-08-2023</t>
  </si>
  <si>
    <t>UPI/P2A/323888545046/Ravi  Kum/Fino Paym/Payment</t>
  </si>
  <si>
    <t xml:space="preserve">              3500.00</t>
  </si>
  <si>
    <t xml:space="preserve">           700200.14</t>
  </si>
  <si>
    <t>NEFT/MB/AXOMB32382292463/Rameshbhai Dobariya/BANK OF BARODA/</t>
  </si>
  <si>
    <t xml:space="preserve">           685200.14</t>
  </si>
  <si>
    <t>28-08-2023</t>
  </si>
  <si>
    <t>NEFT/MB/AXOMB32408274871/janki metalik/KOTAK MAHINDRA BANK /Others-j m thread</t>
  </si>
  <si>
    <t xml:space="preserve">             98335.00</t>
  </si>
  <si>
    <t xml:space="preserve">           586865.14</t>
  </si>
  <si>
    <t>29-08-2023</t>
  </si>
  <si>
    <t>NEFT/MB/AXOMB32411283147/GIPL SALES/IDBI BANK LTD/Others</t>
  </si>
  <si>
    <t xml:space="preserve">             72302.00</t>
  </si>
  <si>
    <t xml:space="preserve">           514563.14</t>
  </si>
  <si>
    <t>31-08-2023</t>
  </si>
  <si>
    <t>NEFT/HS92324314324714/RAJNISHBHAI RAMESHBHAI DOBAR</t>
  </si>
  <si>
    <t xml:space="preserve">           528563.14</t>
  </si>
  <si>
    <t>01-09-2023</t>
  </si>
  <si>
    <t>IMPS/P2A/324411253136/FENALIWE/TheVarac/pay</t>
  </si>
  <si>
    <t xml:space="preserve">           528564.14</t>
  </si>
  <si>
    <t>IMPS/P2A/324411253173/FENALIWE/TheVarac/pay</t>
  </si>
  <si>
    <t xml:space="preserve">             49999.00</t>
  </si>
  <si>
    <t xml:space="preserve">           578563.14</t>
  </si>
  <si>
    <t>UPI/P2A/324471384569/Deepak Ma/Fino Paym/UPI</t>
  </si>
  <si>
    <t xml:space="preserve">           573563.14</t>
  </si>
  <si>
    <t>03-09-2023</t>
  </si>
  <si>
    <t>UPI/P2A/324689836100/Ravi  Kum/Fino Paym/Payment</t>
  </si>
  <si>
    <t xml:space="preserve">           568563.14</t>
  </si>
  <si>
    <t>UPI/P2A/324632210885/VIJAY GOPALBHAI DHADU/UPI</t>
  </si>
  <si>
    <t xml:space="preserve">           568063.14</t>
  </si>
  <si>
    <t>UPI/P2A/324640712707/Deepak Ma/Fino Paym/UPI</t>
  </si>
  <si>
    <t xml:space="preserve">           567563.14</t>
  </si>
  <si>
    <t>05-09-2023</t>
  </si>
  <si>
    <t>UPI/P2A/324821161930/KRISHNA THREAD       /H anil</t>
  </si>
  <si>
    <t xml:space="preserve">              7545.00</t>
  </si>
  <si>
    <t xml:space="preserve">           560018.14</t>
  </si>
  <si>
    <t>UPI/P2M/324838374921/Electronic Cable   Co/UPI</t>
  </si>
  <si>
    <t xml:space="preserve">              3750.00</t>
  </si>
  <si>
    <t xml:space="preserve">           556268.14</t>
  </si>
  <si>
    <t>IMPS/P2A/324807259479/FENALIWE/TheVarac/pay</t>
  </si>
  <si>
    <t xml:space="preserve">           606268.14</t>
  </si>
  <si>
    <t xml:space="preserve">          120190</t>
  </si>
  <si>
    <t>By Clg 120190 251  Surat</t>
  </si>
  <si>
    <t xml:space="preserve">             97601.00</t>
  </si>
  <si>
    <t xml:space="preserve">           703869.14</t>
  </si>
  <si>
    <t xml:space="preserve">             222</t>
  </si>
  <si>
    <t>By Clg 000222 240  Surat</t>
  </si>
  <si>
    <t xml:space="preserve">             30129.00</t>
  </si>
  <si>
    <t xml:space="preserve">           733998.14</t>
  </si>
  <si>
    <t>06-09-2023</t>
  </si>
  <si>
    <t>NEFT/MB/AXOMB32495253387/Rajnis Dobariya/ICICI BANK LIMITED/</t>
  </si>
  <si>
    <t xml:space="preserve">           719998.14</t>
  </si>
  <si>
    <t>NEFT/MB/AXOMB32495467162/GIPL SALES/IDBI BANK LTD/</t>
  </si>
  <si>
    <t xml:space="preserve">             69565.00</t>
  </si>
  <si>
    <t xml:space="preserve">           650433.14</t>
  </si>
  <si>
    <t>07-09-2023</t>
  </si>
  <si>
    <t>UPI/P2A/325017974291/DINESHKUMAR ROSHANLAL/UPI/Prime Co-Operative B</t>
  </si>
  <si>
    <t xml:space="preserve">                45.00</t>
  </si>
  <si>
    <t xml:space="preserve">           650388.14</t>
  </si>
  <si>
    <t xml:space="preserve">               9</t>
  </si>
  <si>
    <t>By Clg 000009 012  Surat</t>
  </si>
  <si>
    <t xml:space="preserve">              8881.00</t>
  </si>
  <si>
    <t xml:space="preserve">           659269.14</t>
  </si>
  <si>
    <t xml:space="preserve">             933</t>
  </si>
  <si>
    <t>By Clg 000933 229  Surat</t>
  </si>
  <si>
    <t xml:space="preserve">            552111.00</t>
  </si>
  <si>
    <t xml:space="preserve">          1211380.14</t>
  </si>
  <si>
    <t>08-09-2023</t>
  </si>
  <si>
    <t>UPI/P2M/325140381847/JAVED YUSUF NIRBAN   /UPI/Yes Bank Ltd</t>
  </si>
  <si>
    <t xml:space="preserve">              4251.00</t>
  </si>
  <si>
    <t xml:space="preserve">          1207129.14</t>
  </si>
  <si>
    <t>UPI/P2A/325146586051/Deepak Maurya        /ajaybh/Fino Payments Bank</t>
  </si>
  <si>
    <t xml:space="preserve">          1204629.14</t>
  </si>
  <si>
    <t>09-09-2023</t>
  </si>
  <si>
    <t>ECOM PUR/SURAT MUNICIP/MUMBAI/090923/06:11</t>
  </si>
  <si>
    <t xml:space="preserve">              1906.00</t>
  </si>
  <si>
    <t xml:space="preserve">          1202723.14</t>
  </si>
  <si>
    <t>UPI/P2A/325231532692/Shibhaji Bipra Pradha/Paymen/Airtel Payments Bank</t>
  </si>
  <si>
    <t xml:space="preserve">          1200723.14</t>
  </si>
  <si>
    <t>UPI/P2A/325215409815/Deepak Maurya        /UPI/Fino Payments Bank</t>
  </si>
  <si>
    <t xml:space="preserve">          1198723.14</t>
  </si>
  <si>
    <t>10-09-2023</t>
  </si>
  <si>
    <t>UPI/P2M/325330211314/SAGAR HARDWARE AND PL/khila/ICICI Bank</t>
  </si>
  <si>
    <t xml:space="preserve">          1198523.14</t>
  </si>
  <si>
    <t>UPI/P2M/325334934976/VISHWAKARMA PLYWOOD A/cable/HDFC BANK LTD</t>
  </si>
  <si>
    <t xml:space="preserve">               350.00</t>
  </si>
  <si>
    <t xml:space="preserve">          1198173.14</t>
  </si>
  <si>
    <t>UPI/P2A/325351787825/DOBARIYA JAYASUKH RAM/dipak/Bank of Baroda</t>
  </si>
  <si>
    <t xml:space="preserve">          1197573.14</t>
  </si>
  <si>
    <t>11-09-2023</t>
  </si>
  <si>
    <t>UPI/P2A/325483423942/VIKASH KUMAR         /UPI/Union Bank of India</t>
  </si>
  <si>
    <t xml:space="preserve">              9094.00</t>
  </si>
  <si>
    <t xml:space="preserve">          1188479.14</t>
  </si>
  <si>
    <t>UPI/P2A/325413405840/Shibhaji Bipra Pradha/Paymen/Airtel Payments Bank</t>
  </si>
  <si>
    <t xml:space="preserve">              3816.00</t>
  </si>
  <si>
    <t xml:space="preserve">          1184663.14</t>
  </si>
  <si>
    <t>UPI/P2A/325483746975/SHTRUDHAN KUMAR      /UPI/India Post Payments</t>
  </si>
  <si>
    <t xml:space="preserve">              3100.00</t>
  </si>
  <si>
    <t xml:space="preserve">          1181563.14</t>
  </si>
  <si>
    <t>UPI/P2A/325483803826/Subhakar  Kumar      /UPI/Fino Payments Bank</t>
  </si>
  <si>
    <t xml:space="preserve">              7566.00</t>
  </si>
  <si>
    <t xml:space="preserve">          1173997.14</t>
  </si>
  <si>
    <t>UPI/P2A/325428124309/RAKESH KUMAR         /Paymen/India Post Payments</t>
  </si>
  <si>
    <t xml:space="preserve">             24300.00</t>
  </si>
  <si>
    <t xml:space="preserve">          1149697.14</t>
  </si>
  <si>
    <t>UPI/P2A/325470003746/Dharmraj             /Paymen/Fino Payments Bank</t>
  </si>
  <si>
    <t xml:space="preserve">              4500.00</t>
  </si>
  <si>
    <t xml:space="preserve">          1145197.14</t>
  </si>
  <si>
    <t>12-09-2023</t>
  </si>
  <si>
    <t>UPI/P2A/325597388965/VIKASH KUMAR         /kishan/Union Bank of India</t>
  </si>
  <si>
    <t xml:space="preserve">              6666.00</t>
  </si>
  <si>
    <t xml:space="preserve">          1138531.14</t>
  </si>
  <si>
    <t>UPI/P2A/325597441900/Ravi  Kumar          /UPI/Fino Payments Bank</t>
  </si>
  <si>
    <t xml:space="preserve">              9999.00</t>
  </si>
  <si>
    <t xml:space="preserve">          1128532.14</t>
  </si>
  <si>
    <t>UPI/P2A/325598019609/VIKASH KUMAR         /akash/Union Bank of India</t>
  </si>
  <si>
    <t xml:space="preserve">          1122032.14</t>
  </si>
  <si>
    <t>NEFT/MB/AXOMB32552752218/Rameshbhai Dobariya/BANK OF BARODA/Others</t>
  </si>
  <si>
    <t xml:space="preserve">          1102032.14</t>
  </si>
  <si>
    <t>UPI/P2A/325598565851/Deepak Maurya        /UPI/Fino Payments Bank</t>
  </si>
  <si>
    <t xml:space="preserve">             12866.00</t>
  </si>
  <si>
    <t xml:space="preserve">          1089166.14</t>
  </si>
  <si>
    <t>NEFT/MB/AXOMB32552758658/Anokhi creation/ICICI BANK LIMITED/</t>
  </si>
  <si>
    <t xml:space="preserve">             12243.00</t>
  </si>
  <si>
    <t xml:space="preserve">          1076923.14</t>
  </si>
  <si>
    <t>NEFT/MB/AXOMB32552758769/lemerite yarn/SHINHAN BANK/</t>
  </si>
  <si>
    <t xml:space="preserve">            400000.00</t>
  </si>
  <si>
    <t xml:space="preserve">           676923.14</t>
  </si>
  <si>
    <t>UPI/P2A/325510104135/SUSHIL               /UPI/Union Bank of India</t>
  </si>
  <si>
    <t xml:space="preserve">           674923.14</t>
  </si>
  <si>
    <t>NEFT/MB/AXOMB32552840075/Ronal Enterprise/UNION BANK OF INDIA/</t>
  </si>
  <si>
    <t xml:space="preserve">           624923.14</t>
  </si>
  <si>
    <t>NEFT/MB/AXOMB32552843937/Ronal Enterprise/UNION BANK OF INDIA/</t>
  </si>
  <si>
    <t xml:space="preserve">            114900.00</t>
  </si>
  <si>
    <t xml:space="preserve">           510023.14</t>
  </si>
  <si>
    <t>13-09-2023</t>
  </si>
  <si>
    <t>NEFT/MB/AXOMB32565900576/magination solution/ICICI BANK LIMITED/</t>
  </si>
  <si>
    <t xml:space="preserve">             20296.00</t>
  </si>
  <si>
    <t xml:space="preserve">           489727.14</t>
  </si>
  <si>
    <t>15-09-2023</t>
  </si>
  <si>
    <t>NEFT/MB/AXOMB32581951682/GIPL SALES/IDBI BANK LTD/</t>
  </si>
  <si>
    <t xml:space="preserve">             70372.00</t>
  </si>
  <si>
    <t xml:space="preserve">           419355.14</t>
  </si>
  <si>
    <t>16-09-2023</t>
  </si>
  <si>
    <t>UPI/P2A/325912360662/RAKESH KUMAR         /Paymen/India Post Payments</t>
  </si>
  <si>
    <t xml:space="preserve">           414355.14</t>
  </si>
  <si>
    <t>NEFT/SPCBN23259012052/kp enterprises//ATTN/bill</t>
  </si>
  <si>
    <t xml:space="preserve">             35689.00</t>
  </si>
  <si>
    <t xml:space="preserve">           450044.14</t>
  </si>
  <si>
    <t>18-09-2023</t>
  </si>
  <si>
    <t>NEFT/HS92326116619523/RAJNISHBHAI RAMESHBHAI DOBAR</t>
  </si>
  <si>
    <t xml:space="preserve">           464044.14</t>
  </si>
  <si>
    <t>19-09-2023</t>
  </si>
  <si>
    <t>UPI/P2A/326278500849/RAMANATH GOPINATH BAG/Paymen/Union Bank of India</t>
  </si>
  <si>
    <t xml:space="preserve">           463544.14</t>
  </si>
  <si>
    <t xml:space="preserve">             109</t>
  </si>
  <si>
    <t>By Clg 000109 289  Surat</t>
  </si>
  <si>
    <t xml:space="preserve">            155617.00</t>
  </si>
  <si>
    <t xml:space="preserve">           619161.14</t>
  </si>
  <si>
    <t xml:space="preserve">             741</t>
  </si>
  <si>
    <t>By Clg 000741 229  Surat</t>
  </si>
  <si>
    <t xml:space="preserve">             21051.00</t>
  </si>
  <si>
    <t xml:space="preserve">           640212.14</t>
  </si>
  <si>
    <t xml:space="preserve">             597</t>
  </si>
  <si>
    <t>By Clg 000597 313  Surat</t>
  </si>
  <si>
    <t xml:space="preserve">              4620.00</t>
  </si>
  <si>
    <t xml:space="preserve">           644832.14</t>
  </si>
  <si>
    <t>21-09-2023</t>
  </si>
  <si>
    <t xml:space="preserve">            1610</t>
  </si>
  <si>
    <t>By Clg 001610 229  Surat</t>
  </si>
  <si>
    <t xml:space="preserve">             37670.00</t>
  </si>
  <si>
    <t xml:space="preserve">           682502.14</t>
  </si>
  <si>
    <t>22-09-2023</t>
  </si>
  <si>
    <t>NEFT/MB/AXOMB32652414568/pratik babadiya/STATE BANK OF INDIA/Others-gst</t>
  </si>
  <si>
    <t xml:space="preserve">            138148.00</t>
  </si>
  <si>
    <t xml:space="preserve">           544354.14</t>
  </si>
  <si>
    <t>UPI/P2A/326528711594/SORATHIYA NIKUNJKUMAR/konik/ICICI Bank</t>
  </si>
  <si>
    <t xml:space="preserve">              3600.00</t>
  </si>
  <si>
    <t xml:space="preserve">           540754.14</t>
  </si>
  <si>
    <t>UPI/P2A/326533969810/PREM KUMAR CHAUDHARY /dhanpa/AU small Finance Ban</t>
  </si>
  <si>
    <t xml:space="preserve">             14500.00</t>
  </si>
  <si>
    <t xml:space="preserve">           526254.14</t>
  </si>
  <si>
    <t>UPI/P2M/326535195743/NAVSHAKTI CORPORATION/Verifi/Federal Bank</t>
  </si>
  <si>
    <t xml:space="preserve">           524254.14</t>
  </si>
  <si>
    <t>UPI/P2M/326535207348/NAVSHAKTI CORPORATION/UPI/Federal Bank</t>
  </si>
  <si>
    <t xml:space="preserve">               281.00</t>
  </si>
  <si>
    <t xml:space="preserve">           523973.14</t>
  </si>
  <si>
    <t>UPI/P2M/326535750957/M/S.. PATEL BEARING C/UPI/Yes Bank Ltd</t>
  </si>
  <si>
    <t xml:space="preserve">               708.00</t>
  </si>
  <si>
    <t xml:space="preserve">           523265.14</t>
  </si>
  <si>
    <t xml:space="preserve">             256</t>
  </si>
  <si>
    <t>By Clg 000256 240  Surat</t>
  </si>
  <si>
    <t xml:space="preserve">             39178.00</t>
  </si>
  <si>
    <t xml:space="preserve">           562443.14</t>
  </si>
  <si>
    <t xml:space="preserve">             492</t>
  </si>
  <si>
    <t>By Clg 000492 229  Surat</t>
  </si>
  <si>
    <t xml:space="preserve">             50035.00</t>
  </si>
  <si>
    <t xml:space="preserve">           612478.14</t>
  </si>
  <si>
    <t xml:space="preserve">             743</t>
  </si>
  <si>
    <t>By Clg 000743 229  Surat</t>
  </si>
  <si>
    <t xml:space="preserve">             44782.00</t>
  </si>
  <si>
    <t xml:space="preserve">           657260.14</t>
  </si>
  <si>
    <t>23-09-2023</t>
  </si>
  <si>
    <t>ECOM PUR/GTPL HATHWAY/NOIDA/230923/06:34</t>
  </si>
  <si>
    <t xml:space="preserve">              6363.00</t>
  </si>
  <si>
    <t xml:space="preserve">           650897.14</t>
  </si>
  <si>
    <t>24-09-2023</t>
  </si>
  <si>
    <t>Monthly Service Chrgs</t>
  </si>
  <si>
    <t xml:space="preserve">           650797.14</t>
  </si>
  <si>
    <t>GST @18% on Monthly Service Ch</t>
  </si>
  <si>
    <t xml:space="preserve">           650779.14</t>
  </si>
  <si>
    <t>25-09-2023</t>
  </si>
  <si>
    <t>UPI/P2A/326848310556/Shibhaji Bipra Pradha/Paymen/Airtel Payments Bank</t>
  </si>
  <si>
    <t xml:space="preserve">           640779.14</t>
  </si>
  <si>
    <t>UPI/P2A/326836113588/Subhakar  Kumar      /UPI/Fino Payments Bank</t>
  </si>
  <si>
    <t xml:space="preserve">           635779.14</t>
  </si>
  <si>
    <t>UPI/P2A/326836129946/Subhakar  Kumar      /akash/Fino Payments Bank</t>
  </si>
  <si>
    <t xml:space="preserve">           629779.14</t>
  </si>
  <si>
    <t>UPI/P2A/326836181668/VIKASH KUMAR         /rohit/Union Bank of India</t>
  </si>
  <si>
    <t xml:space="preserve">           623779.14</t>
  </si>
  <si>
    <t>UPI/P2A/326836367471/SUSHIL               /UPI/Union Bank of India</t>
  </si>
  <si>
    <t xml:space="preserve">           618779.14</t>
  </si>
  <si>
    <t>UPI/P2A/326836402652/SUSHIL               /amit/Union Bank of India</t>
  </si>
  <si>
    <t xml:space="preserve">           613779.14</t>
  </si>
  <si>
    <t>UPI/P2A/326836490232/VIKASH KUMAR         /kishaa/Union Bank of India</t>
  </si>
  <si>
    <t xml:space="preserve">           612279.14</t>
  </si>
  <si>
    <t>UPI/P2A/326836594210/VIKASH KUMAR         /jugind/Union Bank of India</t>
  </si>
  <si>
    <t xml:space="preserve">           610279.14</t>
  </si>
  <si>
    <t>UPI/P2A/326844297555/SUSHIL               /ajay s/Union Bank of India</t>
  </si>
  <si>
    <t xml:space="preserve">           605279.14</t>
  </si>
  <si>
    <t>UPI/P2A/326844323437/Rajkumar ..          /UPI/Fino Payments Bank</t>
  </si>
  <si>
    <t xml:space="preserve">           595279.14</t>
  </si>
  <si>
    <t>UPI/P2A/326844383911/Ravi  Kumar          /UPI/Fino Payments Bank</t>
  </si>
  <si>
    <t xml:space="preserve">           590779.14</t>
  </si>
  <si>
    <t xml:space="preserve">              11</t>
  </si>
  <si>
    <t>By Clg 000011 012  Surat</t>
  </si>
  <si>
    <t xml:space="preserve">              9580.00</t>
  </si>
  <si>
    <t xml:space="preserve">           600359.14</t>
  </si>
  <si>
    <t>UPI/P2M/326864847075/Vardhman Retail      /UPI/Paytm Payments Bank</t>
  </si>
  <si>
    <t xml:space="preserve">               348.00</t>
  </si>
  <si>
    <t xml:space="preserve">           600011.14</t>
  </si>
  <si>
    <t>26-09-2023</t>
  </si>
  <si>
    <t>UPI/P2M/326977509766/Jay girnari steel and/UPI/Axis Bank Ltd.</t>
  </si>
  <si>
    <t xml:space="preserve">              3150.00</t>
  </si>
  <si>
    <t xml:space="preserve">           596861.14</t>
  </si>
  <si>
    <t>UPI/P2A/326979347260/NITESH JAYANTIBHAI SO/UPI/State Bank Of India</t>
  </si>
  <si>
    <t xml:space="preserve">               400.00</t>
  </si>
  <si>
    <t xml:space="preserve">           596461.14</t>
  </si>
  <si>
    <t>UPI/P2A/326983682104/Deepak Maurya        /UPI/Fino Payments Bank</t>
  </si>
  <si>
    <t xml:space="preserve">           589461.14</t>
  </si>
  <si>
    <t>UPI/P2A/326998976428/NITESH JAYANTIBHAI SO/veldin/State Bank Of India</t>
  </si>
  <si>
    <t xml:space="preserve">              1400.00</t>
  </si>
  <si>
    <t xml:space="preserve">           588061.14</t>
  </si>
  <si>
    <t>27-09-2023</t>
  </si>
  <si>
    <t>UPI/P2A/327031348357/KRISHNA THREAD       /courin/The Varachha Co-Op B</t>
  </si>
  <si>
    <t xml:space="preserve">              4150.00</t>
  </si>
  <si>
    <t xml:space="preserve">           583911.14</t>
  </si>
  <si>
    <t xml:space="preserve">             277</t>
  </si>
  <si>
    <t>By Clg 000277 240  Surat</t>
  </si>
  <si>
    <t xml:space="preserve">             41012.00</t>
  </si>
  <si>
    <t xml:space="preserve">             245</t>
  </si>
  <si>
    <t>By Clg 000245 240  Surat</t>
  </si>
  <si>
    <t xml:space="preserve">              8157.00</t>
  </si>
  <si>
    <t xml:space="preserve">           633080.14</t>
  </si>
  <si>
    <t xml:space="preserve">             215</t>
  </si>
  <si>
    <t>By Clg 000215 485  Surat</t>
  </si>
  <si>
    <t xml:space="preserve">            361233.00</t>
  </si>
  <si>
    <t xml:space="preserve">           994313.14</t>
  </si>
  <si>
    <t>28-09-2023</t>
  </si>
  <si>
    <t xml:space="preserve">             497</t>
  </si>
  <si>
    <t>By Clg 000497 229  Surat</t>
  </si>
  <si>
    <t xml:space="preserve">             60543.00</t>
  </si>
  <si>
    <t xml:space="preserve">          1054856.14</t>
  </si>
  <si>
    <t xml:space="preserve">          125522</t>
  </si>
  <si>
    <t>By Clg 125522 251  Surat</t>
  </si>
  <si>
    <t xml:space="preserve">             89141.00</t>
  </si>
  <si>
    <t xml:space="preserve">          1143997.14</t>
  </si>
  <si>
    <t>29-09-2023</t>
  </si>
  <si>
    <t>UPI/P2M/327210200862/billdesktez          /UPI/ICICI Bank</t>
  </si>
  <si>
    <t xml:space="preserve">             22130.00</t>
  </si>
  <si>
    <t xml:space="preserve">          1121867.14</t>
  </si>
  <si>
    <t>UPI/P2A/327219327200/TEJAS KIRANBHAI MISTR/help/ICICI Bank</t>
  </si>
  <si>
    <t xml:space="preserve">          1111867.14</t>
  </si>
  <si>
    <t>UPI/P2A/327244639839/SANDIP KUMAR         /ashish/Union Bank of India</t>
  </si>
  <si>
    <t xml:space="preserve">          1110867.14</t>
  </si>
  <si>
    <t>30-09-2023</t>
  </si>
  <si>
    <t>UPI/P2A/327350489665/Mr Arvind Kushawaha  /arvind/Indian Bank</t>
  </si>
  <si>
    <t xml:space="preserve">          1109867.14</t>
  </si>
  <si>
    <t>UPI/P2A/327381526559/Shibhaji Bipra Pradha/Paymen/Airtel Payments Bank</t>
  </si>
  <si>
    <t xml:space="preserve">          1107367.14</t>
  </si>
  <si>
    <t>UPI/P2A/363913490014/TEJAS KIR/ICICI Ban/help ret/</t>
  </si>
  <si>
    <t xml:space="preserve">          1117367.14</t>
  </si>
  <si>
    <t>02-10-2023</t>
  </si>
  <si>
    <t>UPI/P2A/327545523147/KRISHNA THREAD       /courin/The Varachha Co-Op B</t>
  </si>
  <si>
    <t xml:space="preserve">              1650.00</t>
  </si>
  <si>
    <t xml:space="preserve">          1115717.14</t>
  </si>
  <si>
    <t>UPI/P2A/327563154317/VIKASH KUMAR         /UPI/Union Bank of India</t>
  </si>
  <si>
    <t xml:space="preserve">          1113717.14</t>
  </si>
  <si>
    <t>UPI/P2A/327573531690/PANKAJ KUMAR YADAV S /mahara/Bank of Baroda</t>
  </si>
  <si>
    <t xml:space="preserve">          1109217.14</t>
  </si>
  <si>
    <t>UPI/P2A/327574153627/SANDIP KUMAR         /ashish/Union Bank of India</t>
  </si>
  <si>
    <t xml:space="preserve">          1108217.14</t>
  </si>
  <si>
    <t>03-10-2023</t>
  </si>
  <si>
    <t>UPI/P2A/327672333280/RAMANATH GOPINATH BAG/Paymen/Union Bank of India</t>
  </si>
  <si>
    <t xml:space="preserve">          1105217.14</t>
  </si>
  <si>
    <t>NEFT/MB/AXOMB32766701364/janki metalik/KOTAK MAHINDRA BANK /Others-j m thread</t>
  </si>
  <si>
    <t xml:space="preserve">            110931.00</t>
  </si>
  <si>
    <t xml:space="preserve">           994286.14</t>
  </si>
  <si>
    <t>04-10-2023</t>
  </si>
  <si>
    <t>UPI/P2M/327735184639/KRISHNA ELECTRIC     /electr/Axis Bank Ltd.</t>
  </si>
  <si>
    <t xml:space="preserve">               615.00</t>
  </si>
  <si>
    <t xml:space="preserve">           993671.14</t>
  </si>
  <si>
    <t>IMPS/P2A/327714439493/SHRITIRU/ICICIBAN/KPEnterp/9198251349449229350</t>
  </si>
  <si>
    <t xml:space="preserve">              9907.00</t>
  </si>
  <si>
    <t xml:space="preserve">          1003578.14</t>
  </si>
  <si>
    <t>UPI/P2A/327798346213/Shibhaji Bipra Pradha/Paymen/Airtel Payments Bank</t>
  </si>
  <si>
    <t xml:space="preserve">          1002578.14</t>
  </si>
  <si>
    <t xml:space="preserve">              16</t>
  </si>
  <si>
    <t>By Clg/000016/012 /Surat</t>
  </si>
  <si>
    <t xml:space="preserve">             28237.00</t>
  </si>
  <si>
    <t xml:space="preserve">          1030815.14</t>
  </si>
  <si>
    <t>05-10-2023</t>
  </si>
  <si>
    <t>UPI/P2A/327882448878/Ajay Kumar Maurya    /ajaybh/Fino Payments Bank</t>
  </si>
  <si>
    <t xml:space="preserve">          1029815.14</t>
  </si>
  <si>
    <t>UPI/P2M/327889669246/REDGOLD INDUSTRIES   /Verifi/Federal Bank</t>
  </si>
  <si>
    <t xml:space="preserve">               370.00</t>
  </si>
  <si>
    <t xml:space="preserve">          1029445.14</t>
  </si>
  <si>
    <t xml:space="preserve">          980094</t>
  </si>
  <si>
    <t>By Clg 980094 164  Surat</t>
  </si>
  <si>
    <t xml:space="preserve">             11972.00</t>
  </si>
  <si>
    <t xml:space="preserve">          1041417.14</t>
  </si>
  <si>
    <t>UPI/P2A/327819216279/JIARUL HAQUE ABDUL KA/azad/Kotak Mahindra Bank</t>
  </si>
  <si>
    <t xml:space="preserve">          1039417.14</t>
  </si>
  <si>
    <t>06-10-2023</t>
  </si>
  <si>
    <t>UPI/P2A/327935232975/PRINCE KUMAR SHUKLA  /UPI/Union Bank of India</t>
  </si>
  <si>
    <t xml:space="preserve">          1037417.14</t>
  </si>
  <si>
    <t xml:space="preserve">             957</t>
  </si>
  <si>
    <t>By Clg 000957 229  Surat</t>
  </si>
  <si>
    <t xml:space="preserve">            485174.00</t>
  </si>
  <si>
    <t xml:space="preserve">          1522591.14</t>
  </si>
  <si>
    <t xml:space="preserve">             958</t>
  </si>
  <si>
    <t>By Clg 000958 229  Surat</t>
  </si>
  <si>
    <t xml:space="preserve">            428089.00</t>
  </si>
  <si>
    <t xml:space="preserve">          1950680.14</t>
  </si>
  <si>
    <t xml:space="preserve">             955</t>
  </si>
  <si>
    <t>By Clg 000955 229  Surat</t>
  </si>
  <si>
    <t xml:space="preserve">            358568.00</t>
  </si>
  <si>
    <t xml:space="preserve">          2309248.14</t>
  </si>
  <si>
    <t>07-10-2023</t>
  </si>
  <si>
    <t>UPI/P2A/328066572226/VIKASH KUMAR         /UPI/Union Bank of India</t>
  </si>
  <si>
    <t xml:space="preserve">          2306748.14</t>
  </si>
  <si>
    <t>NEFT/MB/AXOMB32800961582/mahalaxmi/SUTEX COOPERATIVE BA/</t>
  </si>
  <si>
    <t xml:space="preserve">            342048.00</t>
  </si>
  <si>
    <t xml:space="preserve">          1964700.14</t>
  </si>
  <si>
    <t>UPI/P2A/328091113725/SUSHIL               /UPI/Union Bank of India</t>
  </si>
  <si>
    <t xml:space="preserve">          1963700.14</t>
  </si>
  <si>
    <t xml:space="preserve">          125529</t>
  </si>
  <si>
    <t>By Clg 125529 251  Surat</t>
  </si>
  <si>
    <t xml:space="preserve">             84008.00</t>
  </si>
  <si>
    <t xml:space="preserve">          2047708.14</t>
  </si>
  <si>
    <t xml:space="preserve">            1620</t>
  </si>
  <si>
    <t>By Clg 001620 229  Surat</t>
  </si>
  <si>
    <t xml:space="preserve">             50292.00</t>
  </si>
  <si>
    <t xml:space="preserve">          2098000.14</t>
  </si>
  <si>
    <t>UPI/P2A/328097469179/DOBARIYA JAYASUKH RAM/UPI/Bank of Baroda</t>
  </si>
  <si>
    <t xml:space="preserve">          2095500.14</t>
  </si>
  <si>
    <t>09-10-2023</t>
  </si>
  <si>
    <t xml:space="preserve">             113</t>
  </si>
  <si>
    <t>By Clg 000113 126  Surat</t>
  </si>
  <si>
    <t xml:space="preserve">             25686.00</t>
  </si>
  <si>
    <t xml:space="preserve">          2121186.14</t>
  </si>
  <si>
    <t>10-10-2023</t>
  </si>
  <si>
    <t>UPI/P2M/328313707390/GANESH ELECTRICALS   /ganesh/Axis Bank Ltd.</t>
  </si>
  <si>
    <t xml:space="preserve">          2119186.14</t>
  </si>
  <si>
    <t>UPI/P2M/328313727509/GANESH ELECTRICALS   /UPI/Axis Bank Ltd.</t>
  </si>
  <si>
    <t xml:space="preserve">              9500.00</t>
  </si>
  <si>
    <t xml:space="preserve">          2109686.14</t>
  </si>
  <si>
    <t>UPI/P2A/328316298107/Ravi  Kumar          /brijes/Fino Payments Bank</t>
  </si>
  <si>
    <t xml:space="preserve">             15800.00</t>
  </si>
  <si>
    <t xml:space="preserve">          2093886.14</t>
  </si>
  <si>
    <t>UPI/P2A/328321975833/SUSHIL               /UPI/Union Bank of India</t>
  </si>
  <si>
    <t xml:space="preserve">          2092386.14</t>
  </si>
  <si>
    <t>UPI/P2A/328325509786/Subhakar  Kumar      /UPI/Fino Payments Bank</t>
  </si>
  <si>
    <t xml:space="preserve">             12000.00</t>
  </si>
  <si>
    <t xml:space="preserve">          2080386.14</t>
  </si>
  <si>
    <t>UPI/P2A/328336519024/Ravi  Kumar          /UPI/Fino Payments Bank</t>
  </si>
  <si>
    <t xml:space="preserve">             16000.00</t>
  </si>
  <si>
    <t xml:space="preserve">          2064386.14</t>
  </si>
  <si>
    <t>UPI/P2A/328362513145/RAKESH KUMAR         /Paymen/India Post Payments</t>
  </si>
  <si>
    <t xml:space="preserve">             11800.00</t>
  </si>
  <si>
    <t xml:space="preserve">          2052586.14</t>
  </si>
  <si>
    <t>UPI/P2A/328336875285/Rajkumar ..          /UPI/Fino Payments Bank</t>
  </si>
  <si>
    <t xml:space="preserve">          2040786.14</t>
  </si>
  <si>
    <t>UPI/P2A/328304136141/Shibhaji Bipra Pradha/Paymen/Airtel Payments Bank</t>
  </si>
  <si>
    <t xml:space="preserve">          2038786.14</t>
  </si>
  <si>
    <t>UPI/P2A/328337230316/AVDHESH GIRI SO KASI /UPI/Bank of Baroda</t>
  </si>
  <si>
    <t xml:space="preserve">          2035786.14</t>
  </si>
  <si>
    <t>UPI/P2A/328338040532/VIKASH KUMAR         /UPI/Union Bank of India</t>
  </si>
  <si>
    <t xml:space="preserve">              7166.00</t>
  </si>
  <si>
    <t xml:space="preserve">          2028620.14</t>
  </si>
  <si>
    <t>11-10-2023</t>
  </si>
  <si>
    <t>NEFT/MB/AXOMB32845672579/Revansh Tex/THE GUJARAT STATE CO/</t>
  </si>
  <si>
    <t xml:space="preserve">          1978620.14</t>
  </si>
  <si>
    <t>UPI/P2A/328485388011/Ravi  Kumar          /UPI/Fino Payments Bank</t>
  </si>
  <si>
    <t xml:space="preserve">          1971620.14</t>
  </si>
  <si>
    <t>UPI/P2A/328485474172/Mr Suryaram          /dharma/Indian Bank</t>
  </si>
  <si>
    <t xml:space="preserve">              7124.00</t>
  </si>
  <si>
    <t xml:space="preserve">          1964496.14</t>
  </si>
  <si>
    <t>UPI/P2A/328485546835/VIKASH KUMAR         /UPI/Union Bank of India</t>
  </si>
  <si>
    <t xml:space="preserve">              3266.00</t>
  </si>
  <si>
    <t xml:space="preserve">          1961230.14</t>
  </si>
  <si>
    <t>UPI/P2A/328485626877/Deepak  Maurya       /UPI/Fino Payments Bank</t>
  </si>
  <si>
    <t xml:space="preserve">             25495.00</t>
  </si>
  <si>
    <t xml:space="preserve">          1935735.14</t>
  </si>
  <si>
    <t>12-10-2023</t>
  </si>
  <si>
    <t>UPI/P2A/328570736905/Ravi  Kumar          /Paymen/Fino Payments Bank</t>
  </si>
  <si>
    <t xml:space="preserve">              9000.00</t>
  </si>
  <si>
    <t xml:space="preserve">          1926735.14</t>
  </si>
  <si>
    <t>UPI/P2A/328598871723/SUSHIL               /UPI/Union Bank of India</t>
  </si>
  <si>
    <t xml:space="preserve">             13000.00</t>
  </si>
  <si>
    <t xml:space="preserve">          1913735.14</t>
  </si>
  <si>
    <t>UPI/P2A/328598985166/Ravi  Kumar          /rohit/Fino Payments Bank</t>
  </si>
  <si>
    <t xml:space="preserve">              7533.00</t>
  </si>
  <si>
    <t xml:space="preserve">          1906202.14</t>
  </si>
  <si>
    <t>UPI/P2A/328599165447/SUSHIL               /amit/Union Bank of India</t>
  </si>
  <si>
    <t xml:space="preserve">              5500.00</t>
  </si>
  <si>
    <t xml:space="preserve">          1900702.14</t>
  </si>
  <si>
    <t>UPI/P2A/328599226628/SUSHIL               /ajay s/Union Bank of India</t>
  </si>
  <si>
    <t xml:space="preserve">          1897202.14</t>
  </si>
  <si>
    <t>UPI/P2A/328538204293/RAKESH KUMAR         /Paymen/India Post Payments</t>
  </si>
  <si>
    <t xml:space="preserve">          1892702.14</t>
  </si>
  <si>
    <t>UPI/P2A/328511194717/SUSHIL               /UPI/Union Bank of India</t>
  </si>
  <si>
    <t xml:space="preserve">          1889802.14</t>
  </si>
  <si>
    <t>UPI/P2A/328590858441/Shibhaji Bipra Pradha/Paymen/Airtel Payments Bank</t>
  </si>
  <si>
    <t xml:space="preserve">          1887402.14</t>
  </si>
  <si>
    <t>13-10-2023</t>
  </si>
  <si>
    <t>UPI/P2A/328648927733/SUSHIL               /ajay/Union Bank of India</t>
  </si>
  <si>
    <t xml:space="preserve">               882.00</t>
  </si>
  <si>
    <t xml:space="preserve">          1886520.14</t>
  </si>
  <si>
    <t>UPI/P2A/328656906400/ADITYA SINGH         /UPI/Airtel Payments Bank</t>
  </si>
  <si>
    <t xml:space="preserve">          1871520.14</t>
  </si>
  <si>
    <t>NEFT/MB/AXOMB32862635024/mahalaxmi/SUTEX COOPERATIVE BA/Others-mahalaxmi</t>
  </si>
  <si>
    <t xml:space="preserve">          1529472.14</t>
  </si>
  <si>
    <t>NEFT/MB/AXOMB32862850068/Revansh Tex/THE GUJARAT STATE CO/</t>
  </si>
  <si>
    <t xml:space="preserve">              3296.00</t>
  </si>
  <si>
    <t xml:space="preserve">          1526176.14</t>
  </si>
  <si>
    <t>NEFT/MB/AXOMB32863359427/Bhumi Fancy Yarn/HDFC BANK/</t>
  </si>
  <si>
    <t xml:space="preserve">             23332.00</t>
  </si>
  <si>
    <t xml:space="preserve">          1502844.14</t>
  </si>
  <si>
    <t>14-10-2023</t>
  </si>
  <si>
    <t>UPI/P2A/328759651746/RAKESH KUMAR         /Paymen/India Post Payments</t>
  </si>
  <si>
    <t xml:space="preserve">              2750.00</t>
  </si>
  <si>
    <t xml:space="preserve">          1500094.14</t>
  </si>
  <si>
    <t>UPI/P2A/328721555114/RAMANATH GOPINATH BAG/UPI/Union Bank of India</t>
  </si>
  <si>
    <t xml:space="preserve">          1490094.14</t>
  </si>
  <si>
    <t>15-10-2023</t>
  </si>
  <si>
    <t>UPI/P2A/328866865854/PRINCE KUMAR SHUKLA  /UPI/Union Bank of India</t>
  </si>
  <si>
    <t xml:space="preserve">          1488094.14</t>
  </si>
  <si>
    <t>UPI/P2A/328874580903/RITABEN SANDEEPBHAI M/UPI/Bank of Baroda</t>
  </si>
  <si>
    <t xml:space="preserve">          1486094.14</t>
  </si>
  <si>
    <t>UPI/P2A/328874596642/SANDEEPBHAI KISHORBHA/UPI/Bank of India</t>
  </si>
  <si>
    <t xml:space="preserve">              1460.00</t>
  </si>
  <si>
    <t xml:space="preserve">          1484634.14</t>
  </si>
  <si>
    <t>16-10-2023</t>
  </si>
  <si>
    <t>UPI/P2A/328958683684/KRISHNA THREAD       /UPI/The Varachha Co-Op B</t>
  </si>
  <si>
    <t xml:space="preserve">              2380.00</t>
  </si>
  <si>
    <t xml:space="preserve">          1482254.14</t>
  </si>
  <si>
    <t>17-10-2023</t>
  </si>
  <si>
    <t>NEFT/MB/AXOMB32907730257/pratik babadiya/STATE BANK OF INDIA/Others-gst</t>
  </si>
  <si>
    <t xml:space="preserve">            107558.00</t>
  </si>
  <si>
    <t xml:space="preserve">          1374696.14</t>
  </si>
  <si>
    <t xml:space="preserve">           33992</t>
  </si>
  <si>
    <t>By Clg 033992 019  Surat</t>
  </si>
  <si>
    <t xml:space="preserve">             32707.00</t>
  </si>
  <si>
    <t xml:space="preserve">          1407403.14</t>
  </si>
  <si>
    <t>BRN-OW RTN CLG: REJECT:33992:Instrument undated /</t>
  </si>
  <si>
    <t>2568</t>
  </si>
  <si>
    <t xml:space="preserve">          932576</t>
  </si>
  <si>
    <t>By Clg 932576 060  Surat</t>
  </si>
  <si>
    <t xml:space="preserve">             13678.00</t>
  </si>
  <si>
    <t xml:space="preserve">          1388374.14</t>
  </si>
  <si>
    <t xml:space="preserve">              17</t>
  </si>
  <si>
    <t>By Clg 000017 012  Surat</t>
  </si>
  <si>
    <t xml:space="preserve">             31831.00</t>
  </si>
  <si>
    <t xml:space="preserve">          1420205.14</t>
  </si>
  <si>
    <t xml:space="preserve">             728</t>
  </si>
  <si>
    <t>By Clg 000728 240  Surat</t>
  </si>
  <si>
    <t xml:space="preserve">             32764.00</t>
  </si>
  <si>
    <t xml:space="preserve">          1452969.14</t>
  </si>
  <si>
    <t>19-10-2023</t>
  </si>
  <si>
    <t xml:space="preserve">          1485676.14</t>
  </si>
  <si>
    <t xml:space="preserve">          1485576.14</t>
  </si>
  <si>
    <t xml:space="preserve">          1485558.14</t>
  </si>
  <si>
    <t>20-10-2023</t>
  </si>
  <si>
    <t>UPI/P2A/329385341862/DOBARIYA JAYASUKH RAM/UPI/Bank of Baroda</t>
  </si>
  <si>
    <t xml:space="preserve">          1435558.14</t>
  </si>
  <si>
    <t xml:space="preserve">             306</t>
  </si>
  <si>
    <t>By Clg 000306 240  Surat</t>
  </si>
  <si>
    <t xml:space="preserve">             15832.00</t>
  </si>
  <si>
    <t xml:space="preserve">          1451390.14</t>
  </si>
  <si>
    <t>NEFT/MB/AXOMB32939470327/Revansh Tex/THE GUJARAT STATE CO/</t>
  </si>
  <si>
    <t xml:space="preserve">             22754.00</t>
  </si>
  <si>
    <t xml:space="preserve">          1428636.14</t>
  </si>
  <si>
    <t>21-10-2023</t>
  </si>
  <si>
    <t>UPI/P2A/329418284566/DOBARIYA JAYASUKH RAM/UPI/Bank of Baroda</t>
  </si>
  <si>
    <t xml:space="preserve">             23000.00</t>
  </si>
  <si>
    <t xml:space="preserve">          1405636.14</t>
  </si>
  <si>
    <t>NEFT/KCCBN23294636769/A STAR ENTERPRISE//</t>
  </si>
  <si>
    <t xml:space="preserve">             33271.00</t>
  </si>
  <si>
    <t xml:space="preserve">          1438907.14</t>
  </si>
  <si>
    <t>IMPS/P2A/329412611241/SHRITIRU/ICICIBAN/kpenterp/9198251349449229350</t>
  </si>
  <si>
    <t xml:space="preserve">              1003.00</t>
  </si>
  <si>
    <t xml:space="preserve">          1439910.14</t>
  </si>
  <si>
    <t>NEFT/34097015301DC/ANOKHI CREATION//</t>
  </si>
  <si>
    <t xml:space="preserve">              3357.00</t>
  </si>
  <si>
    <t xml:space="preserve">          1443267.14</t>
  </si>
  <si>
    <t>NEFT/MB/AXOMB32943100296/mahalaxmi/SUTEX COOPERATIVE BA/Others-mahalaxmi</t>
  </si>
  <si>
    <t xml:space="preserve">          1101219.14</t>
  </si>
  <si>
    <t>22-10-2023</t>
  </si>
  <si>
    <t>UPI/P2A/329558704243/SUSHIL               /UPI/Union Bank of India</t>
  </si>
  <si>
    <t xml:space="preserve">          1095219.14</t>
  </si>
  <si>
    <t>23-10-2023</t>
  </si>
  <si>
    <t>UPI/P2M/329613683374/Khodal Kurpa Silai   /UPI/Axis Bank Ltd.</t>
  </si>
  <si>
    <t xml:space="preserve">          1093219.14</t>
  </si>
  <si>
    <t>UPI/P2M/329613729982/Khodal Kurpa Silai   /UPI/Axis Bank Ltd.</t>
  </si>
  <si>
    <t xml:space="preserve">          1078219.14</t>
  </si>
  <si>
    <t>NEFT/SBIN123296830937/ITDTAX REFUND 2023-24 CKSPD1/</t>
  </si>
  <si>
    <t xml:space="preserve">              3700.00</t>
  </si>
  <si>
    <t xml:space="preserve">          1081919.14</t>
  </si>
  <si>
    <t>UPI/P2M/329624690029/M/S.. PATEL BEARING C/barrin/Yes Bank Ltd</t>
  </si>
  <si>
    <t xml:space="preserve">          1070119.14</t>
  </si>
  <si>
    <t>NEFT/34115488271DC/ANOKHI CREATION//</t>
  </si>
  <si>
    <t xml:space="preserve">              5457.00</t>
  </si>
  <si>
    <t xml:space="preserve">          1075576.14</t>
  </si>
  <si>
    <t>UPI/P2A/329607522890/RAMANATH GOPINATH BAG/Paymen/Union Bank of India</t>
  </si>
  <si>
    <t xml:space="preserve">          1072576.14</t>
  </si>
  <si>
    <t>UPI/P2A/329631320207/Rajkumar ..          /UPI/Fino Payments Bank</t>
  </si>
  <si>
    <t xml:space="preserve">          1070576.14</t>
  </si>
  <si>
    <t>24-10-2023</t>
  </si>
  <si>
    <t>NEFT/MB/AXOMB32973477412/Creative Yarn/ICICI BANK LIMITED/</t>
  </si>
  <si>
    <t xml:space="preserve">          1020576.14</t>
  </si>
  <si>
    <t>25-10-2023</t>
  </si>
  <si>
    <t>UPI/P2A/329880750377/Subhakar  Kumar      /UPI/Fino Payments Bank</t>
  </si>
  <si>
    <t xml:space="preserve">          1011076.14</t>
  </si>
  <si>
    <t>UPI/P2A/329880770706/SUSHIL               /UPI/Union Bank of India</t>
  </si>
  <si>
    <t xml:space="preserve">          1004076.14</t>
  </si>
  <si>
    <t>UPI/P2A/329881407105/SUSHIL               /ajay/Union Bank of India</t>
  </si>
  <si>
    <t xml:space="preserve">          1000076.14</t>
  </si>
  <si>
    <t>UPI/P2A/329881459710/Ravi  Kumar          /UPI/Fino Payments Bank</t>
  </si>
  <si>
    <t xml:space="preserve">           994076.14</t>
  </si>
  <si>
    <t>UPI/P2A/329828458237/Shibhaji Bipra Pradha/Paymen/Airtel Payments Bank</t>
  </si>
  <si>
    <t xml:space="preserve">           990076.14</t>
  </si>
  <si>
    <t>UPI/P2A/329881540026/Ravi  Kumar          /suraj/Fino Payments Bank</t>
  </si>
  <si>
    <t xml:space="preserve">           986576.14</t>
  </si>
  <si>
    <t>UPI/P2A/329881651972/Rajkumar ..          /UPI/Fino Payments Bank</t>
  </si>
  <si>
    <t xml:space="preserve">           976576.14</t>
  </si>
  <si>
    <t>UPI/P2A/329894914432/RAKESH KUMAR         /Paymen/India Post Payments</t>
  </si>
  <si>
    <t xml:space="preserve">           971576.14</t>
  </si>
  <si>
    <t>UPI/P2A/329841719343/RAKESH KUMAR         /Paymen/India Post Payments</t>
  </si>
  <si>
    <t xml:space="preserve">           968576.14</t>
  </si>
  <si>
    <t>UPI/P2A/329881992717/Mr Suryaram          /dharma/Indian Bank</t>
  </si>
  <si>
    <t xml:space="preserve">           961576.14</t>
  </si>
  <si>
    <t>UPI/P2A/329877688510/Ravi  Kumar          /Paymen/Fino Payments Bank</t>
  </si>
  <si>
    <t xml:space="preserve">           959076.14</t>
  </si>
  <si>
    <t>26-10-2023</t>
  </si>
  <si>
    <t>NEFT/MB/AXOMB32990091509/Rajnis Dobariya/ICICI BANK LIMITED/</t>
  </si>
  <si>
    <t xml:space="preserve">           909076.14</t>
  </si>
  <si>
    <t>NEFT/MB/AXOMB32990091756/Creative Yarn/ICICI BANK LIMITED/Others</t>
  </si>
  <si>
    <t xml:space="preserve">             49746.00</t>
  </si>
  <si>
    <t xml:space="preserve">           859330.14</t>
  </si>
  <si>
    <t>UPI/P2A/329929778392/PRINCE KUMAR SHUKLA  /UPI/Union Bank of India</t>
  </si>
  <si>
    <t xml:space="preserve">              2708.00</t>
  </si>
  <si>
    <t xml:space="preserve">           856622.14</t>
  </si>
  <si>
    <t>UPI/P2A/329929802172/SUSHIL               /kranti/Union Bank of India</t>
  </si>
  <si>
    <t xml:space="preserve">           853622.14</t>
  </si>
  <si>
    <t>UPI/P2A/329929843033/Deepak  Maurya       /UPI/Fino Payments Bank</t>
  </si>
  <si>
    <t xml:space="preserve">           845622.14</t>
  </si>
  <si>
    <t>UPI/P2A/329931135128/Ajay Kumar Maurya    /UPI/Fino Payments Bank</t>
  </si>
  <si>
    <t xml:space="preserve">           843622.14</t>
  </si>
  <si>
    <t>UPI/P2A/329931145391/Ajay Kumar Maurya    /UPI/Fino Payments Bank</t>
  </si>
  <si>
    <t xml:space="preserve">           835622.14</t>
  </si>
  <si>
    <t>UPI/P2A/329931169183/Amit Chaudhari       /imran/Airtel Payments Bank</t>
  </si>
  <si>
    <t xml:space="preserve">           830122.14</t>
  </si>
  <si>
    <t>UPI/P2A/329931181847/Amit Chaudhari       /amit/Airtel Payments Bank</t>
  </si>
  <si>
    <t xml:space="preserve">           823122.14</t>
  </si>
  <si>
    <t>UPI/P2A/329931198665/RUJUN PRASAD         /UPI/India Post Payments</t>
  </si>
  <si>
    <t xml:space="preserve">           822122.14</t>
  </si>
  <si>
    <t>NEFT/MB/AXOMB32990901914/mahalaxmi/SUTEX COOPERATIVE BA/</t>
  </si>
  <si>
    <t xml:space="preserve">           480074.14</t>
  </si>
  <si>
    <t>27-10-2023</t>
  </si>
  <si>
    <t>UPI/P2A/330067567119/DOBARIYA JAYASUKH RAM/UPI/Bank of Baroda</t>
  </si>
  <si>
    <t xml:space="preserve">           430074.14</t>
  </si>
  <si>
    <t>NEFT/MB/AXOMB33004049648/lemerite yarn/SHINHAN BANK/</t>
  </si>
  <si>
    <t xml:space="preserve">            134665.00</t>
  </si>
  <si>
    <t xml:space="preserve">           295409.14</t>
  </si>
  <si>
    <t xml:space="preserve">            1053</t>
  </si>
  <si>
    <t>By Clg 001053 313  Surat</t>
  </si>
  <si>
    <t xml:space="preserve">             76850.00</t>
  </si>
  <si>
    <t xml:space="preserve">           372259.14</t>
  </si>
  <si>
    <t>28-10-2023</t>
  </si>
  <si>
    <t>UPI/P2A/330136693144/ASHISHKUMAR DIPAKBHAI/prince/Axis Bank Ltd.</t>
  </si>
  <si>
    <t xml:space="preserve">               780.00</t>
  </si>
  <si>
    <t xml:space="preserve">           371479.14</t>
  </si>
  <si>
    <t>UPI/P2M/330148664617/CHOVATIYA MUKESHBHAI /jamava/Yes Bank Ltd</t>
  </si>
  <si>
    <t xml:space="preserve">              9250.00</t>
  </si>
  <si>
    <t xml:space="preserve">           362229.14</t>
  </si>
  <si>
    <t>29-10-2023</t>
  </si>
  <si>
    <t>UPI/P2M/330258725143/billdesktez          /UPI/ICICI Bank</t>
  </si>
  <si>
    <t xml:space="preserve">             34990.00</t>
  </si>
  <si>
    <t xml:space="preserve">           327239.14</t>
  </si>
  <si>
    <t>30-10-2023</t>
  </si>
  <si>
    <t>UPI/P2A/330395753678/PRINCE KUMAR SHUKLA  /rohit/Union Bank of India</t>
  </si>
  <si>
    <t xml:space="preserve">           324239.14</t>
  </si>
  <si>
    <t>UPI/P2A/330354534846/Shibhaji Bipra Pradha/Paymen/Airtel Payments Bank</t>
  </si>
  <si>
    <t xml:space="preserve">           323239.14</t>
  </si>
  <si>
    <t>UPI/P2A/330325496097/PARTHKUMAR SHAILESHB /UPI/Canara Bank</t>
  </si>
  <si>
    <t xml:space="preserve">           321239.14</t>
  </si>
  <si>
    <t>UPI/P2A/330325513036/PARTHKUMAR SHAILESHB /UPI/Canara Bank</t>
  </si>
  <si>
    <t xml:space="preserve">             48000.00</t>
  </si>
  <si>
    <t xml:space="preserve">           273239.14</t>
  </si>
  <si>
    <t>31-10-2023</t>
  </si>
  <si>
    <t>UPI/P2A/330463377831/PRATIK MANSUKGBHAI BA/gst fe/State Bank Of India</t>
  </si>
  <si>
    <t xml:space="preserve">             26000.00</t>
  </si>
  <si>
    <t xml:space="preserve">           247239.14</t>
  </si>
  <si>
    <t>UPI/P2A/330464590784/KRISHNA THREAD       /UPI/The Varachha Co-Op B</t>
  </si>
  <si>
    <t xml:space="preserve">              6400.00</t>
  </si>
  <si>
    <t xml:space="preserve">           240839.14</t>
  </si>
  <si>
    <t>01-11-2023</t>
  </si>
  <si>
    <t>NEFT/MB/AXOMB33052768612/janki metalik/KOTAK MAHINDRA BANK /</t>
  </si>
  <si>
    <t xml:space="preserve">             57241.00</t>
  </si>
  <si>
    <t xml:space="preserve">           183598.14</t>
  </si>
  <si>
    <t>02-11-2023</t>
  </si>
  <si>
    <t>UPI/P2A/330647935379/Subhakar  Kumar      /UPI/Fino Payments Bank</t>
  </si>
  <si>
    <t xml:space="preserve">           178598.14</t>
  </si>
  <si>
    <t xml:space="preserve">             286</t>
  </si>
  <si>
    <t>By Clg 000286 240  Surat</t>
  </si>
  <si>
    <t xml:space="preserve">            118119.00</t>
  </si>
  <si>
    <t xml:space="preserve">           296717.14</t>
  </si>
  <si>
    <t xml:space="preserve">            1667</t>
  </si>
  <si>
    <t>By Clg 001667 229  Surat</t>
  </si>
  <si>
    <t xml:space="preserve">             48356.00</t>
  </si>
  <si>
    <t xml:space="preserve">           345073.14</t>
  </si>
  <si>
    <t>UPI/P2M/330674307006/HOTEL SARVOTTAM      /UPI/Axis Bank Ltd.</t>
  </si>
  <si>
    <t xml:space="preserve">              3374.00</t>
  </si>
  <si>
    <t xml:space="preserve">           341699.14</t>
  </si>
  <si>
    <t>03-11-2023</t>
  </si>
  <si>
    <t xml:space="preserve">           17531</t>
  </si>
  <si>
    <t>By Clg 017531 088  Surat</t>
  </si>
  <si>
    <t xml:space="preserve">             27308.00</t>
  </si>
  <si>
    <t xml:space="preserve">           369007.14</t>
  </si>
  <si>
    <t>06-11-2023</t>
  </si>
  <si>
    <t>NEFT/34266350661DC/ANOKHI CREATION//</t>
  </si>
  <si>
    <t xml:space="preserve">             27655.00</t>
  </si>
  <si>
    <t xml:space="preserve">           396662.14</t>
  </si>
  <si>
    <t>NEFT/34266380101DC/ANOKHI CREATION//</t>
  </si>
  <si>
    <t xml:space="preserve">             31410.00</t>
  </si>
  <si>
    <t xml:space="preserve">           428072.14</t>
  </si>
  <si>
    <t>07-11-2023</t>
  </si>
  <si>
    <t>Dr Card Charges ANNUAL 4505XXXXXXXX0681</t>
  </si>
  <si>
    <t xml:space="preserve">               590.00</t>
  </si>
  <si>
    <t xml:space="preserve">           427482.14</t>
  </si>
  <si>
    <t xml:space="preserve">             300</t>
  </si>
  <si>
    <t>By Clg 000300 240  Surat</t>
  </si>
  <si>
    <t xml:space="preserve">             22958.00</t>
  </si>
  <si>
    <t xml:space="preserve">           450440.14</t>
  </si>
  <si>
    <t>08-11-2023</t>
  </si>
  <si>
    <t>UPI/P2A/331228615088/Deepak  Maurya       /UPI/Fino Payments Bank</t>
  </si>
  <si>
    <t xml:space="preserve">           449940.14</t>
  </si>
  <si>
    <t>NEFT/MB/AXOMB33122844745/pratik babadiya/STATE BANK OF INDIA/Others-gst</t>
  </si>
  <si>
    <t xml:space="preserve">             23075.00</t>
  </si>
  <si>
    <t xml:space="preserve">           426865.14</t>
  </si>
  <si>
    <t>09-11-2023</t>
  </si>
  <si>
    <t>UPI/P2A/331359505776/Ravi  Kumar          /Paymen/Fino Payments Bank</t>
  </si>
  <si>
    <t xml:space="preserve">              7300.00</t>
  </si>
  <si>
    <t xml:space="preserve">           419565.14</t>
  </si>
  <si>
    <t>UPI/P2A/331393349345/Ravi  Kumar          /UPI/Fino Payments Bank</t>
  </si>
  <si>
    <t xml:space="preserve">           405065.14</t>
  </si>
  <si>
    <t>UPI/P2A/331393429949/Rajkumar             /rajkum/Fino Payments Bank</t>
  </si>
  <si>
    <t xml:space="preserve">           389865.14</t>
  </si>
  <si>
    <t>UPI/P2A/331393450807/Rajkumar ..          /rohit/Fino Payments Bank</t>
  </si>
  <si>
    <t xml:space="preserve">             14233.00</t>
  </si>
  <si>
    <t xml:space="preserve">           375632.14</t>
  </si>
  <si>
    <t>UPI/P2A/331381551276/RAKESH KUMAR         /Paymen/India Post Payments</t>
  </si>
  <si>
    <t xml:space="preserve">             16600.00</t>
  </si>
  <si>
    <t xml:space="preserve">           359032.14</t>
  </si>
  <si>
    <t>UPI/P2A/331393537345/Deepak  Maurya       /UPI/Fino Payments Bank</t>
  </si>
  <si>
    <t xml:space="preserve">             22566.00</t>
  </si>
  <si>
    <t xml:space="preserve">           336466.14</t>
  </si>
  <si>
    <t xml:space="preserve">             522</t>
  </si>
  <si>
    <t>By Clg 000522 229  Surat</t>
  </si>
  <si>
    <t xml:space="preserve">             72151.00</t>
  </si>
  <si>
    <t xml:space="preserve">           408617.14</t>
  </si>
  <si>
    <t>10-11-2023</t>
  </si>
  <si>
    <t>UPI/P2A/331449372109/DOBARIYA JAYASUKH RAM/ajaybh/Bank of Baroda</t>
  </si>
  <si>
    <t xml:space="preserve">           407117.14</t>
  </si>
  <si>
    <t>By Clg 000222 751  Surat</t>
  </si>
  <si>
    <t xml:space="preserve">             21782.00</t>
  </si>
  <si>
    <t xml:space="preserve">           428899.14</t>
  </si>
  <si>
    <t>11-11-2023</t>
  </si>
  <si>
    <t>UPI/P2A/331523241426/Shibhaji Bipra Pradha/Paymen/Airtel Payments Bank</t>
  </si>
  <si>
    <t xml:space="preserve">           423899.14</t>
  </si>
  <si>
    <t>UPI/P2A/331545622976/RAKESH KUMAR         /Paymen/India Post Payments</t>
  </si>
  <si>
    <t xml:space="preserve">              4750.00</t>
  </si>
  <si>
    <t xml:space="preserve">           419149.14</t>
  </si>
  <si>
    <t>UPI/P2A/331540817371/RAKESH KUMAR         /Paymen/India Post Payments</t>
  </si>
  <si>
    <t xml:space="preserve">           416649.14</t>
  </si>
  <si>
    <t>UPI/P2A/331578269104/PRINCE KUMAR SHUKLA  /rohit/Union Bank of India</t>
  </si>
  <si>
    <t xml:space="preserve">              1933.00</t>
  </si>
  <si>
    <t xml:space="preserve">           414716.14</t>
  </si>
  <si>
    <t>UPI/P2A/331578323517/SUSHIL               /suraj/Union Bank of India</t>
  </si>
  <si>
    <t xml:space="preserve">              6833.00</t>
  </si>
  <si>
    <t xml:space="preserve">           407883.14</t>
  </si>
  <si>
    <t>UPI/P2A/331578346238/SUSHIL               /kranti/Union Bank of India</t>
  </si>
  <si>
    <t xml:space="preserve">              6166.00</t>
  </si>
  <si>
    <t xml:space="preserve">           401717.14</t>
  </si>
  <si>
    <t>UPI/P2A/331578391851/DOBARIYA HARESHBHAI B/UPI/Paytm Payments Bank</t>
  </si>
  <si>
    <t xml:space="preserve">             60386.00</t>
  </si>
  <si>
    <t xml:space="preserve">           341331.14</t>
  </si>
  <si>
    <t>13-11-2023</t>
  </si>
  <si>
    <t>UPI/P2A/331761554484/RAKESH KUMAR         /Paymen/India Post Payments</t>
  </si>
  <si>
    <t xml:space="preserve">           339331.14</t>
  </si>
  <si>
    <t xml:space="preserve">            1700</t>
  </si>
  <si>
    <t>By Clg 001700 229  Surat</t>
  </si>
  <si>
    <t xml:space="preserve">             31540.00</t>
  </si>
  <si>
    <t xml:space="preserve">           370871.14</t>
  </si>
  <si>
    <t xml:space="preserve">            1707</t>
  </si>
  <si>
    <t>By Clg 001707 229  Surat</t>
  </si>
  <si>
    <t xml:space="preserve">             28496.00</t>
  </si>
  <si>
    <t xml:space="preserve">           399367.14</t>
  </si>
  <si>
    <t>18-11-2023</t>
  </si>
  <si>
    <t>UPI/P2A/332293478577/PRINCE KUMAR SHUKLA  /UPI/Union Bank of India</t>
  </si>
  <si>
    <t xml:space="preserve">           398367.14</t>
  </si>
  <si>
    <t>19-11-2023</t>
  </si>
  <si>
    <t>UPI/P2A/332377088899/SUSHIL               /UPI/Union Bank of India</t>
  </si>
  <si>
    <t xml:space="preserve">           397367.14</t>
  </si>
  <si>
    <t>25-11-2023</t>
  </si>
  <si>
    <t>UPI/P2A/332914077026/SUSHIL               /suraj/Union Bank of India</t>
  </si>
  <si>
    <t xml:space="preserve">           392367.14</t>
  </si>
  <si>
    <t>UPI/P2A/332914087772/SUSHIL               /suraj/Union Bank of India</t>
  </si>
  <si>
    <t xml:space="preserve">           387367.14</t>
  </si>
  <si>
    <t>UPI/P2A/332914122349/RUJUN PRASAD         /ranu/India Post Payments</t>
  </si>
  <si>
    <t xml:space="preserve">           380367.14</t>
  </si>
  <si>
    <t>UPI/P2A/332914133420/RUJUN PRASAD         /imran/India Post Payments</t>
  </si>
  <si>
    <t xml:space="preserve">           375367.14</t>
  </si>
  <si>
    <t>UPI/P2A/332914151759/PRINCE KUMAR SHUKLA  /UPI/Union Bank of India</t>
  </si>
  <si>
    <t xml:space="preserve">           373367.14</t>
  </si>
  <si>
    <t>UPI/P2A/332914163033/PRINCE KUMAR SHUKLA  /rohit/Union Bank of India</t>
  </si>
  <si>
    <t xml:space="preserve">           368367.14</t>
  </si>
  <si>
    <t>UPI/P2A/332914305355/Ravi  Kumar          /ashish/Fino Payments Bank</t>
  </si>
  <si>
    <t xml:space="preserve">           365367.14</t>
  </si>
  <si>
    <t>UPI/P2A/332914318381/Ravi  Kumar          /ravi g/Fino Payments Bank</t>
  </si>
  <si>
    <t xml:space="preserve">           360367.14</t>
  </si>
  <si>
    <t>UPI/P2A/332914333375/Ravi  Kumar          /vikas/Fino Payments Bank</t>
  </si>
  <si>
    <t xml:space="preserve">           355367.14</t>
  </si>
  <si>
    <t>UPI/P2A/332931666441/Ajay Kumar Maurya    /UPI/Fino Payments Bank</t>
  </si>
  <si>
    <t xml:space="preserve">           353367.14</t>
  </si>
  <si>
    <t>UPI/P2A/332931735723/Ajay Kumar Maurya    /UPI/Fino Payments Bank</t>
  </si>
  <si>
    <t xml:space="preserve">           345367.14</t>
  </si>
  <si>
    <t xml:space="preserve">           345349.14</t>
  </si>
  <si>
    <t xml:space="preserve">           345249.14</t>
  </si>
  <si>
    <t>26-11-2023</t>
  </si>
  <si>
    <t>UPI/P2A/369695159555/Shibhaji Bipra Pradha/Paymen/Airtel Payments Bank</t>
  </si>
  <si>
    <t xml:space="preserve">           335249.14</t>
  </si>
  <si>
    <t>UPI/P2A/333052563884/Subhakar  Kumar      /UPI/Fino Payments Bank</t>
  </si>
  <si>
    <t xml:space="preserve">           330249.14</t>
  </si>
  <si>
    <t>27-11-2023</t>
  </si>
  <si>
    <t>UPI/P2A/333187500996/ANIL  KUMAR          /ajay c/Kotak Mahindra Bank</t>
  </si>
  <si>
    <t xml:space="preserve">           326749.14</t>
  </si>
  <si>
    <t>UPI/P2M/333189948704/PATEL ANKITABAHEN RAJ/UPI/Axis Bank Ltd.</t>
  </si>
  <si>
    <t xml:space="preserve">           324749.14</t>
  </si>
  <si>
    <t>UPI/P2M/333189964518/PATEL ANKITABAHEN RAJ/UPI/Axis Bank Ltd.</t>
  </si>
  <si>
    <t xml:space="preserve">           324049.14</t>
  </si>
  <si>
    <t>29-11-2023</t>
  </si>
  <si>
    <t>UPI/P2A/333373546736/SUSHIL               /rohit/Union Bank of India</t>
  </si>
  <si>
    <t xml:space="preserve">           317049.14</t>
  </si>
  <si>
    <t>30-11-2023</t>
  </si>
  <si>
    <t>UPI/P2M/333421504029/billdesktez          /UPI/ICICI Bank</t>
  </si>
  <si>
    <t xml:space="preserve">             48240.00</t>
  </si>
  <si>
    <t xml:space="preserve">           268809.14</t>
  </si>
  <si>
    <t>05-12-2023</t>
  </si>
  <si>
    <t xml:space="preserve">          179145</t>
  </si>
  <si>
    <t>By Clg 179145 019  Surat</t>
  </si>
  <si>
    <t xml:space="preserve">             74040.00</t>
  </si>
  <si>
    <t xml:space="preserve">           342849.14</t>
  </si>
  <si>
    <t xml:space="preserve">          353638</t>
  </si>
  <si>
    <t>By Clg 353638 532  Surat</t>
  </si>
  <si>
    <t xml:space="preserve">             79581.00</t>
  </si>
  <si>
    <t xml:space="preserve">           422430.14</t>
  </si>
  <si>
    <t xml:space="preserve">          130658</t>
  </si>
  <si>
    <t>By Clg 130658 251  Surat</t>
  </si>
  <si>
    <t xml:space="preserve">             17806.00</t>
  </si>
  <si>
    <t xml:space="preserve">           440236.14</t>
  </si>
  <si>
    <t>07-12-2023</t>
  </si>
  <si>
    <t>UPI/P2A/370745409766/Shibhaji Bipra Pradha/Paymen/Airtel Payments Bank</t>
  </si>
  <si>
    <t xml:space="preserve">           438236.14</t>
  </si>
  <si>
    <t>NEFT/MB/AXOMB33413036891/janki metalik/KOTAK MAHINDRA BANK /</t>
  </si>
  <si>
    <t xml:space="preserve">             49838.00</t>
  </si>
  <si>
    <t xml:space="preserve">           388398.14</t>
  </si>
  <si>
    <t>08-12-2023</t>
  </si>
  <si>
    <t xml:space="preserve">             333</t>
  </si>
  <si>
    <t>By Clg 000333 240  Surat</t>
  </si>
  <si>
    <t xml:space="preserve">             34595.00</t>
  </si>
  <si>
    <t xml:space="preserve">           422993.14</t>
  </si>
  <si>
    <t>10-12-2023</t>
  </si>
  <si>
    <t>UPI/P2A/371058883274/RAKESH KUMAR         /Paymen/India Post Payments</t>
  </si>
  <si>
    <t xml:space="preserve">             20200.00</t>
  </si>
  <si>
    <t xml:space="preserve">           402793.14</t>
  </si>
  <si>
    <t>UPI/P2A/334487175485/PRINCE KUMAR SHUKLA  /UPI/Union Bank of India</t>
  </si>
  <si>
    <t xml:space="preserve">           402792.14</t>
  </si>
  <si>
    <t>UPI/P2A/371043075895/PRINCE KUMAR SHUKLA  /UPI/Union Bank of India</t>
  </si>
  <si>
    <t xml:space="preserve">              6999.00</t>
  </si>
  <si>
    <t xml:space="preserve">           395793.14</t>
  </si>
  <si>
    <t>UPI/P2A/334499776025/Ravi  Kumar          /ravi/Fino Payments Bank</t>
  </si>
  <si>
    <t xml:space="preserve">             11250.00</t>
  </si>
  <si>
    <t xml:space="preserve">           384543.14</t>
  </si>
  <si>
    <t>UPI/P2A/371046276074/SUSHIL               /UPI/Union Bank of India</t>
  </si>
  <si>
    <t xml:space="preserve">             16833.00</t>
  </si>
  <si>
    <t xml:space="preserve">           367710.14</t>
  </si>
  <si>
    <t>UPI/P2A/334404274526/SUSHIL               /abhiji/Union Bank of India</t>
  </si>
  <si>
    <t xml:space="preserve">           364610.14</t>
  </si>
  <si>
    <t>UPI/P2A/334477775880/Ravi  Kumar          /vikas/Fino Payments Bank</t>
  </si>
  <si>
    <t xml:space="preserve">              4833.00</t>
  </si>
  <si>
    <t xml:space="preserve">           359777.14</t>
  </si>
  <si>
    <t>UPI/P2A/334423975829/Ravi  Kumar          /ashish/Fino Payments Bank</t>
  </si>
  <si>
    <t xml:space="preserve">             13225.00</t>
  </si>
  <si>
    <t xml:space="preserve">           346552.14</t>
  </si>
  <si>
    <t>UPI/P2A/334476775771/PRINCE KUMAR SHUKLA  /rohit/Union Bank of India</t>
  </si>
  <si>
    <t xml:space="preserve">              5516.00</t>
  </si>
  <si>
    <t xml:space="preserve">           341036.14</t>
  </si>
  <si>
    <t>UPI/P2A/371026276619/SUSHIL               /shushi/Union Bank of India</t>
  </si>
  <si>
    <t xml:space="preserve">               333.00</t>
  </si>
  <si>
    <t xml:space="preserve">           340703.14</t>
  </si>
  <si>
    <t>UPI/P2A/371051289977/Shibhaji Bipra Pradha/Paymen/Airtel Payments Bank</t>
  </si>
  <si>
    <t xml:space="preserve">               315.00</t>
  </si>
  <si>
    <t xml:space="preserve">           340388.14</t>
  </si>
  <si>
    <t>UPI/P2A/371048076057/PRINCE KUMAR SHUKLA  /rohit/Union Bank of India</t>
  </si>
  <si>
    <t xml:space="preserve">              2459.00</t>
  </si>
  <si>
    <t xml:space="preserve">           337929.14</t>
  </si>
  <si>
    <t>UPI/P2A/334460077335/Subhakar  Kumar      /UPI/Fino Payments Bank</t>
  </si>
  <si>
    <t xml:space="preserve">              4039.00</t>
  </si>
  <si>
    <t xml:space="preserve">           333890.14</t>
  </si>
  <si>
    <t>UPI/P2A/371017277257/SUSHIL               /suraaj/Union Bank of India</t>
  </si>
  <si>
    <t xml:space="preserve">              6100.00</t>
  </si>
  <si>
    <t xml:space="preserve">           327790.14</t>
  </si>
  <si>
    <t>11-12-2023</t>
  </si>
  <si>
    <t>UPI/P2A/371120012764/Subhakar  Kumar      /UPI/Fino Payments Bank</t>
  </si>
  <si>
    <t xml:space="preserve">             13867.00</t>
  </si>
  <si>
    <t xml:space="preserve">           313923.14</t>
  </si>
  <si>
    <t>UPI/P2A/371149114404/SUSHIL               /rohit/Union Bank of India</t>
  </si>
  <si>
    <t xml:space="preserve">           306923.14</t>
  </si>
  <si>
    <t>UPI/P2A/371184018167/Shibhaji Bipra Pradha/Paymen/Airtel Payments Bank</t>
  </si>
  <si>
    <t xml:space="preserve">           306423.14</t>
  </si>
  <si>
    <t>13-12-2023</t>
  </si>
  <si>
    <t>UPI/P2A/371328081086/OMPRAKASH  KUSHWAHA  /UPI/Kotak Mahindra Bank</t>
  </si>
  <si>
    <t xml:space="preserve">           304423.14</t>
  </si>
  <si>
    <t>NEFT/BARBX23347376496/SHIV FASHION/BANK OF BARODA/</t>
  </si>
  <si>
    <t xml:space="preserve">                 5.00</t>
  </si>
  <si>
    <t xml:space="preserve">           304428.14</t>
  </si>
  <si>
    <t>NEFT/BARBX23347690625/SHIV FASHION/BANK OF BARODA/</t>
  </si>
  <si>
    <t xml:space="preserve">             35592.00</t>
  </si>
  <si>
    <t xml:space="preserve">           340020.14</t>
  </si>
  <si>
    <t>14-12-2023</t>
  </si>
  <si>
    <t>UPI/P2A/334886620018/JIARUL HAQUE ABDUL KA/UPI/Kotak Mahindra Bank</t>
  </si>
  <si>
    <t xml:space="preserve">           339320.14</t>
  </si>
  <si>
    <t>UPI/P2A/371424051531/Deepak  Maurya       /UPI/Fino Payments Bank</t>
  </si>
  <si>
    <t xml:space="preserve">           337320.14</t>
  </si>
  <si>
    <t>UPI/P2A/334859159349/SUSHIL               /UPI/Union Bank of India</t>
  </si>
  <si>
    <t xml:space="preserve">           335320.14</t>
  </si>
  <si>
    <t>16-12-2023</t>
  </si>
  <si>
    <t xml:space="preserve">             201</t>
  </si>
  <si>
    <t>By Clg 000201 248  Surat</t>
  </si>
  <si>
    <t xml:space="preserve">             14449.00</t>
  </si>
  <si>
    <t xml:space="preserve">           349769.14</t>
  </si>
  <si>
    <t xml:space="preserve">             203</t>
  </si>
  <si>
    <t>By Clg 000203 248  Surat</t>
  </si>
  <si>
    <t xml:space="preserve">             38772.00</t>
  </si>
  <si>
    <t xml:space="preserve">           388541.14</t>
  </si>
  <si>
    <t>UPI/P2A/371647533150/TIPU  KHAN           /rohit/Canara Bank</t>
  </si>
  <si>
    <t xml:space="preserve">           387541.14</t>
  </si>
  <si>
    <t>18-12-2023</t>
  </si>
  <si>
    <t>NEFT/MB/AXOMB33529976490/Rajnis Dobariya/ICICI BANK LIMITED/</t>
  </si>
  <si>
    <t xml:space="preserve">           357541.14</t>
  </si>
  <si>
    <t>NEFT/BARBT23352726882/BAPASITARAM SYNTHETICS/BANK OF BARODA/</t>
  </si>
  <si>
    <t xml:space="preserve">            332869.00</t>
  </si>
  <si>
    <t xml:space="preserve">           690410.14</t>
  </si>
  <si>
    <t>NEFT/SUNB000002783135/ZENITH FABRICS/SURAT NATIONAL COOPE///URGENT/ FAST</t>
  </si>
  <si>
    <t xml:space="preserve">             11789.00</t>
  </si>
  <si>
    <t xml:space="preserve">           702199.14</t>
  </si>
  <si>
    <t xml:space="preserve">            2445</t>
  </si>
  <si>
    <t>By Clg 002445 248  Surat</t>
  </si>
  <si>
    <t xml:space="preserve">             23733.00</t>
  </si>
  <si>
    <t xml:space="preserve">           725932.14</t>
  </si>
  <si>
    <t>20-12-2023</t>
  </si>
  <si>
    <t xml:space="preserve">          135056</t>
  </si>
  <si>
    <t>By Clg 135056 251  Surat</t>
  </si>
  <si>
    <t xml:space="preserve">             45544.00</t>
  </si>
  <si>
    <t xml:space="preserve">           771476.14</t>
  </si>
  <si>
    <t>21-12-2023</t>
  </si>
  <si>
    <t>UPI/P2A/372184199042/CHINTAN ASHVINBHAI SA/UPI/The Varachha Co-Op B</t>
  </si>
  <si>
    <t xml:space="preserve">              9200.00</t>
  </si>
  <si>
    <t xml:space="preserve">           762276.14</t>
  </si>
  <si>
    <t>22-12-2023</t>
  </si>
  <si>
    <t xml:space="preserve">           762258.14</t>
  </si>
  <si>
    <t xml:space="preserve">           762158.14</t>
  </si>
  <si>
    <t>25-12-2023</t>
  </si>
  <si>
    <t>UPI/P2A/372567948670/SUSHIL               /UPI/Union Bank of India</t>
  </si>
  <si>
    <t xml:space="preserve">           757158.14</t>
  </si>
  <si>
    <t>UPI/P2A/372558449621/Ravi  Kumar          /rohit/Fino Payments Bank</t>
  </si>
  <si>
    <t xml:space="preserve">           750158.14</t>
  </si>
  <si>
    <t>UPI/P2A/335934748114/PRINCE KUMAR SHUKLA  /UPI/Union Bank of India</t>
  </si>
  <si>
    <t xml:space="preserve">           743158.14</t>
  </si>
  <si>
    <t>UPI/P2A/372538148697/SUSHIL               /abhiji/Union Bank of India</t>
  </si>
  <si>
    <t xml:space="preserve">           740158.14</t>
  </si>
  <si>
    <t>UPI/P2A/372515049959/Ravi  Kumar          /UPI/Fino Payments Bank</t>
  </si>
  <si>
    <t xml:space="preserve">           733158.14</t>
  </si>
  <si>
    <t>UPI/P2A/335910349397/Deepak  Maurya       /UPI/Fino Payments Bank</t>
  </si>
  <si>
    <t xml:space="preserve">           723158.14</t>
  </si>
  <si>
    <t>UPI/P2A/372549652537/Ravi  Kumar          /ravi/Fino Payments Bank</t>
  </si>
  <si>
    <t xml:space="preserve">           718158.14</t>
  </si>
  <si>
    <t>UPI/P2A/372533294063/RAKESH KUMAR         /Paymen/India Post Payments</t>
  </si>
  <si>
    <t xml:space="preserve">           713658.14</t>
  </si>
  <si>
    <t>UPI/P2A/372516469122/Shibhaji Bipra Pradha/Paymen/Airtel Payments Bank</t>
  </si>
  <si>
    <t xml:space="preserve">           704658.14</t>
  </si>
  <si>
    <t>UPI/P2A/335916550679/SUSHIL               /suraj/Union Bank of India</t>
  </si>
  <si>
    <t xml:space="preserve">           702158.14</t>
  </si>
  <si>
    <t>26-12-2023</t>
  </si>
  <si>
    <t>NEFT/VARA000010926374/JIYA FAB/THE VARACHHA COOPERA///URGENT/FAST</t>
  </si>
  <si>
    <t xml:space="preserve">            300000.00</t>
  </si>
  <si>
    <t xml:space="preserve">          1002158.14</t>
  </si>
  <si>
    <t>NEFT/MB/AXOMB33605194108/pratik babadiya/STATE BANK OF INDIA/Others-gst</t>
  </si>
  <si>
    <t xml:space="preserve">            324410.00</t>
  </si>
  <si>
    <t xml:space="preserve">           677748.14</t>
  </si>
  <si>
    <t>27-12-2023</t>
  </si>
  <si>
    <t>UPI/P2A/336156419966/OMPRAKASH  KUSHWAHA  /vijay/Kotak Mahindra Bank</t>
  </si>
  <si>
    <t xml:space="preserve">           673748.14</t>
  </si>
  <si>
    <t xml:space="preserve">           77948</t>
  </si>
  <si>
    <t>BRN-CLG-CHQ PAID TO Gipl Sales     /IDBI BANK LTD</t>
  </si>
  <si>
    <t xml:space="preserve">            212272.00</t>
  </si>
  <si>
    <t xml:space="preserve">           461476.14</t>
  </si>
  <si>
    <t xml:space="preserve">           77946</t>
  </si>
  <si>
    <t xml:space="preserve">             43780.00</t>
  </si>
  <si>
    <t xml:space="preserve">           417696.14</t>
  </si>
  <si>
    <t xml:space="preserve">           77947</t>
  </si>
  <si>
    <t xml:space="preserve">           373916.14</t>
  </si>
  <si>
    <t>UPI/P2A/336159239167/SUSHIL               /rohit/Union Bank of India</t>
  </si>
  <si>
    <t xml:space="preserve">              7395.00</t>
  </si>
  <si>
    <t xml:space="preserve">           366521.14</t>
  </si>
  <si>
    <t>28-12-2023</t>
  </si>
  <si>
    <t>UPI/P2A/336233277683/FAYAZ KHAN SAJID KHAN/blower/HDFC BANK LTD</t>
  </si>
  <si>
    <t xml:space="preserve">              1600.00</t>
  </si>
  <si>
    <t xml:space="preserve">           364921.14</t>
  </si>
  <si>
    <t>UPI/P2A/336233277683/920020062659737/281223/HDFC BANK LTD</t>
  </si>
  <si>
    <t>UPI/P2A/372869577332/FAYAZ KHAN SAJID KHAN/UPI/HDFC BANK LTD</t>
  </si>
  <si>
    <t>UPI/P2A/372869577332/920020062659737/281223/HDFC BANK LTD</t>
  </si>
  <si>
    <t>UPI/P2A/336266180162/FAYAZ KHAN SAJID KHAN/blower/HDFC BANK LTD</t>
  </si>
  <si>
    <t>UPI/P2A/336266180162/920020062659737/281223/HDFC BANK LTD</t>
  </si>
  <si>
    <t>UPI/P2A/372899979620/FAYAZ KHAN SAJID KHAN/UPI/HDFC BANK LTD</t>
  </si>
  <si>
    <t>UPI/P2A/372899979620/920020062659737/281223/HDFC BANK LTD</t>
  </si>
  <si>
    <t xml:space="preserve">             212</t>
  </si>
  <si>
    <t>By Clg 000212 248  Surat</t>
  </si>
  <si>
    <t xml:space="preserve">             29455.00</t>
  </si>
  <si>
    <t xml:space="preserve">           395976.14</t>
  </si>
  <si>
    <t xml:space="preserve">             213</t>
  </si>
  <si>
    <t>By Clg 000213 248  Surat</t>
  </si>
  <si>
    <t xml:space="preserve">             28770.00</t>
  </si>
  <si>
    <t xml:space="preserve">           424746.14</t>
  </si>
  <si>
    <t>29-12-2023</t>
  </si>
  <si>
    <t>UPI/P2A/372992610528/FAYAZ KHAN SAJID KHAN/UPI/HDFC BANK LTD</t>
  </si>
  <si>
    <t xml:space="preserve">           423146.14</t>
  </si>
  <si>
    <t>UPI/P2A/372970413633/BEST TOOLS           /GENQR/UCO Bank</t>
  </si>
  <si>
    <t xml:space="preserve">               802.00</t>
  </si>
  <si>
    <t xml:space="preserve">           422344.14</t>
  </si>
  <si>
    <t>30-12-2023</t>
  </si>
  <si>
    <t xml:space="preserve">          313846</t>
  </si>
  <si>
    <t>By Clg 313846 532  Surat</t>
  </si>
  <si>
    <t xml:space="preserve">            459295.00</t>
  </si>
  <si>
    <t xml:space="preserve">           881639.14</t>
  </si>
  <si>
    <t>01-01-2024</t>
  </si>
  <si>
    <t>UPI/P2A/436707318333/KRISHNA THREAD       /UPI/The Varachha Co-Op B</t>
  </si>
  <si>
    <t xml:space="preserve">             16300.00</t>
  </si>
  <si>
    <t xml:space="preserve">           865339.14</t>
  </si>
  <si>
    <t>IMPS/P2A/400112284696/PRIYAENT/BANKOFBA/KPEnt244/9197270377229012000</t>
  </si>
  <si>
    <t xml:space="preserve">             10750.00</t>
  </si>
  <si>
    <t xml:space="preserve">           876089.14</t>
  </si>
  <si>
    <t>02-01-2024</t>
  </si>
  <si>
    <t>NEFT/34871147791DC/ANOKHI CREATION/ICICI BANK LIMITED/</t>
  </si>
  <si>
    <t xml:space="preserve">              8510.00</t>
  </si>
  <si>
    <t xml:space="preserve">           884599.14</t>
  </si>
  <si>
    <t xml:space="preserve">          545339</t>
  </si>
  <si>
    <t>By Clg 545339 088  Surat</t>
  </si>
  <si>
    <t xml:space="preserve">             35758.00</t>
  </si>
  <si>
    <t xml:space="preserve">           920357.14</t>
  </si>
  <si>
    <t xml:space="preserve">             546</t>
  </si>
  <si>
    <t>By Clg 000546 229  Surat</t>
  </si>
  <si>
    <t xml:space="preserve">            104379.00</t>
  </si>
  <si>
    <t xml:space="preserve">          1024736.14</t>
  </si>
  <si>
    <t>03-01-2024</t>
  </si>
  <si>
    <t>UPI/P2A/400314095203/LAKKU                /ajay/Kotak Mahindra Bank</t>
  </si>
  <si>
    <t xml:space="preserve">              8433.00</t>
  </si>
  <si>
    <t xml:space="preserve">          1016303.14</t>
  </si>
  <si>
    <t>NEFT/MB/AXOMB40039809237/janki metalik/KOTAK MAHINDRA BANK /</t>
  </si>
  <si>
    <t xml:space="preserve">             72120.00</t>
  </si>
  <si>
    <t xml:space="preserve">           944183.14</t>
  </si>
  <si>
    <t>04-01-2024</t>
  </si>
  <si>
    <t>UPI/P2M/437055534973/NAGMANI PLASTIC      /dori/Axis Bank Ltd.</t>
  </si>
  <si>
    <t xml:space="preserve">           943183.14</t>
  </si>
  <si>
    <t>UPI/P2A/437076979399/RAMANATH GOPINATH BAG/Paymen/Union Bank of India</t>
  </si>
  <si>
    <t xml:space="preserve">           942983.14</t>
  </si>
  <si>
    <t xml:space="preserve">             509</t>
  </si>
  <si>
    <t>By Clg 000509 240  Surat</t>
  </si>
  <si>
    <t xml:space="preserve">             13305.00</t>
  </si>
  <si>
    <t xml:space="preserve">           956288.14</t>
  </si>
  <si>
    <t>05-01-2024</t>
  </si>
  <si>
    <t xml:space="preserve">           77949</t>
  </si>
  <si>
    <t xml:space="preserve">            161860.00</t>
  </si>
  <si>
    <t xml:space="preserve">           794428.14</t>
  </si>
  <si>
    <t>06-01-2024</t>
  </si>
  <si>
    <t xml:space="preserve">          585295</t>
  </si>
  <si>
    <t>By Clg 585295 532  Surat</t>
  </si>
  <si>
    <t xml:space="preserve">            379505.00</t>
  </si>
  <si>
    <t xml:space="preserve">          1173933.14</t>
  </si>
  <si>
    <t xml:space="preserve">          428743</t>
  </si>
  <si>
    <t>By Clg 428743 532  Surat</t>
  </si>
  <si>
    <t xml:space="preserve">            545086.00</t>
  </si>
  <si>
    <t xml:space="preserve">          1719019.14</t>
  </si>
  <si>
    <t>09-01-2024</t>
  </si>
  <si>
    <t>NEFT/N009242826775487/BAPASITARAM TEXTILES/HDFC BANK/Pament</t>
  </si>
  <si>
    <t xml:space="preserve">             96848.00</t>
  </si>
  <si>
    <t xml:space="preserve">          1815867.14</t>
  </si>
  <si>
    <t>10-01-2024</t>
  </si>
  <si>
    <t>NEFT/MB/AXOMB40102046444/lemerite yarn/SHINHAN BANK/</t>
  </si>
  <si>
    <t xml:space="preserve">            653856.00</t>
  </si>
  <si>
    <t xml:space="preserve">          1162011.14</t>
  </si>
  <si>
    <t>UPI/P2A/437670255492/Shibhaji Bipra Pradha/Paymen/Airtel Payments Bank</t>
  </si>
  <si>
    <t xml:space="preserve">          1155511.14</t>
  </si>
  <si>
    <t>UPI/P2A/401033880623/Ravi  Kumar          /suraj/Fino Payments Bank</t>
  </si>
  <si>
    <t xml:space="preserve">              8666.00</t>
  </si>
  <si>
    <t xml:space="preserve">          1146845.14</t>
  </si>
  <si>
    <t>UPI/P2A/401082283389/SUSHIL               /suraj/Union Bank of India</t>
  </si>
  <si>
    <t xml:space="preserve">          1138179.14</t>
  </si>
  <si>
    <t>UPI/P2A/437640985651/OMPRAKASH  KUSHWAHA  /vijay/Kotak Mahindra Bank</t>
  </si>
  <si>
    <t xml:space="preserve">          1133179.14</t>
  </si>
  <si>
    <t>UPI/P2A/401032908909/SUFIYAN ANSARI       /imran/India Post Payments</t>
  </si>
  <si>
    <t xml:space="preserve">              3950.00</t>
  </si>
  <si>
    <t xml:space="preserve">          1129229.14</t>
  </si>
  <si>
    <t>UPI/P2A/437642107683/MORYA SUNILKUMAR     /aman/HDFC BANK LTD</t>
  </si>
  <si>
    <t xml:space="preserve">              4333.00</t>
  </si>
  <si>
    <t xml:space="preserve">          1124896.14</t>
  </si>
  <si>
    <t>11-01-2024</t>
  </si>
  <si>
    <t>UPI/P2A/401195328273/ADITYA SINGH         /UPI/Airtel Payments Bank</t>
  </si>
  <si>
    <t xml:space="preserve">          1115696.14</t>
  </si>
  <si>
    <t>12-01-2024</t>
  </si>
  <si>
    <t>UPI/P2A/437815291864/BEST TOOLS           /GENQR/UCO Bank</t>
  </si>
  <si>
    <t xml:space="preserve">              1180.00</t>
  </si>
  <si>
    <t xml:space="preserve">          1114516.14</t>
  </si>
  <si>
    <t>15-01-2024</t>
  </si>
  <si>
    <t xml:space="preserve">          179173</t>
  </si>
  <si>
    <t>By Clg 179173 019  Surat</t>
  </si>
  <si>
    <t xml:space="preserve">             78331.00</t>
  </si>
  <si>
    <t xml:space="preserve">          1192847.14</t>
  </si>
  <si>
    <t>16-01-2024</t>
  </si>
  <si>
    <t>NEFT/MB/AXOMB40169110218/Yogi Enterprise/THE MEHSANA URBAN CO/Others-help</t>
  </si>
  <si>
    <t xml:space="preserve">          1142847.14</t>
  </si>
  <si>
    <t xml:space="preserve">            1102</t>
  </si>
  <si>
    <t>By Clg 001102 313  Surat</t>
  </si>
  <si>
    <t xml:space="preserve">            107106.00</t>
  </si>
  <si>
    <t xml:space="preserve">          1249953.14</t>
  </si>
  <si>
    <t>BRN-OW RTN CLG: REJECT:1102:Funds insufficient</t>
  </si>
  <si>
    <t>NEFT/MB/AXOMB40169763218/GIPL SALES/IDBI BANK LTD/</t>
  </si>
  <si>
    <t xml:space="preserve">            326676.00</t>
  </si>
  <si>
    <t xml:space="preserve">           816171.14</t>
  </si>
  <si>
    <t xml:space="preserve">          575081</t>
  </si>
  <si>
    <t>By Clg 575081 532  Surat</t>
  </si>
  <si>
    <t xml:space="preserve">           1226743.00</t>
  </si>
  <si>
    <t xml:space="preserve">          2042914.14</t>
  </si>
  <si>
    <t xml:space="preserve">          700634</t>
  </si>
  <si>
    <t>By Clg 700634 532  Surat</t>
  </si>
  <si>
    <t xml:space="preserve">            515453.00</t>
  </si>
  <si>
    <t xml:space="preserve">          2558367.14</t>
  </si>
  <si>
    <t>18-01-2024</t>
  </si>
  <si>
    <t>NEFT/MB/AXOMB40189158032/Creative Yarn/ICICI BANK LIMITED/</t>
  </si>
  <si>
    <t xml:space="preserve">          2546124.14</t>
  </si>
  <si>
    <t>NEFT/MSNUH24018605978/YOGI ENTERPRISE/THE MEHSANA URBAN CO//URGENT/</t>
  </si>
  <si>
    <t xml:space="preserve">          2596124.14</t>
  </si>
  <si>
    <t xml:space="preserve">             361</t>
  </si>
  <si>
    <t>By Clg 000361 240  Surat</t>
  </si>
  <si>
    <t xml:space="preserve">             60278.00</t>
  </si>
  <si>
    <t xml:space="preserve">          2656402.14</t>
  </si>
  <si>
    <t xml:space="preserve">          906761</t>
  </si>
  <si>
    <t>By Clg 906761 532  Surat</t>
  </si>
  <si>
    <t xml:space="preserve">            362934.00</t>
  </si>
  <si>
    <t xml:space="preserve">          3019336.14</t>
  </si>
  <si>
    <t>19-01-2024</t>
  </si>
  <si>
    <t xml:space="preserve">          3019318.14</t>
  </si>
  <si>
    <t xml:space="preserve">          3019218.14</t>
  </si>
  <si>
    <t>20-01-2024</t>
  </si>
  <si>
    <t>NEFT/35065476861DC/ANOKHI CREATION/ICICI BANK LIMITED/</t>
  </si>
  <si>
    <t xml:space="preserve">             70460.00</t>
  </si>
  <si>
    <t xml:space="preserve">          3089678.14</t>
  </si>
  <si>
    <t>NEFT/MB/AXOMB40207928697/Anokhi creation/ICICI BANK LIMITED/Others</t>
  </si>
  <si>
    <t xml:space="preserve">             92822.00</t>
  </si>
  <si>
    <t xml:space="preserve">          2996856.14</t>
  </si>
  <si>
    <t>21-01-2024</t>
  </si>
  <si>
    <t>UPI/P2A/402161922228/PANKAJ KUMAR YADAV S /pankaj/Bank of Baroda</t>
  </si>
  <si>
    <t xml:space="preserve">              6030.00</t>
  </si>
  <si>
    <t xml:space="preserve">          2990826.14</t>
  </si>
  <si>
    <t>22-01-2024</t>
  </si>
  <si>
    <t>NEFT/MB/AXOMB40226209183/pratik babadiya/STATE BANK OF INDIA/</t>
  </si>
  <si>
    <t xml:space="preserve">            217656.00</t>
  </si>
  <si>
    <t xml:space="preserve">          2773170.14</t>
  </si>
  <si>
    <t>23-01-2024</t>
  </si>
  <si>
    <t>UPI/P2A/402352196379/GAJERA BHAVDIP KISHOR/carpet/Kotak Mahindra Bank</t>
  </si>
  <si>
    <t xml:space="preserve">              6600.00</t>
  </si>
  <si>
    <t xml:space="preserve">          2766570.14</t>
  </si>
  <si>
    <t>UPI/P2M/402322706197/Rajan Silai Machin   /rajan/Axis Bank Ltd.</t>
  </si>
  <si>
    <t xml:space="preserve">             12940.00</t>
  </si>
  <si>
    <t xml:space="preserve">          2753630.14</t>
  </si>
  <si>
    <t>UPI/P2A/438976321718/JANVI VIJAYBHAI GOTMA/msjur/Bank of India</t>
  </si>
  <si>
    <t xml:space="preserve">          2753130.14</t>
  </si>
  <si>
    <t>24-01-2024</t>
  </si>
  <si>
    <t xml:space="preserve">             375</t>
  </si>
  <si>
    <t>By Clg 000375 246  Surat</t>
  </si>
  <si>
    <t xml:space="preserve">             13394.00</t>
  </si>
  <si>
    <t xml:space="preserve">          2766524.14</t>
  </si>
  <si>
    <t xml:space="preserve">             376</t>
  </si>
  <si>
    <t>By Clg 000376 246  Surat</t>
  </si>
  <si>
    <t xml:space="preserve">              7919.00</t>
  </si>
  <si>
    <t xml:space="preserve">          2774443.14</t>
  </si>
  <si>
    <t>25-01-2024</t>
  </si>
  <si>
    <t>UPI/P2A/402529393887/JANVI VIJAYBHAI GOTMA/riksha/Bank of India</t>
  </si>
  <si>
    <t xml:space="preserve">              1100.00</t>
  </si>
  <si>
    <t xml:space="preserve">          2773343.14</t>
  </si>
  <si>
    <t>27-01-2024</t>
  </si>
  <si>
    <t>UPI/P2A/439343441545/Ajaj                 /salman/Bank of Baroda</t>
  </si>
  <si>
    <t xml:space="preserve">          2763343.14</t>
  </si>
  <si>
    <t>28-01-2024</t>
  </si>
  <si>
    <t>UPI/P2A/439432184089/DHAVAL BHARATBHAI PAT/patel/HDFC BANK LTD</t>
  </si>
  <si>
    <t xml:space="preserve">             13550.00</t>
  </si>
  <si>
    <t xml:space="preserve">          2749793.14</t>
  </si>
  <si>
    <t>30-01-2024</t>
  </si>
  <si>
    <t>UPI/P2A/403075859490/JANVI VIJAYBHAI GOTMA/riksh/Bank of India</t>
  </si>
  <si>
    <t xml:space="preserve">          2748293.14</t>
  </si>
  <si>
    <t>31-01-2024</t>
  </si>
  <si>
    <t>UPI/P2A/439793797038/SURESH KUMAR  CHAURAS/rohit/State Bank Of India</t>
  </si>
  <si>
    <t xml:space="preserve">          2746793.14</t>
  </si>
  <si>
    <t>01-02-2024</t>
  </si>
  <si>
    <t>UPI/P2M/439841959501/KESHAV ENTERPRISE    /jari/HDFC BANK LTD</t>
  </si>
  <si>
    <t xml:space="preserve">              7271.00</t>
  </si>
  <si>
    <t xml:space="preserve">          2739522.14</t>
  </si>
  <si>
    <t>02-02-2024</t>
  </si>
  <si>
    <t>UPI/P2A/403346988276/SUSHIL               /amit/Union Bank of India</t>
  </si>
  <si>
    <t xml:space="preserve">              4200.00</t>
  </si>
  <si>
    <t xml:space="preserve">          2735322.14</t>
  </si>
  <si>
    <t>UPI/P2A/403395192212/SUSHIL               /dharma/Union Bank of India</t>
  </si>
  <si>
    <t xml:space="preserve">              3233.00</t>
  </si>
  <si>
    <t xml:space="preserve">          2732089.14</t>
  </si>
  <si>
    <t>UPI/P2A/403387966833/Ravi  Kumar          /Paymen/Fino Payments Bank</t>
  </si>
  <si>
    <t xml:space="preserve">          2725289.14</t>
  </si>
  <si>
    <t>03-02-2024</t>
  </si>
  <si>
    <t>NEFT/MB/AXOMB40348653701/yamuna computer/INDUSIND BANK/Others</t>
  </si>
  <si>
    <t xml:space="preserve">             42000.00</t>
  </si>
  <si>
    <t xml:space="preserve">          2683289.14</t>
  </si>
  <si>
    <t>04-02-2024</t>
  </si>
  <si>
    <t>UPI/P2A/440125502112/RAMANATH GOPINATH BAG/Paymen/Union Bank of India</t>
  </si>
  <si>
    <t xml:space="preserve">          2682789.14</t>
  </si>
  <si>
    <t>05-02-2024</t>
  </si>
  <si>
    <t>NEFT/SPCBN24036010462/k p enterprise/THE SURATH PEOPLES C//ATTN/bill</t>
  </si>
  <si>
    <t xml:space="preserve">             27294.00</t>
  </si>
  <si>
    <t xml:space="preserve">          2710083.14</t>
  </si>
  <si>
    <t>NEFT/MB/AXOMB40368002300/Balam/HDFC BANK/</t>
  </si>
  <si>
    <t xml:space="preserve">          2660083.14</t>
  </si>
  <si>
    <t>NEFT/MB/AXOMB40368175521/lemerite yarn/SHINHAN BANK/</t>
  </si>
  <si>
    <t xml:space="preserve">             20026.00</t>
  </si>
  <si>
    <t xml:space="preserve">          2640057.14</t>
  </si>
  <si>
    <t>06-02-2024</t>
  </si>
  <si>
    <t>IMPS/P2A/403713868786/PRIYAENT/BANKOFBA/KPEnt/9197270377229012000</t>
  </si>
  <si>
    <t xml:space="preserve">             14225.00</t>
  </si>
  <si>
    <t xml:space="preserve">          2654282.14</t>
  </si>
  <si>
    <t xml:space="preserve">          573857</t>
  </si>
  <si>
    <t>By Clg 573857 088  Surat</t>
  </si>
  <si>
    <t xml:space="preserve">             26823.00</t>
  </si>
  <si>
    <t xml:space="preserve">          2681105.14</t>
  </si>
  <si>
    <t xml:space="preserve">          573856</t>
  </si>
  <si>
    <t>By Clg 573856 088  Surat</t>
  </si>
  <si>
    <t xml:space="preserve">              6998.00</t>
  </si>
  <si>
    <t xml:space="preserve">          2688103.14</t>
  </si>
  <si>
    <t>07-02-2024</t>
  </si>
  <si>
    <t xml:space="preserve">           77950</t>
  </si>
  <si>
    <t>BRN-CLG-CHQ PAID TO Hiren Textiles /THE SUTEX CO-O</t>
  </si>
  <si>
    <t xml:space="preserve">              5900.00</t>
  </si>
  <si>
    <t xml:space="preserve">          2682203.14</t>
  </si>
  <si>
    <t>08-02-2024</t>
  </si>
  <si>
    <t>NEFT/MB/AXOMB40392887175/Balam/HDFC BANK/</t>
  </si>
  <si>
    <t xml:space="preserve">              2685.00</t>
  </si>
  <si>
    <t xml:space="preserve">          2679518.14</t>
  </si>
  <si>
    <t>09-02-2024</t>
  </si>
  <si>
    <t>NEFT/MB/AXOMB40407024691/janki metalik/KOTAK MAHINDRA BANK /</t>
  </si>
  <si>
    <t xml:space="preserve">            126891.00</t>
  </si>
  <si>
    <t xml:space="preserve">          2552627.14</t>
  </si>
  <si>
    <t>10-02-2024</t>
  </si>
  <si>
    <t>UPI/P2A/440785148158/DEVENDRA DHIRUBHAI GA/ac/Bank of Baroda</t>
  </si>
  <si>
    <t xml:space="preserve">          2551627.14</t>
  </si>
  <si>
    <t>UPI/P2A/440753549027/DEVENDRA DHIRUBHAI GA/ac/Bank of Baroda</t>
  </si>
  <si>
    <t xml:space="preserve">             38000.00</t>
  </si>
  <si>
    <t xml:space="preserve">          2513627.14</t>
  </si>
  <si>
    <t>12-02-2024</t>
  </si>
  <si>
    <t xml:space="preserve">             374</t>
  </si>
  <si>
    <t>By Clg 000374 240  Surat</t>
  </si>
  <si>
    <t xml:space="preserve">             11202.00</t>
  </si>
  <si>
    <t xml:space="preserve">          2524829.14</t>
  </si>
  <si>
    <t xml:space="preserve">             657</t>
  </si>
  <si>
    <t>By Clg 000657 485  Surat</t>
  </si>
  <si>
    <t xml:space="preserve">             48459.00</t>
  </si>
  <si>
    <t xml:space="preserve">          2573288.14</t>
  </si>
  <si>
    <t>13-02-2024</t>
  </si>
  <si>
    <t>NEFT/MB/AXOMB40445535266/Rajnis Dobariya/ICICI BANK LIMITED/</t>
  </si>
  <si>
    <t xml:space="preserve">             65600.00</t>
  </si>
  <si>
    <t xml:space="preserve">          2507688.14</t>
  </si>
  <si>
    <t>UPI/P2A/404484203378/YASH GIRISHBHAI JIVAN/UPI/HDFC BANK LTD</t>
  </si>
  <si>
    <t xml:space="preserve">          2507188.14</t>
  </si>
  <si>
    <t xml:space="preserve">          2614294.14</t>
  </si>
  <si>
    <t xml:space="preserve">             565</t>
  </si>
  <si>
    <t>By Clg 000565 229  Surat</t>
  </si>
  <si>
    <t xml:space="preserve">            184972.00</t>
  </si>
  <si>
    <t xml:space="preserve">          2799266.14</t>
  </si>
  <si>
    <t>14-02-2024</t>
  </si>
  <si>
    <t>NEFT/VARA000011422521/TIRUPATI ENTERPRISE/THE VARACHHA COOPERA///URGENT/k p enterprise bill</t>
  </si>
  <si>
    <t xml:space="preserve">              2820.00</t>
  </si>
  <si>
    <t xml:space="preserve">          2802086.14</t>
  </si>
  <si>
    <t>NEFT/VARA000011422525/TIRUPATI ENTERPRISE/THE VARACHHA COOPERA///URGENT/k p enterprise bill</t>
  </si>
  <si>
    <t xml:space="preserve">             90000.00</t>
  </si>
  <si>
    <t xml:space="preserve">          2892086.14</t>
  </si>
  <si>
    <t>UPI/P2M/404583853154/Shree sai bombay vada/rupesh/Paytm Payments Bank</t>
  </si>
  <si>
    <t xml:space="preserve">          2892006.14</t>
  </si>
  <si>
    <t>15-02-2024</t>
  </si>
  <si>
    <t>NEFT/SUNB000002968608/ZENITH FABRICS/SURAT NATIONAL COOPE///URGENT/FAST</t>
  </si>
  <si>
    <t xml:space="preserve">             42454.00</t>
  </si>
  <si>
    <t xml:space="preserve">          2934460.14</t>
  </si>
  <si>
    <t>16-02-2024</t>
  </si>
  <si>
    <t xml:space="preserve">          218252</t>
  </si>
  <si>
    <t>By Clg 218252 259  Surat</t>
  </si>
  <si>
    <t xml:space="preserve">            100000.00</t>
  </si>
  <si>
    <t xml:space="preserve">          3034460.14</t>
  </si>
  <si>
    <t>18-02-2024</t>
  </si>
  <si>
    <t>UPI/P2M/441500899143/CHIRAGKUMAR NAVINBHAI/UPI/Yes Bank Ltd</t>
  </si>
  <si>
    <t xml:space="preserve">          3033960.14</t>
  </si>
  <si>
    <t>19-02-2024</t>
  </si>
  <si>
    <t>UPI/P2M/405092456294/NAVSHAKTI CORPORATION/Verifi/Federal Bank</t>
  </si>
  <si>
    <t xml:space="preserve">          3031960.14</t>
  </si>
  <si>
    <t>UPI/P2M/441681957111/NAVSHAKTI CORPORATION/Verifi/Federal Bank</t>
  </si>
  <si>
    <t xml:space="preserve">               363.00</t>
  </si>
  <si>
    <t xml:space="preserve">          3031597.14</t>
  </si>
  <si>
    <t>NEFT/BARBV24050994772/BAPASITARAM SYNTHETICS/BANK OF BARODA/</t>
  </si>
  <si>
    <t xml:space="preserve">            167634.00</t>
  </si>
  <si>
    <t xml:space="preserve">          3199231.14</t>
  </si>
  <si>
    <t xml:space="preserve">          510738</t>
  </si>
  <si>
    <t>By Clg 510738 019  Surat</t>
  </si>
  <si>
    <t xml:space="preserve">             29330.00</t>
  </si>
  <si>
    <t xml:space="preserve">          3228561.14</t>
  </si>
  <si>
    <t xml:space="preserve">            2396</t>
  </si>
  <si>
    <t>By Clg 002396 240  Surat</t>
  </si>
  <si>
    <t xml:space="preserve">             12703.00</t>
  </si>
  <si>
    <t xml:space="preserve">          3241264.14</t>
  </si>
  <si>
    <t>20-02-2024</t>
  </si>
  <si>
    <t>NEFT/MB/AXOMB40518680554/shiv baba creation/HDFC BANK/</t>
  </si>
  <si>
    <t xml:space="preserve">            235246.00</t>
  </si>
  <si>
    <t xml:space="preserve">          3006018.14</t>
  </si>
  <si>
    <t xml:space="preserve">           18196</t>
  </si>
  <si>
    <t>By Clg 018196 532  Surat</t>
  </si>
  <si>
    <t xml:space="preserve">           1310663.00</t>
  </si>
  <si>
    <t xml:space="preserve">          4316681.14</t>
  </si>
  <si>
    <t>21-02-2024</t>
  </si>
  <si>
    <t>NEFT/MB/AXOMB40520682871/Sanghavi Export Yarn/KOTAK MAHINDRA BANK /</t>
  </si>
  <si>
    <t xml:space="preserve">          4266681.14</t>
  </si>
  <si>
    <t>UPI/P2A/405251953607/Ravi  Kumar          /Paymen/Fino Payments Bank</t>
  </si>
  <si>
    <t xml:space="preserve">          4264681.14</t>
  </si>
  <si>
    <t xml:space="preserve">             853</t>
  </si>
  <si>
    <t>By Clg 000853 240  Surat</t>
  </si>
  <si>
    <t xml:space="preserve">             29781.00</t>
  </si>
  <si>
    <t xml:space="preserve">          4294462.14</t>
  </si>
  <si>
    <t xml:space="preserve">            2515</t>
  </si>
  <si>
    <t>By Clg 002515 485  Surat</t>
  </si>
  <si>
    <t xml:space="preserve">            142173.00</t>
  </si>
  <si>
    <t xml:space="preserve">          4436635.14</t>
  </si>
  <si>
    <t>UPI/P2A/405238980763/Shibhaji Bipra Pradha/Paymen/Airtel Payments Bank</t>
  </si>
  <si>
    <t xml:space="preserve">          4434635.14</t>
  </si>
  <si>
    <t>22-02-2024</t>
  </si>
  <si>
    <t>UPI/P2A/405332273727/VIRENDRA RAJ         /kalu/Union Bank of India</t>
  </si>
  <si>
    <t xml:space="preserve">          4433835.14</t>
  </si>
  <si>
    <t>UPI/P2A/441947622591/Noor Mohm/Airtel Pa/Payment/</t>
  </si>
  <si>
    <t xml:space="preserve">          4435835.14</t>
  </si>
  <si>
    <t>UPI/P2A/441966183682/HARSHAD RAMESHBHAI PA/UPI/The Mehsana Urban Co</t>
  </si>
  <si>
    <t xml:space="preserve">              2200.00</t>
  </si>
  <si>
    <t xml:space="preserve">          4433635.14</t>
  </si>
  <si>
    <t>23-02-2024</t>
  </si>
  <si>
    <t>NEFT/MB/AXOMB40547132884/Sanghavi Export Yarn/KOTAK MAHINDRA BANK /</t>
  </si>
  <si>
    <t xml:space="preserve">            211274.00</t>
  </si>
  <si>
    <t xml:space="preserve">          4222361.14</t>
  </si>
  <si>
    <t>UPI/P2A/405473814807/SUSHIL               /ashish/Union Bank of India</t>
  </si>
  <si>
    <t xml:space="preserve">          4221861.14</t>
  </si>
  <si>
    <t>UPI/P2A/442035146850/RAMANATH GOPINATH BAG/Paymen/Union Bank of India</t>
  </si>
  <si>
    <t xml:space="preserve">          4220861.14</t>
  </si>
  <si>
    <t>24-02-2024</t>
  </si>
  <si>
    <t>UPI/P2A/405574244048/SUSHIL               /UPI/Union Bank of India</t>
  </si>
  <si>
    <t xml:space="preserve">          4219861.14</t>
  </si>
  <si>
    <t xml:space="preserve">          4219843.14</t>
  </si>
  <si>
    <t>GST @18% on Chq Rtn O/W Chrgs</t>
  </si>
  <si>
    <t xml:space="preserve">                 9.00</t>
  </si>
  <si>
    <t xml:space="preserve">          4219834.14</t>
  </si>
  <si>
    <t>Chq Rtn O/W Chrgs</t>
  </si>
  <si>
    <t xml:space="preserve">                50.00</t>
  </si>
  <si>
    <t xml:space="preserve">          4219784.14</t>
  </si>
  <si>
    <t xml:space="preserve">          4219684.14</t>
  </si>
  <si>
    <t>25-02-2024</t>
  </si>
  <si>
    <t>UPI/P2M/442268694720/billdesktez          /UPI/ICICI Bank</t>
  </si>
  <si>
    <t xml:space="preserve">             13190.00</t>
  </si>
  <si>
    <t xml:space="preserve">          4206494.14</t>
  </si>
  <si>
    <t>26-02-2024</t>
  </si>
  <si>
    <t>UPI/P2A/442371328434/MORYA SUNILKUMAR     /aman/HDFC BANK LTD</t>
  </si>
  <si>
    <t xml:space="preserve">          4201494.14</t>
  </si>
  <si>
    <t>UPI/P2A/405795134038/AKASH KUMAR PASWAN   /sada/Punjab National Bank</t>
  </si>
  <si>
    <t xml:space="preserve">          4197494.14</t>
  </si>
  <si>
    <t>UPI/P2A/442343828143/Amit Kumar           /amit/Airtel Payments Bank</t>
  </si>
  <si>
    <t xml:space="preserve">          4194994.14</t>
  </si>
  <si>
    <t>UPI/P2A/405720835086/ADITYA SINGH         /UPI/Airtel Payments Bank</t>
  </si>
  <si>
    <t xml:space="preserve">          4193994.14</t>
  </si>
  <si>
    <t>UPI/P2A/405724430809/SUSHIL               /rohit/Union Bank of India</t>
  </si>
  <si>
    <t xml:space="preserve">          4191994.14</t>
  </si>
  <si>
    <t>UPI/P2M/405737733586/MILAN PLUS           /UPI/HDFC BANK LTD</t>
  </si>
  <si>
    <t xml:space="preserve">          4189994.14</t>
  </si>
  <si>
    <t>UPI/P2M/442339735116/MILAN PLUS           /UPI/HDFC BANK LTD</t>
  </si>
  <si>
    <t xml:space="preserve">          4189394.14</t>
  </si>
  <si>
    <t>UPI/P2A/442335143293/ADITYA SINGH         /UPI/Airtel Payments Bank</t>
  </si>
  <si>
    <t xml:space="preserve">          4180394.14</t>
  </si>
  <si>
    <t>27-02-2024</t>
  </si>
  <si>
    <t>UPI/P2A/442465173209/OMPRAKASH  KUSHWAHA  /vijay/Kotak Mahindra Bank</t>
  </si>
  <si>
    <t xml:space="preserve">          4176394.14</t>
  </si>
  <si>
    <t>NEFT/MB/AXOMB40584710932/GIPL SALES/IDBI BANK LTD/Others</t>
  </si>
  <si>
    <t xml:space="preserve">            134346.00</t>
  </si>
  <si>
    <t xml:space="preserve">          4042048.14</t>
  </si>
  <si>
    <t>NEFT/SUNB000003002480/ZENITH FABRICS/SURAT NATIONAL COOPE///URGENT/FAST</t>
  </si>
  <si>
    <t xml:space="preserve">             23044.00</t>
  </si>
  <si>
    <t xml:space="preserve">          4065092.14</t>
  </si>
  <si>
    <t xml:space="preserve">           31005</t>
  </si>
  <si>
    <t>By Clg 031005 015  Surat</t>
  </si>
  <si>
    <t xml:space="preserve">            114971.00</t>
  </si>
  <si>
    <t xml:space="preserve">          4180063.14</t>
  </si>
  <si>
    <t>01-03-2024</t>
  </si>
  <si>
    <t>UPI/P2A/442749149591/RAMANATH GOPINATH BAG/Paymen/Union Bank of India</t>
  </si>
  <si>
    <t xml:space="preserve">          4179063.14</t>
  </si>
  <si>
    <t>UPI/P2M/442730314024/VIJAY MAGANBHAI SAVAL/gadi j/Paytm Payments Bank</t>
  </si>
  <si>
    <t xml:space="preserve">          4177883.14</t>
  </si>
  <si>
    <t>NEFT/MB/AXOMB40614248237/Sanghavi Export Yarn/KOTAK MAHINDRA BANK /</t>
  </si>
  <si>
    <t xml:space="preserve">            194998.00</t>
  </si>
  <si>
    <t xml:space="preserve">          3982885.14</t>
  </si>
  <si>
    <t>04-03-2024</t>
  </si>
  <si>
    <t>NEFT/MB/AXOMB40642800238/Jayasukh Donariya/BANK OF BARODA/Others-help</t>
  </si>
  <si>
    <t xml:space="preserve">          3932885.14</t>
  </si>
  <si>
    <t>05-03-2024</t>
  </si>
  <si>
    <t>NEFT/MB/AXOMB40651472718/Sanghavi Export Yarn/KOTAK MAHINDRA BANK /</t>
  </si>
  <si>
    <t xml:space="preserve">          3737887.14</t>
  </si>
  <si>
    <t>06-03-2024</t>
  </si>
  <si>
    <t>UPI/P2A/443220354341/Subhakar  Kumar      /roshan/Fino Payments Bank</t>
  </si>
  <si>
    <t xml:space="preserve">          3736887.14</t>
  </si>
  <si>
    <t>UPI/P2A/443254452278/SUSHIL               /rohit/Union Bank of India</t>
  </si>
  <si>
    <t xml:space="preserve">          3735887.14</t>
  </si>
  <si>
    <t xml:space="preserve">           77951</t>
  </si>
  <si>
    <t xml:space="preserve">          3724087.14</t>
  </si>
  <si>
    <t xml:space="preserve">            1830</t>
  </si>
  <si>
    <t>By Clg 001830 240  Surat</t>
  </si>
  <si>
    <t xml:space="preserve">             10053.00</t>
  </si>
  <si>
    <t xml:space="preserve">          3734140.14</t>
  </si>
  <si>
    <t xml:space="preserve">            2432</t>
  </si>
  <si>
    <t>By Clg 002432 240  Surat</t>
  </si>
  <si>
    <t xml:space="preserve">             28741.00</t>
  </si>
  <si>
    <t xml:space="preserve">          3762881.14</t>
  </si>
  <si>
    <t>07-03-2024</t>
  </si>
  <si>
    <t>UPI/P2A/443371826661/DOBARIYA /Bank of B/UPI/</t>
  </si>
  <si>
    <t xml:space="preserve">          3812881.14</t>
  </si>
  <si>
    <t>UPI/P2A/406734225296/MILAN PLU/Kotak Mah/UPI/</t>
  </si>
  <si>
    <t xml:space="preserve">               530.00</t>
  </si>
  <si>
    <t xml:space="preserve">          3813411.14</t>
  </si>
  <si>
    <t xml:space="preserve">             401</t>
  </si>
  <si>
    <t>CLG/000401/060324/Hdfc Bank  /</t>
  </si>
  <si>
    <t xml:space="preserve">             32498.00</t>
  </si>
  <si>
    <t xml:space="preserve">          3845909.14</t>
  </si>
  <si>
    <t>09-03-2024</t>
  </si>
  <si>
    <t>UPI/P2M/443567900789/AMARLAXMI HARDWARE   /payep/Axis Bank Ltd.</t>
  </si>
  <si>
    <t xml:space="preserve">               995.00</t>
  </si>
  <si>
    <t xml:space="preserve">          3844914.14</t>
  </si>
  <si>
    <t>UPI/P2M/406953316807/AMARLAXMI HARDWARE   /huk/Axis Bank Ltd.</t>
  </si>
  <si>
    <t xml:space="preserve">               211.00</t>
  </si>
  <si>
    <t xml:space="preserve">          3844703.14</t>
  </si>
  <si>
    <t>10-03-2024</t>
  </si>
  <si>
    <t>NEFT/MB/AXOMB07018636047/Rajnis Dobariya/ICICI BANK LIMITED/Others-stand</t>
  </si>
  <si>
    <t xml:space="preserve">          3832703.14</t>
  </si>
  <si>
    <t>UPI/P2A/407057906247/HETAL VIS/Kotak Mah/rent/</t>
  </si>
  <si>
    <t xml:space="preserve">          3836203.14</t>
  </si>
  <si>
    <t>12-03-2024</t>
  </si>
  <si>
    <t xml:space="preserve">           18205</t>
  </si>
  <si>
    <t>CLG/018205/110324/Yes Bank L /</t>
  </si>
  <si>
    <t xml:space="preserve">           1014580.00</t>
  </si>
  <si>
    <t xml:space="preserve">          4850783.14</t>
  </si>
  <si>
    <t>13-03-2024</t>
  </si>
  <si>
    <t xml:space="preserve">           77952</t>
  </si>
  <si>
    <t>SAK/CASH WDL/SAK386535601/4901/AK ROAD/SELF</t>
  </si>
  <si>
    <t xml:space="preserve">            200000.00</t>
  </si>
  <si>
    <t xml:space="preserve">          4650783.14</t>
  </si>
  <si>
    <t>14-03-2024</t>
  </si>
  <si>
    <t xml:space="preserve">          549955</t>
  </si>
  <si>
    <t>CLG/549955/130324/Punjab Nat /</t>
  </si>
  <si>
    <t xml:space="preserve">             25958.00</t>
  </si>
  <si>
    <t xml:space="preserve">          4676741.14</t>
  </si>
  <si>
    <t>15-03-2024</t>
  </si>
  <si>
    <t>UPI/P2A/444162619934/DOBARIYA JAYASUKH RAM/UPI/Bank of Baroda</t>
  </si>
  <si>
    <t xml:space="preserve">          4666741.14</t>
  </si>
  <si>
    <t>16-03-2024</t>
  </si>
  <si>
    <t xml:space="preserve">            3293</t>
  </si>
  <si>
    <t>CLG/003293/150324/Hdfc Bank  /</t>
  </si>
  <si>
    <t xml:space="preserve">          4691741.14</t>
  </si>
  <si>
    <t>17-03-2024</t>
  </si>
  <si>
    <t>NEFT/BARBR24077753112/SHIV FASHION/BANK OF BARODA/</t>
  </si>
  <si>
    <t xml:space="preserve">             41159.00</t>
  </si>
  <si>
    <t xml:space="preserve">          4732900.14</t>
  </si>
  <si>
    <t>NEFT/MB/AXOMB07786372220/Rupesh/STATE BANK OF INDIA/Others-help</t>
  </si>
  <si>
    <t xml:space="preserve">          4722900.14</t>
  </si>
  <si>
    <t>18-03-2024</t>
  </si>
  <si>
    <t>NEFT/MB/AXOMB07895177270/pratik babadiya/STATE BANK OF INDIA/Others-gst</t>
  </si>
  <si>
    <t xml:space="preserve">             31816.00</t>
  </si>
  <si>
    <t xml:space="preserve">          4691084.14</t>
  </si>
  <si>
    <t>19-03-2024</t>
  </si>
  <si>
    <t xml:space="preserve">            1868</t>
  </si>
  <si>
    <t>CLG/001868/180324/Icici Bank /</t>
  </si>
  <si>
    <t xml:space="preserve">             73468.00</t>
  </si>
  <si>
    <t xml:space="preserve">          4764552.14</t>
  </si>
  <si>
    <t xml:space="preserve">          218272</t>
  </si>
  <si>
    <t>CLG/218272/180324/Idbi Bank  /</t>
  </si>
  <si>
    <t xml:space="preserve">             74214.00</t>
  </si>
  <si>
    <t xml:space="preserve">          4838766.14</t>
  </si>
  <si>
    <t xml:space="preserve">              89</t>
  </si>
  <si>
    <t>CLG/000089/180324/248 /</t>
  </si>
  <si>
    <t xml:space="preserve">             60139.00</t>
  </si>
  <si>
    <t xml:space="preserve">          4898905.14</t>
  </si>
  <si>
    <t xml:space="preserve">             800</t>
  </si>
  <si>
    <t>CLG/000800/180324/248 /</t>
  </si>
  <si>
    <t xml:space="preserve">             18992.00</t>
  </si>
  <si>
    <t xml:space="preserve">          4917897.14</t>
  </si>
  <si>
    <t>21-03-2024</t>
  </si>
  <si>
    <t>UPI/P2A/408199283643/Ravi  Kumar          /UPI/Fino Payments Bank</t>
  </si>
  <si>
    <t xml:space="preserve">          4914897.14</t>
  </si>
  <si>
    <t>NEFT/SUNB000003084256/DHARMANANDAN TEX/SURAT NATIONAL COOPE///URGENT/KPE 389 To K P ENTER</t>
  </si>
  <si>
    <t xml:space="preserve">             45736.00</t>
  </si>
  <si>
    <t xml:space="preserve">          4960633.14</t>
  </si>
  <si>
    <t>NEFT/SUNB000003084307/DHARMANANDAN TEX/SURAT NATIONAL COOPE///URGENT/KPE 392 To K P ENTER</t>
  </si>
  <si>
    <t xml:space="preserve">             11053.00</t>
  </si>
  <si>
    <t xml:space="preserve">          4971686.14</t>
  </si>
  <si>
    <t xml:space="preserve">             556</t>
  </si>
  <si>
    <t>CLG/000556/200324/Kotak Mahi /</t>
  </si>
  <si>
    <t xml:space="preserve">             41560.00</t>
  </si>
  <si>
    <t xml:space="preserve">          5013246.14</t>
  </si>
  <si>
    <t>22-03-2024</t>
  </si>
  <si>
    <t>NEFT/MB/AXOMB08233800970/Jayasukh Donariya/BANK OF BARODA/Others-bhadu avel te</t>
  </si>
  <si>
    <t xml:space="preserve">          5009746.14</t>
  </si>
  <si>
    <t xml:space="preserve">           30716</t>
  </si>
  <si>
    <t>CLG/030716/210324/Cosmos Co. /</t>
  </si>
  <si>
    <t xml:space="preserve">             65080.00</t>
  </si>
  <si>
    <t xml:space="preserve">          5074826.14</t>
  </si>
  <si>
    <t>23-03-2024</t>
  </si>
  <si>
    <t xml:space="preserve">          5074808.14</t>
  </si>
  <si>
    <t xml:space="preserve">          5074708.14</t>
  </si>
  <si>
    <t>24-03-2024</t>
  </si>
  <si>
    <t>NEFT/MB/AXOMB08453003324/Jayasukh Donariya/BANK OF BARODA/Others-pagar</t>
  </si>
  <si>
    <t xml:space="preserve">            157800.00</t>
  </si>
  <si>
    <t xml:space="preserve">          4916908.14</t>
  </si>
  <si>
    <t>UPI/P2A/445059438568/DIPAK PARSHOTTAMBHAI /UPI/Federal Bank</t>
  </si>
  <si>
    <t xml:space="preserve">              3275.00</t>
  </si>
  <si>
    <t xml:space="preserve">          4913633.14</t>
  </si>
  <si>
    <t>UPI/P2A/445003241311/Rajkumar             /rajkum/Fino Payments Bank</t>
  </si>
  <si>
    <t xml:space="preserve">          4910633.14</t>
  </si>
  <si>
    <t>25-03-2024</t>
  </si>
  <si>
    <t xml:space="preserve">             369</t>
  </si>
  <si>
    <t>CLG/000369/220324/Kotak Mahi /</t>
  </si>
  <si>
    <t xml:space="preserve">             21101.00</t>
  </si>
  <si>
    <t xml:space="preserve">          4931734.14</t>
  </si>
  <si>
    <t xml:space="preserve">            2616</t>
  </si>
  <si>
    <t>CLG/002616/220324/126 /</t>
  </si>
  <si>
    <t xml:space="preserve">              3105.00</t>
  </si>
  <si>
    <t xml:space="preserve">          4934839.14</t>
  </si>
  <si>
    <t>27-03-2024</t>
  </si>
  <si>
    <t xml:space="preserve">             257</t>
  </si>
  <si>
    <t>CLG/000257/260324/248 /</t>
  </si>
  <si>
    <t xml:space="preserve">             68412.00</t>
  </si>
  <si>
    <t xml:space="preserve">          5003251.14</t>
  </si>
  <si>
    <t xml:space="preserve">             605</t>
  </si>
  <si>
    <t>CLG/000605/260324/250 /</t>
  </si>
  <si>
    <t xml:space="preserve">             36256.00</t>
  </si>
  <si>
    <t xml:space="preserve">          5039507.14</t>
  </si>
  <si>
    <t xml:space="preserve">           31022</t>
  </si>
  <si>
    <t>CLG/031022/260324/Canara Ban /</t>
  </si>
  <si>
    <t xml:space="preserve">             22095.00</t>
  </si>
  <si>
    <t xml:space="preserve">          5061602.14</t>
  </si>
  <si>
    <t xml:space="preserve">             983</t>
  </si>
  <si>
    <t>CLG/000983/260324/Icici Bank /</t>
  </si>
  <si>
    <t xml:space="preserve">            602819.00</t>
  </si>
  <si>
    <t xml:space="preserve">          5664421.14</t>
  </si>
  <si>
    <t>28-03-2024</t>
  </si>
  <si>
    <t>NEFT/BARBQ24088931287/BAPASITARAM SYNTHETICS/BANK OF BARODA/</t>
  </si>
  <si>
    <t xml:space="preserve">             84575.00</t>
  </si>
  <si>
    <t xml:space="preserve">          5748996.14</t>
  </si>
  <si>
    <t xml:space="preserve">          549971</t>
  </si>
  <si>
    <t>CLG/549971/270324/Punjab Nat /</t>
  </si>
  <si>
    <t xml:space="preserve">            231499.00</t>
  </si>
  <si>
    <t xml:space="preserve">          5980495.14</t>
  </si>
  <si>
    <t xml:space="preserve">            2102</t>
  </si>
  <si>
    <t>CLG/002102/270324/248 /</t>
  </si>
  <si>
    <t xml:space="preserve">             93317.00</t>
  </si>
  <si>
    <t xml:space="preserve">          6073812.14</t>
  </si>
  <si>
    <t xml:space="preserve">             883</t>
  </si>
  <si>
    <t>CLG/000883/270324/Hdfc Bank  /</t>
  </si>
  <si>
    <t xml:space="preserve">             14542.00</t>
  </si>
  <si>
    <t xml:space="preserve">          6088354.14</t>
  </si>
  <si>
    <t>29-03-2024</t>
  </si>
  <si>
    <t>UPI/P2M/408921560631/Google India Digital /UPI/Axis Bank Ltd.</t>
  </si>
  <si>
    <t xml:space="preserve">             21880.00</t>
  </si>
  <si>
    <t xml:space="preserve">          6066474.14</t>
  </si>
  <si>
    <t>NEFT/SUNB000003116086/DHARMANANDAN TEX/SURAT NATIONAL COOPE///URGENT/KPE401 To K P ENTERP</t>
  </si>
  <si>
    <t xml:space="preserve">             83634.00</t>
  </si>
  <si>
    <t xml:space="preserve">          6150108.14</t>
  </si>
  <si>
    <t>NEFT/N089242958110866/SHIV BABA CREATION/HDFC BANK/pmt</t>
  </si>
  <si>
    <t xml:space="preserve">              7972.00</t>
  </si>
  <si>
    <t xml:space="preserve">          6158080.14</t>
  </si>
  <si>
    <t>NEFT/MB/AXOMB08994935970/shiv baba creation/HDFC BANK/</t>
  </si>
  <si>
    <t xml:space="preserve">              7920.00</t>
  </si>
  <si>
    <t xml:space="preserve">          6150160.14</t>
  </si>
  <si>
    <t>NEFT/N089242958171927/SHIV BABA CREATION/HDFC BANK/pmt</t>
  </si>
  <si>
    <t xml:space="preserve">              7620.00</t>
  </si>
  <si>
    <t xml:space="preserve">          6157780.14</t>
  </si>
  <si>
    <t>UPI/P2M/445548889014/Pancchi Studio       /UPI/Axis Bank Ltd.</t>
  </si>
  <si>
    <t xml:space="preserve">          6154780.14</t>
  </si>
  <si>
    <t>30-03-2024</t>
  </si>
  <si>
    <t>NEFT/MB/AXOMB09001192823/Dilipbhai/THE VARACHHA COOPERA/Others-pagar</t>
  </si>
  <si>
    <t xml:space="preserve">          6104780.14</t>
  </si>
  <si>
    <t>UPI/P2A/445689707235/DILIPBHAI ARVINDBHAI /UPI/The Varachha Co-Op B</t>
  </si>
  <si>
    <t xml:space="preserve">          6103280.14</t>
  </si>
  <si>
    <t>NEFT/MB/AXOMB09001194786/Jayasukh Donariya/BANK OF BARODA/Others-pagar</t>
  </si>
  <si>
    <t xml:space="preserve">            103000.00</t>
  </si>
  <si>
    <t xml:space="preserve">          6000280.14</t>
  </si>
  <si>
    <t>NEFT/MB/AXOMB09001592721/Yogi Enterprise/THE MEHSANA URBAN CO/Others-nikulbhai</t>
  </si>
  <si>
    <t xml:space="preserve">          5850280.14</t>
  </si>
  <si>
    <t>NEFT/MSNUH24090937154/YOGI ENTERPRISE/THE MEHSANA URBAN CO//URGENT/</t>
  </si>
  <si>
    <t xml:space="preserve">            169097.00</t>
  </si>
  <si>
    <t xml:space="preserve">          6019377.14</t>
  </si>
  <si>
    <t>SRL NO</t>
  </si>
  <si>
    <t>C:\Users\ADITYA\Desktop\Ecomm\Bank Statement\axis 2.xls</t>
  </si>
  <si>
    <t xml:space="preserve">City Union Bank </t>
  </si>
  <si>
    <t>C:\Users\ADITYA\Desktop\Ecomm\Bank Statement\SBI.xlsx</t>
  </si>
  <si>
    <t>Reference No. / Cheque No.</t>
  </si>
  <si>
    <r>
      <t xml:space="preserve">Withdrawal
</t>
    </r>
    <r>
      <rPr>
        <b/>
        <sz val="10"/>
        <color rgb="FF000000"/>
        <rFont val="Arial"/>
        <family val="2"/>
      </rPr>
      <t>INR</t>
    </r>
  </si>
  <si>
    <r>
      <t xml:space="preserve">Deposit
</t>
    </r>
    <r>
      <rPr>
        <b/>
        <sz val="10"/>
        <color rgb="FF000000"/>
        <rFont val="Arial"/>
        <family val="2"/>
      </rPr>
      <t>INR</t>
    </r>
  </si>
  <si>
    <r>
      <t xml:space="preserve">ClosingBalance
</t>
    </r>
    <r>
      <rPr>
        <b/>
        <sz val="10"/>
        <color rgb="FF000000"/>
        <rFont val="Arial"/>
        <family val="2"/>
      </rPr>
      <t>INR</t>
    </r>
  </si>
  <si>
    <t>B20</t>
  </si>
  <si>
    <t>C:\Users\ADITYA\Desktop\Ecomm\EQUITAS-BANK COPY(1).xlsx</t>
  </si>
  <si>
    <t>Equitas Small Finance Bank</t>
  </si>
  <si>
    <t>ICICI(C) (P)</t>
  </si>
  <si>
    <t>ICICI(S) (P)</t>
  </si>
  <si>
    <t>ICICI(C)2 (P)</t>
  </si>
  <si>
    <t>HDFC (P)</t>
  </si>
  <si>
    <t>Axis(S) (P)</t>
  </si>
  <si>
    <t>Axis(C) (P)</t>
  </si>
  <si>
    <t>IDBI (P)</t>
  </si>
  <si>
    <t>IDBI(S) (P)</t>
  </si>
  <si>
    <t>IDFC (P)</t>
  </si>
  <si>
    <t>CityUni (P)</t>
  </si>
  <si>
    <t>indusind (P)</t>
  </si>
  <si>
    <t>Kalupur (P)</t>
  </si>
  <si>
    <t>AU (P)</t>
  </si>
  <si>
    <t>SBI (P)</t>
  </si>
  <si>
    <t>Union (P)</t>
  </si>
  <si>
    <t>Union2 (P)</t>
  </si>
  <si>
    <t>Varachha (P)</t>
  </si>
  <si>
    <t>Kotak (P)</t>
  </si>
  <si>
    <t>Kotak2 (P)</t>
  </si>
  <si>
    <t>Kotak3 (P)</t>
  </si>
  <si>
    <t>CBI (P)</t>
  </si>
  <si>
    <t>ICICI(C)</t>
  </si>
  <si>
    <t>ICICI(S)</t>
  </si>
  <si>
    <t>HDFC</t>
  </si>
  <si>
    <t>Kotak(C)</t>
  </si>
  <si>
    <t>Kotak(S)</t>
  </si>
  <si>
    <t>Axis(S)</t>
  </si>
  <si>
    <t>Axis(S) (2)</t>
  </si>
  <si>
    <t>Axis(C)</t>
  </si>
  <si>
    <t>Yes</t>
  </si>
  <si>
    <t>indusind</t>
  </si>
  <si>
    <t>IDBI</t>
  </si>
  <si>
    <t>Bandhan</t>
  </si>
  <si>
    <t>Indian</t>
  </si>
  <si>
    <t>IDFC</t>
  </si>
  <si>
    <t>RBL</t>
  </si>
  <si>
    <t>Union</t>
  </si>
  <si>
    <t>SBI</t>
  </si>
  <si>
    <t>BOI</t>
  </si>
  <si>
    <t>UCO</t>
  </si>
  <si>
    <t>CBI</t>
  </si>
  <si>
    <t>BOB(C)</t>
  </si>
  <si>
    <t>BOB(S)</t>
  </si>
  <si>
    <t>PNB</t>
  </si>
  <si>
    <t>PNB (2)</t>
  </si>
  <si>
    <t>RNSBE</t>
  </si>
  <si>
    <t>Federal</t>
  </si>
  <si>
    <t>Varachha</t>
  </si>
  <si>
    <t>SNCB</t>
  </si>
  <si>
    <t>SDCB</t>
  </si>
  <si>
    <t>AU</t>
  </si>
  <si>
    <t>Prime</t>
  </si>
  <si>
    <t>DCB</t>
  </si>
  <si>
    <t>Saraswat</t>
  </si>
  <si>
    <t>Help</t>
  </si>
  <si>
    <t>Master</t>
  </si>
  <si>
    <t>Customer ID</t>
  </si>
  <si>
    <t>Party Name</t>
  </si>
  <si>
    <t>Mobile Number</t>
  </si>
  <si>
    <t>PC/Mac ID</t>
  </si>
  <si>
    <t>Com Name</t>
  </si>
  <si>
    <t>Registration Date</t>
  </si>
  <si>
    <t>Expiry Date</t>
  </si>
  <si>
    <t>Status</t>
  </si>
  <si>
    <t xml:space="preserve">Status </t>
  </si>
  <si>
    <t>Equitas</t>
  </si>
  <si>
    <t>ADITYA TECHNOLOGIES</t>
  </si>
  <si>
    <t>Accepted</t>
  </si>
  <si>
    <t>B4:B5:2F:DF:4C:08</t>
  </si>
  <si>
    <t>ADITYA-TECH</t>
  </si>
  <si>
    <t>Bank Excle Licance</t>
  </si>
  <si>
    <r>
      <rPr>
        <sz val="7"/>
        <rFont val="Arial MT"/>
        <family val="2"/>
      </rPr>
      <t>DEP TFR:IMPS/409501780259/GOOGL EINDIADIGI/XXXX58:TRF FR INTERNAL ACCOUNT:FRM</t>
    </r>
  </si>
  <si>
    <r>
      <rPr>
        <sz val="7"/>
        <rFont val="Arial MT"/>
        <family val="2"/>
      </rPr>
      <t>-</t>
    </r>
  </si>
  <si>
    <r>
      <rPr>
        <sz val="7"/>
        <rFont val="Arial MT"/>
        <family val="2"/>
      </rPr>
      <t>64042.36Cr</t>
    </r>
  </si>
  <si>
    <r>
      <rPr>
        <sz val="7"/>
        <rFont val="Arial MT"/>
        <family val="2"/>
      </rPr>
      <t>DEP TFR:IMPS/409601154331/GOOGL EINDIADIGI/XXXX58:TRF FR INTERNAL ACCOUNT:FRM</t>
    </r>
  </si>
  <si>
    <r>
      <rPr>
        <sz val="7"/>
        <rFont val="Arial MT"/>
        <family val="2"/>
      </rPr>
      <t>75495.36Cr</t>
    </r>
  </si>
  <si>
    <r>
      <rPr>
        <sz val="7"/>
        <rFont val="Arial MT"/>
        <family val="2"/>
      </rPr>
      <t>DEP TFR:IMPS/409800274574/GOOGL EINDIADIGI/XXXX58:TRF FR INTERNAL ACCOUNT:FRM</t>
    </r>
  </si>
  <si>
    <r>
      <rPr>
        <sz val="7"/>
        <rFont val="Arial MT"/>
        <family val="2"/>
      </rPr>
      <t>100040.36Cr</t>
    </r>
  </si>
  <si>
    <r>
      <rPr>
        <sz val="7"/>
        <rFont val="Arial MT"/>
        <family val="2"/>
      </rPr>
      <t>CEMTEX DEP:HEADIMPS TCC TXN DT. 06.04.2024 RRN 40970</t>
    </r>
  </si>
  <si>
    <r>
      <rPr>
        <sz val="7"/>
        <rFont val="Arial MT"/>
        <family val="2"/>
      </rPr>
      <t>112535.36Cr</t>
    </r>
  </si>
  <si>
    <r>
      <rPr>
        <sz val="7"/>
        <rFont val="Arial MT"/>
        <family val="2"/>
      </rPr>
      <t>DEP TFR:IMPS/410000870230/GOOGL EINDIADIGI/XXXX58:TRF FR INTERNAL ACCOUNT:FRM</t>
    </r>
  </si>
  <si>
    <r>
      <rPr>
        <sz val="7"/>
        <rFont val="Arial MT"/>
        <family val="2"/>
      </rPr>
      <t>125925.36Cr</t>
    </r>
  </si>
  <si>
    <r>
      <rPr>
        <sz val="7"/>
        <rFont val="Arial MT"/>
        <family val="2"/>
      </rPr>
      <t>DEP TFR:IMPS/410201225063/GOOGL EINDIADIGI/XXXX58:TRF FR INTERNAL ACCOUNT:FRM</t>
    </r>
  </si>
  <si>
    <r>
      <rPr>
        <sz val="7"/>
        <rFont val="Arial MT"/>
        <family val="2"/>
      </rPr>
      <t>131465.36Cr</t>
    </r>
  </si>
  <si>
    <r>
      <rPr>
        <sz val="7"/>
        <rFont val="Arial MT"/>
        <family val="2"/>
      </rPr>
      <t>DEP TFR:IMPS/410301575697/GOOGL EINDIADIGI/XXXX58:TRF FR INTERNAL ACCOUNT:FRM</t>
    </r>
  </si>
  <si>
    <r>
      <rPr>
        <sz val="7"/>
        <rFont val="Arial MT"/>
        <family val="2"/>
      </rPr>
      <t>133160.36Cr</t>
    </r>
  </si>
  <si>
    <r>
      <rPr>
        <sz val="7"/>
        <rFont val="Arial MT"/>
        <family val="2"/>
      </rPr>
      <t>DEP TFR:NEFT JALARAM AUTOMOBI CMS4087784174:TRF FR INTERNAL ACCOUNT</t>
    </r>
  </si>
  <si>
    <r>
      <rPr>
        <sz val="7"/>
        <rFont val="Arial MT"/>
        <family val="2"/>
      </rPr>
      <t>146047.36Cr</t>
    </r>
  </si>
  <si>
    <r>
      <rPr>
        <sz val="7"/>
        <rFont val="Arial MT"/>
        <family val="2"/>
      </rPr>
      <t>DEP TFR:IMPS/410400197067/GOOGL EINDIADIGI/XXXX58:TRF FR INTERNAL ACCOUNT:FRM</t>
    </r>
  </si>
  <si>
    <r>
      <rPr>
        <sz val="7"/>
        <rFont val="Arial MT"/>
        <family val="2"/>
      </rPr>
      <t>152842.36Cr</t>
    </r>
  </si>
  <si>
    <r>
      <rPr>
        <sz val="7"/>
        <rFont val="Arial MT"/>
        <family val="2"/>
      </rPr>
      <t>WDL TFR:IMPS/410414727050/ICIC000 3397/XXXXXXXX45:TRF TO INTERNAL ACCOUNT</t>
    </r>
  </si>
  <si>
    <r>
      <rPr>
        <sz val="7"/>
        <rFont val="Arial MT"/>
        <family val="2"/>
      </rPr>
      <t>52842.36Cr</t>
    </r>
  </si>
  <si>
    <r>
      <rPr>
        <sz val="7"/>
        <rFont val="Arial MT"/>
        <family val="2"/>
      </rPr>
      <t>WDL TFR:IMPS/410414727228/ICIC000 3397/XXXXXXXX45:TRF TO INTERNAL ACCOUNT</t>
    </r>
  </si>
  <si>
    <r>
      <rPr>
        <sz val="7"/>
        <rFont val="Arial MT"/>
        <family val="2"/>
      </rPr>
      <t>13600.36Cr</t>
    </r>
  </si>
  <si>
    <r>
      <rPr>
        <sz val="7"/>
        <rFont val="Arial MT"/>
        <family val="2"/>
      </rPr>
      <t>WDL TFR:NEFT Jalaram Automobi SDCBN24104104169 I:TRF TO INTERNAL ACCOUNT</t>
    </r>
  </si>
  <si>
    <r>
      <rPr>
        <sz val="7"/>
        <rFont val="Arial MT"/>
        <family val="2"/>
      </rPr>
      <t>3600.36Cr</t>
    </r>
  </si>
  <si>
    <r>
      <rPr>
        <sz val="7"/>
        <rFont val="Arial MT"/>
        <family val="2"/>
      </rPr>
      <t>DEP TFR:IMPS/410701882514/GOOGL EINDIADIGI/XXXX58:TRF FR INTERNAL ACCOUNT:FRM</t>
    </r>
  </si>
  <si>
    <r>
      <rPr>
        <sz val="7"/>
        <rFont val="Arial MT"/>
        <family val="2"/>
      </rPr>
      <t>11685.36Cr</t>
    </r>
  </si>
  <si>
    <r>
      <rPr>
        <sz val="7"/>
        <rFont val="Arial MT"/>
        <family val="2"/>
      </rPr>
      <t>DEP TFR:IMPS/410707453535/DEVANI PARESHKU/XXXX58:TRF FR INTERNAL ACCOUNT:FRM</t>
    </r>
  </si>
  <si>
    <r>
      <rPr>
        <sz val="7"/>
        <rFont val="Arial MT"/>
        <family val="2"/>
      </rPr>
      <t>150927.36Cr</t>
    </r>
  </si>
  <si>
    <r>
      <rPr>
        <sz val="7"/>
        <rFont val="Arial MT"/>
        <family val="2"/>
      </rPr>
      <t>DEP TFR:IMPS/410801725919/GOOGL EINDIADIGI/XXXX58:TRF FR INTERNAL ACCOUNT:FRM</t>
    </r>
  </si>
  <si>
    <r>
      <rPr>
        <sz val="7"/>
        <rFont val="Arial MT"/>
        <family val="2"/>
      </rPr>
      <t>160412.36Cr</t>
    </r>
  </si>
  <si>
    <r>
      <rPr>
        <sz val="7"/>
        <rFont val="Arial MT"/>
        <family val="2"/>
      </rPr>
      <t>DEP TFR:IMPS/410901337538/GOOGL EINDIADIGI/XXXX58:TRF FR INTERNAL ACCOUNT:FRM</t>
    </r>
  </si>
  <si>
    <r>
      <rPr>
        <sz val="7"/>
        <rFont val="Arial MT"/>
        <family val="2"/>
      </rPr>
      <t>170907.36Cr</t>
    </r>
  </si>
  <si>
    <r>
      <rPr>
        <sz val="7"/>
        <rFont val="Arial MT"/>
        <family val="2"/>
      </rPr>
      <t>DEP TFR:IMPS/411001760774/GOOGL EINDIADIGI/XXXX58:TRF FR INTERNAL ACCOUNT:FRM</t>
    </r>
  </si>
  <si>
    <r>
      <rPr>
        <sz val="7"/>
        <rFont val="Arial MT"/>
        <family val="2"/>
      </rPr>
      <t>176272.36Cr</t>
    </r>
  </si>
  <si>
    <r>
      <rPr>
        <sz val="7"/>
        <rFont val="Arial MT"/>
        <family val="2"/>
      </rPr>
      <t>CAS CASH CHEQUE:SB Multicity Cheque:Paid toSELF</t>
    </r>
  </si>
  <si>
    <r>
      <rPr>
        <sz val="7"/>
        <rFont val="Arial MT"/>
        <family val="2"/>
      </rPr>
      <t>4272.36Cr</t>
    </r>
  </si>
  <si>
    <r>
      <rPr>
        <sz val="7"/>
        <rFont val="Arial MT"/>
        <family val="2"/>
      </rPr>
      <t>DEP TFR: IMPS/411017169810/PARESHKUMAR U D/XXXX58:TRF FR INTERNAL ACCOUNT:FRM</t>
    </r>
  </si>
  <si>
    <r>
      <rPr>
        <sz val="7"/>
        <rFont val="Arial MT"/>
        <family val="2"/>
      </rPr>
      <t>143514.36Cr</t>
    </r>
  </si>
  <si>
    <r>
      <rPr>
        <sz val="7"/>
        <rFont val="Arial MT"/>
        <family val="2"/>
      </rPr>
      <t>DEP TFR:IMPS/411101693406/GOOGL EINDIADIGI/XXXX58:TRF FR INTERNAL ACCOUNT:FRM</t>
    </r>
  </si>
  <si>
    <r>
      <rPr>
        <sz val="7"/>
        <rFont val="Arial MT"/>
        <family val="2"/>
      </rPr>
      <t>149932.36Cr</t>
    </r>
  </si>
  <si>
    <r>
      <rPr>
        <sz val="7"/>
        <rFont val="Arial MT"/>
        <family val="2"/>
      </rPr>
      <t>DEP TFR:IMPS/411201622542/GOOGL EINDIADIGI/XXXX58:TRF FR INTERNAL ACCOUNT:FRM</t>
    </r>
  </si>
  <si>
    <r>
      <rPr>
        <sz val="7"/>
        <rFont val="Arial MT"/>
        <family val="2"/>
      </rPr>
      <t>151227.36Cr</t>
    </r>
  </si>
  <si>
    <r>
      <rPr>
        <sz val="7"/>
        <rFont val="Arial MT"/>
        <family val="2"/>
      </rPr>
      <t>DEP TFR:IMPS/411500316322/GOOGL EINDIADIGI/XXXX58:TRF FR INTERNAL ACCOUNT:FRM</t>
    </r>
  </si>
  <si>
    <r>
      <rPr>
        <sz val="7"/>
        <rFont val="Arial MT"/>
        <family val="2"/>
      </rPr>
      <t>155722.36Cr</t>
    </r>
  </si>
  <si>
    <r>
      <rPr>
        <sz val="7"/>
        <rFont val="Arial MT"/>
        <family val="2"/>
      </rPr>
      <t>DEP TFR:IMPS/411601240085/GOOGL EINDIADIGI/XXXX58:TRF FR INTERNAL ACCOUNT:FRM</t>
    </r>
  </si>
  <si>
    <r>
      <rPr>
        <sz val="7"/>
        <rFont val="Arial MT"/>
        <family val="2"/>
      </rPr>
      <t>157122.36Cr</t>
    </r>
  </si>
  <si>
    <r>
      <rPr>
        <sz val="7"/>
        <rFont val="Arial MT"/>
        <family val="2"/>
      </rPr>
      <t>CAS CASH CHEQUE:SB Multicity Cheque:Paid toPIYUSH BHARATBHAI VADDORIYA</t>
    </r>
  </si>
  <si>
    <r>
      <rPr>
        <sz val="7"/>
        <rFont val="Arial MT"/>
        <family val="2"/>
      </rPr>
      <t>57122.36Cr</t>
    </r>
  </si>
  <si>
    <r>
      <rPr>
        <sz val="7"/>
        <rFont val="Arial MT"/>
        <family val="2"/>
      </rPr>
      <t>DEP TFR:IMPS/412101733141/GOOGL EINDIADIGI/XXXX58:FRM</t>
    </r>
  </si>
  <si>
    <r>
      <rPr>
        <sz val="7"/>
        <rFont val="Arial MT"/>
        <family val="2"/>
      </rPr>
      <t>60938.36Cr</t>
    </r>
  </si>
  <si>
    <r>
      <rPr>
        <sz val="7"/>
        <rFont val="Arial MT"/>
        <family val="2"/>
      </rPr>
      <t>DEP TFR:IMPS/412301078488/GOOGL EINDIADIGI/XXXX58:TRF FR INTERNAL ACCOUNT:FRM</t>
    </r>
  </si>
  <si>
    <r>
      <rPr>
        <sz val="7"/>
        <rFont val="Arial MT"/>
        <family val="2"/>
      </rPr>
      <t>61488.36Cr</t>
    </r>
  </si>
  <si>
    <r>
      <rPr>
        <sz val="7"/>
        <rFont val="Arial MT"/>
        <family val="2"/>
      </rPr>
      <t>DEP TFR:IMPS/412400978279/GOOGL EINDIADIGI/XXXX58:TRF FR INTERNAL ACCOUNT:FRM</t>
    </r>
  </si>
  <si>
    <r>
      <rPr>
        <sz val="7"/>
        <rFont val="Arial MT"/>
        <family val="2"/>
      </rPr>
      <t>70688.36Cr</t>
    </r>
  </si>
  <si>
    <r>
      <rPr>
        <sz val="7"/>
        <rFont val="Arial MT"/>
        <family val="2"/>
      </rPr>
      <t>DEP TFR:IMPS/412501279706/GOOGL EINDIADIGI/XXXX58:TRF FR INTERNAL ACCOUNT:FRM</t>
    </r>
  </si>
  <si>
    <r>
      <rPr>
        <sz val="7"/>
        <rFont val="Arial MT"/>
        <family val="2"/>
      </rPr>
      <t>72938.36Cr</t>
    </r>
  </si>
  <si>
    <r>
      <rPr>
        <sz val="7"/>
        <rFont val="Arial MT"/>
        <family val="2"/>
      </rPr>
      <t>DEP TFR:IMPS/412601289026/GOOGL EINDIADIGI/XXXX58:TRF FR INTERNAL ACCOUNT:FRM</t>
    </r>
  </si>
  <si>
    <r>
      <rPr>
        <sz val="7"/>
        <rFont val="Arial MT"/>
        <family val="2"/>
      </rPr>
      <t>89338.36Cr</t>
    </r>
  </si>
  <si>
    <r>
      <rPr>
        <sz val="7"/>
        <rFont val="Arial MT"/>
        <family val="2"/>
      </rPr>
      <t>DEP TFR:IMPS/412901805838/GOOGL EINDIADIGI/XXXX58:TRF FR INTERNAL ACCOUNT:FRM</t>
    </r>
  </si>
  <si>
    <r>
      <rPr>
        <sz val="7"/>
        <rFont val="Arial MT"/>
        <family val="2"/>
      </rPr>
      <t>90036.36Cr</t>
    </r>
  </si>
  <si>
    <r>
      <rPr>
        <sz val="7"/>
        <rFont val="Arial MT"/>
        <family val="2"/>
      </rPr>
      <t>DEP TFR:IMPS/413000392573/GOOGL EINDIADIGI/XXXX58:TRF FR INTERNAL ACCOUNT:FRM</t>
    </r>
  </si>
  <si>
    <r>
      <rPr>
        <sz val="7"/>
        <rFont val="Arial MT"/>
        <family val="2"/>
      </rPr>
      <t>94769.36Cr</t>
    </r>
  </si>
  <si>
    <r>
      <rPr>
        <sz val="7"/>
        <rFont val="Arial MT"/>
        <family val="2"/>
      </rPr>
      <t>WDL TFR:IMPS/413008493059/ICIC000 3397/XXXXXXXX45:TRF TO INTERNAL ACCOUNT</t>
    </r>
  </si>
  <si>
    <r>
      <rPr>
        <sz val="7"/>
        <rFont val="Arial MT"/>
        <family val="2"/>
      </rPr>
      <t>54769.36Cr</t>
    </r>
  </si>
  <si>
    <r>
      <rPr>
        <sz val="7"/>
        <rFont val="Arial MT"/>
        <family val="2"/>
      </rPr>
      <t>DEP TFR:IMPS/413102171314/GOOGL EINDIADIGI/XXXX58:TRF FR INTERNAL ACCOUNT:FRM</t>
    </r>
  </si>
  <si>
    <r>
      <rPr>
        <sz val="7"/>
        <rFont val="Arial MT"/>
        <family val="2"/>
      </rPr>
      <t>68509.36Cr</t>
    </r>
  </si>
  <si>
    <r>
      <rPr>
        <sz val="7"/>
        <rFont val="Arial MT"/>
        <family val="2"/>
      </rPr>
      <t>DEP TFR:IMPS/413300936477/GOOGL EINDIADIGI/XXXX58:TRF FR INTERNAL ACCOUNT:FRM</t>
    </r>
  </si>
  <si>
    <r>
      <rPr>
        <sz val="7"/>
        <rFont val="Arial MT"/>
        <family val="2"/>
      </rPr>
      <t>120939.36Cr</t>
    </r>
  </si>
  <si>
    <r>
      <rPr>
        <sz val="7"/>
        <rFont val="Arial MT"/>
        <family val="2"/>
      </rPr>
      <t xml:space="preserve">CEMTEX DEP:HEADIMPS TCC TXN DT. 11.05.2024 RRN 41320:SB Multicity
</t>
    </r>
    <r>
      <rPr>
        <sz val="7"/>
        <rFont val="Arial MT"/>
        <family val="2"/>
      </rPr>
      <t>Cheque:SB Multicity Cheque</t>
    </r>
  </si>
  <si>
    <r>
      <rPr>
        <sz val="7"/>
        <rFont val="Arial MT"/>
        <family val="2"/>
      </rPr>
      <t>128839.36Cr</t>
    </r>
  </si>
  <si>
    <r>
      <rPr>
        <sz val="7"/>
        <rFont val="Arial MT"/>
        <family val="2"/>
      </rPr>
      <t>DEP TFR:IMPS/413500425037/GOOGL EINDIADIGI/XXXX58:TRF FR INTERNAL ACCOUNT:FRM</t>
    </r>
  </si>
  <si>
    <r>
      <rPr>
        <sz val="7"/>
        <rFont val="Arial MT"/>
        <family val="2"/>
      </rPr>
      <t>133039.36Cr</t>
    </r>
  </si>
  <si>
    <r>
      <rPr>
        <sz val="7"/>
        <rFont val="Arial MT"/>
        <family val="2"/>
      </rPr>
      <t>DEP TFR:IMPS/413508564605/GOOGL EINDIADIGI/XXXX58:TRF FR INTERNAL ACCOUNT:FRM</t>
    </r>
  </si>
  <si>
    <r>
      <rPr>
        <sz val="7"/>
        <rFont val="Arial MT"/>
        <family val="2"/>
      </rPr>
      <t>148039.36Cr</t>
    </r>
  </si>
  <si>
    <r>
      <rPr>
        <sz val="7"/>
        <rFont val="Arial MT"/>
        <family val="2"/>
      </rPr>
      <t>DEP TFR:IMPS/413600954481/GOOGL EINDIADIGI/XXXX58:TRF FR INTERNAL ACCOUNT:FRM</t>
    </r>
  </si>
  <si>
    <r>
      <rPr>
        <sz val="7"/>
        <rFont val="Arial MT"/>
        <family val="2"/>
      </rPr>
      <t>157639.36Cr</t>
    </r>
  </si>
  <si>
    <r>
      <rPr>
        <sz val="7"/>
        <rFont val="Arial MT"/>
        <family val="2"/>
      </rPr>
      <t>WDL TFR:IMPS/413607663859/ICIC000 0391/XXXXXXXX03</t>
    </r>
  </si>
  <si>
    <r>
      <rPr>
        <sz val="7"/>
        <rFont val="Arial MT"/>
        <family val="2"/>
      </rPr>
      <t>7639.36Cr</t>
    </r>
  </si>
  <si>
    <r>
      <rPr>
        <sz val="7"/>
        <rFont val="Arial MT"/>
        <family val="2"/>
      </rPr>
      <t>DEP TFR:IMPS/413800242210/GOOGL EINDIADIGI/XXXX58:TRF FR INTERNAL ACCOUNT:FRM</t>
    </r>
  </si>
  <si>
    <r>
      <rPr>
        <sz val="7"/>
        <rFont val="Arial MT"/>
        <family val="2"/>
      </rPr>
      <t>10039.36Cr</t>
    </r>
  </si>
  <si>
    <r>
      <rPr>
        <sz val="7"/>
        <rFont val="Arial MT"/>
        <family val="2"/>
      </rPr>
      <t>DEP TFR:IMPS/413901457228/GOOGL EINDIADIGI/XXXX58:TRF FR INTERNAL ACCOUNT:FRM</t>
    </r>
  </si>
  <si>
    <r>
      <rPr>
        <sz val="7"/>
        <rFont val="Arial MT"/>
        <family val="2"/>
      </rPr>
      <t>18339.36Cr</t>
    </r>
  </si>
  <si>
    <r>
      <rPr>
        <sz val="7"/>
        <rFont val="Arial MT"/>
        <family val="2"/>
      </rPr>
      <t>DEP TFR:IMPS/414001832044/GOOGL EINDIADIGI/XXXX58:TRF FR INTERNAL ACCOUNT:FRM</t>
    </r>
  </si>
  <si>
    <r>
      <rPr>
        <sz val="7"/>
        <rFont val="Arial MT"/>
        <family val="2"/>
      </rPr>
      <t>49339.36Cr</t>
    </r>
  </si>
  <si>
    <r>
      <rPr>
        <sz val="7"/>
        <rFont val="Arial MT"/>
        <family val="2"/>
      </rPr>
      <t>DEP TFR:IMPS/414300572499/GOOGL EINDIADIGI/XXXX58:TRF FR INTERNAL ACCOUNT:FRM</t>
    </r>
  </si>
  <si>
    <r>
      <rPr>
        <sz val="7"/>
        <rFont val="Arial MT"/>
        <family val="2"/>
      </rPr>
      <t>55039.36Cr</t>
    </r>
  </si>
  <si>
    <r>
      <rPr>
        <sz val="7"/>
        <rFont val="Arial MT"/>
        <family val="2"/>
      </rPr>
      <t>CEMTEX DEP:HEADIMPS TCC TXN DT. 21.05.2024 RRN 41420</t>
    </r>
  </si>
  <si>
    <r>
      <rPr>
        <sz val="7"/>
        <rFont val="Arial MT"/>
        <family val="2"/>
      </rPr>
      <t>56889.36Cr</t>
    </r>
  </si>
  <si>
    <r>
      <rPr>
        <sz val="7"/>
        <rFont val="Arial MT"/>
        <family val="2"/>
      </rPr>
      <t>DEP TFR:IMPS/414401127008/GOOGL EINDIADIGI/XXXX58:TRF FR INTERNAL ACCOUNT:FRM</t>
    </r>
  </si>
  <si>
    <r>
      <rPr>
        <sz val="7"/>
        <rFont val="Arial MT"/>
        <family val="2"/>
      </rPr>
      <t>58689.36Cr</t>
    </r>
  </si>
  <si>
    <r>
      <rPr>
        <sz val="7"/>
        <rFont val="Arial MT"/>
        <family val="2"/>
      </rPr>
      <t>DEP TFR:IMPS/414501462227/GOOGL EINDIADIGI/XXXX58:TRF FR INTERNAL ACCOUNT:FRM</t>
    </r>
  </si>
  <si>
    <r>
      <rPr>
        <sz val="7"/>
        <rFont val="Arial MT"/>
        <family val="2"/>
      </rPr>
      <t>71689.36Cr</t>
    </r>
  </si>
  <si>
    <r>
      <rPr>
        <sz val="7"/>
        <rFont val="Arial MT"/>
        <family val="2"/>
      </rPr>
      <t>DEP TFR:IMPS/414601387593/GOOGL EINDIADIGI/XXXX58:TRF FR INTERNAL ACCOUNT:FRM</t>
    </r>
  </si>
  <si>
    <r>
      <rPr>
        <sz val="7"/>
        <rFont val="Arial MT"/>
        <family val="2"/>
      </rPr>
      <t>85589.36Cr</t>
    </r>
  </si>
  <si>
    <r>
      <rPr>
        <sz val="7"/>
        <rFont val="Arial MT"/>
        <family val="2"/>
      </rPr>
      <t>DEP TFR:IMPS/414800766299/GOOGL EINDIADIGI/XXXX58:TRF FR INTERNAL ACCOUNT:FRM</t>
    </r>
  </si>
  <si>
    <r>
      <rPr>
        <sz val="7"/>
        <rFont val="Arial MT"/>
        <family val="2"/>
      </rPr>
      <t>87089.36Cr</t>
    </r>
  </si>
  <si>
    <r>
      <rPr>
        <sz val="7"/>
        <rFont val="Arial MT"/>
        <family val="2"/>
      </rPr>
      <t>CEMTEX DEP:HEADIMPS TCC TXN DT. 26.05.2024 RRN 41470</t>
    </r>
  </si>
  <si>
    <r>
      <rPr>
        <sz val="7"/>
        <rFont val="Arial MT"/>
        <family val="2"/>
      </rPr>
      <t>95439.36Cr</t>
    </r>
  </si>
  <si>
    <r>
      <rPr>
        <sz val="7"/>
        <rFont val="Arial MT"/>
        <family val="2"/>
      </rPr>
      <t>DEP TFR:IMPS/414900033841/GOOGL EINDIADIGI/XXXX58:TRF FR INTERNAL ACCOUNT:FRM</t>
    </r>
  </si>
  <si>
    <r>
      <rPr>
        <sz val="7"/>
        <rFont val="Arial MT"/>
        <family val="2"/>
      </rPr>
      <t>107039.36Cr</t>
    </r>
  </si>
  <si>
    <r>
      <rPr>
        <sz val="7"/>
        <rFont val="Arial MT"/>
        <family val="2"/>
      </rPr>
      <t>DEP TFR:IMPS/415101233016/GOOGL EINDIADIGI/XXXX58:TRF FR INTERNAL ACCOUNT:FRM</t>
    </r>
  </si>
  <si>
    <r>
      <rPr>
        <sz val="7"/>
        <rFont val="Arial MT"/>
        <family val="2"/>
      </rPr>
      <t>115314.36Cr</t>
    </r>
  </si>
  <si>
    <r>
      <rPr>
        <sz val="7"/>
        <rFont val="Arial MT"/>
        <family val="2"/>
      </rPr>
      <t>DEP TFR:IMPS/415200811997/GOOGL EINDIADIGI/XXXX58:TRF FR INTERNAL ACCOUNT:FRM</t>
    </r>
  </si>
  <si>
    <r>
      <rPr>
        <sz val="7"/>
        <rFont val="Arial MT"/>
        <family val="2"/>
      </rPr>
      <t>118314.36Cr</t>
    </r>
  </si>
  <si>
    <r>
      <rPr>
        <sz val="7"/>
        <rFont val="Arial MT"/>
        <family val="2"/>
      </rPr>
      <t>DEP TFR:IMPS/415300716136/GOOGL EINDIADIGI/XXXX58:TRF FR INTERNAL ACCOUNT:FRM</t>
    </r>
  </si>
  <si>
    <r>
      <rPr>
        <sz val="7"/>
        <rFont val="Arial MT"/>
        <family val="2"/>
      </rPr>
      <t>130774.36Cr</t>
    </r>
  </si>
  <si>
    <r>
      <rPr>
        <sz val="7"/>
        <rFont val="Arial MT"/>
        <family val="2"/>
      </rPr>
      <t>DEP TFR:IMPS/415400794009/GOOGL EINDIADIGI/XXXX58:FRM</t>
    </r>
  </si>
  <si>
    <r>
      <rPr>
        <sz val="7"/>
        <rFont val="Arial MT"/>
        <family val="2"/>
      </rPr>
      <t>133074.36Cr</t>
    </r>
  </si>
  <si>
    <r>
      <rPr>
        <sz val="7"/>
        <rFont val="Arial MT"/>
        <family val="2"/>
      </rPr>
      <t>DEP TFR:IMPS/415600075917/GOOGL EINDIADIGI/XXXX58:TRF FR INTERNAL ACCOUNT:FRM</t>
    </r>
  </si>
  <si>
    <r>
      <rPr>
        <sz val="7"/>
        <rFont val="Arial MT"/>
        <family val="2"/>
      </rPr>
      <t>140664.36Cr</t>
    </r>
  </si>
  <si>
    <r>
      <rPr>
        <sz val="7"/>
        <rFont val="Arial MT"/>
        <family val="2"/>
      </rPr>
      <t>WDL TFR:IMPS/415613247632/ICIC000 3397/XXXXXXXX45:TRF TO INTERNAL ACCOUNT</t>
    </r>
  </si>
  <si>
    <r>
      <rPr>
        <sz val="7"/>
        <rFont val="Arial MT"/>
        <family val="2"/>
      </rPr>
      <t>40664.36Cr</t>
    </r>
  </si>
  <si>
    <r>
      <rPr>
        <sz val="7"/>
        <rFont val="Arial MT"/>
        <family val="2"/>
      </rPr>
      <t>DEP TFR:IMPS/415701664989/GOOGL EINDIADIGI/XXXX58:TRF FR INTERNAL ACCOUNT:FRM</t>
    </r>
  </si>
  <si>
    <r>
      <rPr>
        <sz val="7"/>
        <rFont val="Arial MT"/>
        <family val="2"/>
      </rPr>
      <t>45844.36Cr</t>
    </r>
  </si>
  <si>
    <r>
      <rPr>
        <sz val="7"/>
        <rFont val="Arial MT"/>
        <family val="2"/>
      </rPr>
      <t>DEP TFR:IMPS/415800515575/GOOGL EINDIADIGI/XXXX58:TRF FR INTERNAL ACCOUNT:FRM</t>
    </r>
  </si>
  <si>
    <r>
      <rPr>
        <sz val="7"/>
        <rFont val="Arial MT"/>
        <family val="2"/>
      </rPr>
      <t>52064.36Cr</t>
    </r>
  </si>
  <si>
    <r>
      <rPr>
        <sz val="7"/>
        <rFont val="Arial MT"/>
        <family val="2"/>
      </rPr>
      <t>DEP TFR:IMPS/415901166848/GOOGL EINDIADIGI/XXXX58:TRF FR INTERNAL ACCOUNT:FRM</t>
    </r>
  </si>
  <si>
    <r>
      <rPr>
        <sz val="7"/>
        <rFont val="Arial MT"/>
        <family val="2"/>
      </rPr>
      <t>60917.36Cr</t>
    </r>
  </si>
  <si>
    <r>
      <rPr>
        <sz val="7"/>
        <rFont val="Arial MT"/>
        <family val="2"/>
      </rPr>
      <t>DEP TFR:IMPS/416001110136/GOOGL EINDIADIGI/XXXX58:TRF FR INTERNAL ACCOUNT:FRM</t>
    </r>
  </si>
  <si>
    <r>
      <rPr>
        <sz val="7"/>
        <rFont val="Arial MT"/>
        <family val="2"/>
      </rPr>
      <t>79417.36Cr</t>
    </r>
  </si>
  <si>
    <r>
      <rPr>
        <sz val="7"/>
        <rFont val="Arial MT"/>
        <family val="2"/>
      </rPr>
      <t>CSH WDL:ATM OPP NAKSHA  1852 SDB00062</t>
    </r>
  </si>
  <si>
    <r>
      <rPr>
        <sz val="7"/>
        <rFont val="Arial MT"/>
        <family val="2"/>
      </rPr>
      <t>59417.36Cr</t>
    </r>
  </si>
  <si>
    <r>
      <rPr>
        <sz val="7"/>
        <rFont val="Arial MT"/>
        <family val="2"/>
      </rPr>
      <t>CEMTEX DEP:HEADIMPS TCC TXN DT. 09.06.2024 RRN 41610</t>
    </r>
  </si>
  <si>
    <r>
      <rPr>
        <sz val="7"/>
        <rFont val="Arial MT"/>
        <family val="2"/>
      </rPr>
      <t>75317.36Cr</t>
    </r>
  </si>
  <si>
    <r>
      <rPr>
        <sz val="7"/>
        <rFont val="Arial MT"/>
        <family val="2"/>
      </rPr>
      <t>DEP TFR:IMPS/416301885992/GOOGL EINDIADIGI/XXXX58:TRF FR INTERNAL ACCOUNT:FRM</t>
    </r>
  </si>
  <si>
    <r>
      <rPr>
        <sz val="7"/>
        <rFont val="Arial MT"/>
        <family val="2"/>
      </rPr>
      <t>80277.36Cr</t>
    </r>
  </si>
  <si>
    <r>
      <rPr>
        <sz val="7"/>
        <rFont val="Arial MT"/>
        <family val="2"/>
      </rPr>
      <t>WDL TFR:IMPS/416307446381/ICIC000 0391/XXXXXXXX03:TRF TO INTERNAL ACCOUNT</t>
    </r>
  </si>
  <si>
    <r>
      <rPr>
        <sz val="7"/>
        <rFont val="Arial MT"/>
        <family val="2"/>
      </rPr>
      <t>277.36Cr</t>
    </r>
  </si>
  <si>
    <r>
      <rPr>
        <sz val="7"/>
        <rFont val="Arial MT"/>
        <family val="2"/>
      </rPr>
      <t>DEP TFR:IMPS/416501308470/GOOGL EINDIADIGI/XXXX58:TRF FR INTERNAL ACCOUNT:FRM</t>
    </r>
  </si>
  <si>
    <r>
      <rPr>
        <sz val="7"/>
        <rFont val="Arial MT"/>
        <family val="2"/>
      </rPr>
      <t>1077.36Cr</t>
    </r>
  </si>
  <si>
    <r>
      <rPr>
        <sz val="7"/>
        <rFont val="Arial MT"/>
        <family val="2"/>
      </rPr>
      <t>DEP TFR:IMPS/416601610380/GOOGL EINDIADIGI/XXXX58:TRF FR INTERNAL ACCOUNT:FRM</t>
    </r>
  </si>
  <si>
    <r>
      <rPr>
        <sz val="7"/>
        <rFont val="Arial MT"/>
        <family val="2"/>
      </rPr>
      <t>8227.36Cr</t>
    </r>
  </si>
  <si>
    <r>
      <rPr>
        <sz val="7"/>
        <rFont val="Arial MT"/>
        <family val="2"/>
      </rPr>
      <t>DEP TFR:IMPS/416701962091/GOOGL EINDIADIGI/XXXX58:TRF FR INTERNAL ACCOUNT:FRM</t>
    </r>
  </si>
  <si>
    <r>
      <rPr>
        <sz val="7"/>
        <rFont val="Arial MT"/>
        <family val="2"/>
      </rPr>
      <t>11627.36Cr</t>
    </r>
  </si>
  <si>
    <r>
      <rPr>
        <sz val="7"/>
        <rFont val="Arial MT"/>
        <family val="2"/>
      </rPr>
      <t>DEP TFR:IMPS/416901796353/GOOGL EINDIADIGI/XXXX58:TRF FR INTERNAL ACCOUNT:FRM</t>
    </r>
  </si>
  <si>
    <r>
      <rPr>
        <sz val="7"/>
        <rFont val="Arial MT"/>
        <family val="2"/>
      </rPr>
      <t>12047.36Cr</t>
    </r>
  </si>
  <si>
    <r>
      <rPr>
        <sz val="7"/>
        <rFont val="Arial MT"/>
        <family val="2"/>
      </rPr>
      <t>DEP TFR:IMPS/417001479153/GOOGL EINDIADIGI/XXXX58:TRF FR INTERNAL ACCOUNT</t>
    </r>
  </si>
  <si>
    <r>
      <rPr>
        <sz val="7"/>
        <rFont val="Arial MT"/>
        <family val="2"/>
      </rPr>
      <t>13442.36Cr</t>
    </r>
  </si>
  <si>
    <r>
      <rPr>
        <sz val="7"/>
        <rFont val="Arial MT"/>
        <family val="2"/>
      </rPr>
      <t>DEP TFR:IMPS/417101408199/GOOGL EINDIADIGI/XXXX58:TRF FR INTERNAL ACCOUNT:FRM</t>
    </r>
  </si>
  <si>
    <r>
      <rPr>
        <sz val="7"/>
        <rFont val="Arial MT"/>
        <family val="2"/>
      </rPr>
      <t>21392.36Cr</t>
    </r>
  </si>
  <si>
    <r>
      <rPr>
        <sz val="7"/>
        <rFont val="Arial MT"/>
        <family val="2"/>
      </rPr>
      <t>CEMTEX DEP:HEADIMPS TCC TXN DT. 20.06.2024 RRN 41720</t>
    </r>
  </si>
  <si>
    <r>
      <rPr>
        <sz val="7"/>
        <rFont val="Arial MT"/>
        <family val="2"/>
      </rPr>
      <t>28002.36Cr</t>
    </r>
  </si>
  <si>
    <r>
      <rPr>
        <sz val="7"/>
        <rFont val="Arial MT"/>
        <family val="2"/>
      </rPr>
      <t>DEP TFR:IMPS/417400829869/GOOGL EINDIADIGI/XXXX58:TRF FR INTERNAL ACCOUNT:FRM</t>
    </r>
  </si>
  <si>
    <r>
      <rPr>
        <sz val="7"/>
        <rFont val="Arial MT"/>
        <family val="2"/>
      </rPr>
      <t>31502.36Cr</t>
    </r>
  </si>
  <si>
    <r>
      <rPr>
        <sz val="7"/>
        <rFont val="Arial MT"/>
        <family val="2"/>
      </rPr>
      <t>CEMTEX DEP:HEADIMPS TCC TXN DT. 21.06.2024 RRN 41730</t>
    </r>
  </si>
  <si>
    <r>
      <rPr>
        <sz val="7"/>
        <rFont val="Arial MT"/>
        <family val="2"/>
      </rPr>
      <t>37502.36Cr</t>
    </r>
  </si>
  <si>
    <r>
      <rPr>
        <sz val="7"/>
        <rFont val="Arial MT"/>
        <family val="2"/>
      </rPr>
      <t>DEP TFR:IMPS/417501043889/GOOGL EINDIADIGI/XXXX58:TRF FR INTERNAL ACCOUNT:FRM</t>
    </r>
  </si>
  <si>
    <r>
      <rPr>
        <sz val="7"/>
        <rFont val="Arial MT"/>
        <family val="2"/>
      </rPr>
      <t>60922.36Cr</t>
    </r>
  </si>
  <si>
    <r>
      <rPr>
        <sz val="7"/>
        <rFont val="Arial MT"/>
        <family val="2"/>
      </rPr>
      <t>DEP TFR:IMPS/417600652212/GOOGL EINDIADIGI/XXXX58:TRF FR INTERNAL ACCOUNT:FRM</t>
    </r>
  </si>
  <si>
    <r>
      <rPr>
        <sz val="7"/>
        <rFont val="Arial MT"/>
        <family val="2"/>
      </rPr>
      <t>62922.36Cr</t>
    </r>
  </si>
  <si>
    <r>
      <rPr>
        <sz val="7"/>
        <rFont val="Arial MT"/>
        <family val="2"/>
      </rPr>
      <t>DEP TFR:IMPS/417703118231/GOOGL EINDIADIGI/XXXX58:TRF FR INTERNAL ACCOUNT:FRM</t>
    </r>
  </si>
  <si>
    <r>
      <rPr>
        <sz val="7"/>
        <rFont val="Arial MT"/>
        <family val="2"/>
      </rPr>
      <t>64622.36Cr</t>
    </r>
  </si>
  <si>
    <r>
      <rPr>
        <sz val="7"/>
        <rFont val="Arial MT"/>
        <family val="2"/>
      </rPr>
      <t>DEP TFR:IMPS/417801108425/GOOGL EINDIADIGI/XXXX58:TRF FR INTERNAL ACCOUNT:FRM</t>
    </r>
  </si>
  <si>
    <r>
      <rPr>
        <sz val="7"/>
        <rFont val="Arial MT"/>
        <family val="2"/>
      </rPr>
      <t>72822.36Cr</t>
    </r>
  </si>
  <si>
    <r>
      <rPr>
        <sz val="7"/>
        <rFont val="Arial MT"/>
        <family val="2"/>
      </rPr>
      <t>DEP TFR:IMPS/417901204360/GOOGL EINDIADIGI/XXXX58:TRF FR INTERNAL ACCOUNT:FRM</t>
    </r>
  </si>
  <si>
    <r>
      <rPr>
        <sz val="7"/>
        <rFont val="Arial MT"/>
        <family val="2"/>
      </rPr>
      <t>78972.36Cr</t>
    </r>
  </si>
  <si>
    <r>
      <rPr>
        <sz val="7"/>
        <rFont val="Arial MT"/>
        <family val="2"/>
      </rPr>
      <t>DEP TFR:IMPS/418001180540/GOOGL EINDIADIGI/XXXX58:TRF FR INTERNAL ACCOUNT:FRM</t>
    </r>
  </si>
  <si>
    <r>
      <rPr>
        <sz val="7"/>
        <rFont val="Arial MT"/>
        <family val="2"/>
      </rPr>
      <t>85822.36Cr</t>
    </r>
  </si>
  <si>
    <r>
      <rPr>
        <sz val="7"/>
        <rFont val="Arial MT"/>
        <family val="2"/>
      </rPr>
      <t>DEP TFR:IMPS/418100123212/GOOGL EINDIADIGI/XXXX58:TRF FR INTERNAL ACCOUNT:FRM</t>
    </r>
  </si>
  <si>
    <r>
      <rPr>
        <sz val="7"/>
        <rFont val="Arial MT"/>
        <family val="2"/>
      </rPr>
      <t>91522.36Cr</t>
    </r>
  </si>
  <si>
    <r>
      <rPr>
        <sz val="7"/>
        <rFont val="Arial MT"/>
        <family val="2"/>
      </rPr>
      <t>DEP TFR:IMPS/418200910351/GOOGL EINDIADIGI/XXXX58:TRF FR INTERNAL ACCOUNT:FRM</t>
    </r>
  </si>
  <si>
    <r>
      <rPr>
        <sz val="7"/>
        <rFont val="Arial MT"/>
        <family val="2"/>
      </rPr>
      <t>101122.36Cr</t>
    </r>
  </si>
  <si>
    <r>
      <rPr>
        <sz val="7"/>
        <rFont val="Arial MT"/>
        <family val="2"/>
      </rPr>
      <t>SMS CHARGES</t>
    </r>
  </si>
  <si>
    <r>
      <rPr>
        <sz val="7"/>
        <rFont val="Arial MT"/>
        <family val="2"/>
      </rPr>
      <t>101107.36Cr</t>
    </r>
  </si>
  <si>
    <r>
      <rPr>
        <sz val="7"/>
        <rFont val="Arial MT"/>
        <family val="2"/>
      </rPr>
      <t>GST</t>
    </r>
  </si>
  <si>
    <r>
      <rPr>
        <sz val="7"/>
        <rFont val="Arial MT"/>
        <family val="2"/>
      </rPr>
      <t>101104.66Cr</t>
    </r>
  </si>
  <si>
    <r>
      <rPr>
        <sz val="7"/>
        <rFont val="Arial MT"/>
        <family val="2"/>
      </rPr>
      <t>DEP TFR:IMPS/418400622614/GOOGL EINDIADIGI/XXXX58:TRF FR INTERNAL ACCOUNT:FRM</t>
    </r>
  </si>
  <si>
    <r>
      <rPr>
        <sz val="7"/>
        <rFont val="Arial MT"/>
        <family val="2"/>
      </rPr>
      <t>101714.66Cr</t>
    </r>
  </si>
  <si>
    <r>
      <rPr>
        <sz val="7"/>
        <rFont val="Arial MT"/>
        <family val="2"/>
      </rPr>
      <t>WDL TFR:IMPS/419408375731/ICIC000 0391/XXXXXXXX03:TRF TO INTERNAL ACCOUNT</t>
    </r>
  </si>
  <si>
    <r>
      <rPr>
        <sz val="7"/>
        <rFont val="Arial MT"/>
        <family val="2"/>
      </rPr>
      <t>1714.66Cr</t>
    </r>
  </si>
  <si>
    <r>
      <rPr>
        <sz val="7"/>
        <rFont val="Arial MT"/>
        <family val="2"/>
      </rPr>
      <t>DEP TFR:TRF FR INTERNAL ACCOUNT:FRM</t>
    </r>
  </si>
  <si>
    <r>
      <rPr>
        <sz val="7"/>
        <rFont val="Arial MT"/>
        <family val="2"/>
      </rPr>
      <t>3114.66Cr</t>
    </r>
  </si>
  <si>
    <r>
      <rPr>
        <sz val="7"/>
        <rFont val="Arial MT"/>
        <family val="2"/>
      </rPr>
      <t>DEP TFR:IMPS/425506926907/GOOGL EINDIADIGI/XXXX58:TRF FR INTERNAL ACCOUNT:FRM</t>
    </r>
  </si>
  <si>
    <r>
      <rPr>
        <sz val="7"/>
        <rFont val="Arial MT"/>
        <family val="2"/>
      </rPr>
      <t>8084.66Cr</t>
    </r>
  </si>
  <si>
    <r>
      <rPr>
        <sz val="7"/>
        <rFont val="Arial MT"/>
        <family val="2"/>
      </rPr>
      <t>DEP TFR:IMPS/425600895105/GOOGL EINDIADIGI/XXXX58:TRF FR INTERNAL ACCOUNT:FRM</t>
    </r>
  </si>
  <si>
    <r>
      <rPr>
        <sz val="7"/>
        <rFont val="Arial MT"/>
        <family val="2"/>
      </rPr>
      <t>17284.66Cr</t>
    </r>
  </si>
  <si>
    <r>
      <rPr>
        <sz val="7"/>
        <rFont val="Arial MT"/>
        <family val="2"/>
      </rPr>
      <t>CSH DEP:Deposit by CASH CCAPD2424F</t>
    </r>
  </si>
  <si>
    <r>
      <rPr>
        <sz val="7"/>
        <rFont val="Arial MT"/>
        <family val="2"/>
      </rPr>
      <t>213284.66Cr</t>
    </r>
  </si>
  <si>
    <r>
      <rPr>
        <sz val="7"/>
        <rFont val="Arial MT"/>
        <family val="2"/>
      </rPr>
      <t>DEP TFR:IMPS/425714547130/DEVANI PARESHKU/XXXX43:TRF FR INTERNAL ACCOUNT:FRM</t>
    </r>
  </si>
  <si>
    <r>
      <rPr>
        <sz val="7"/>
        <rFont val="Arial MT"/>
        <family val="2"/>
      </rPr>
      <t>313284.66Cr</t>
    </r>
  </si>
  <si>
    <r>
      <rPr>
        <sz val="7"/>
        <rFont val="Arial MT"/>
        <family val="2"/>
      </rPr>
      <t>DEP TFR:IMPS/425715756919/DEVANI PARESHKU/XXXX43:TRF FR INTERNAL ACCOUNT:FRM</t>
    </r>
  </si>
  <si>
    <r>
      <rPr>
        <sz val="7"/>
        <rFont val="Arial MT"/>
        <family val="2"/>
      </rPr>
      <t>418284.66Cr</t>
    </r>
  </si>
  <si>
    <r>
      <rPr>
        <sz val="7"/>
        <rFont val="Arial MT"/>
        <family val="2"/>
      </rPr>
      <t>WDL TFR:JAGRUTIBEN VALLABBHAI PARMAR    SURAT D:TRF TO INTERNAL ACCOUNT</t>
    </r>
  </si>
  <si>
    <r>
      <rPr>
        <sz val="7"/>
        <rFont val="Arial MT"/>
        <family val="2"/>
      </rPr>
      <t>168166.66Cr</t>
    </r>
  </si>
  <si>
    <r>
      <rPr>
        <sz val="7"/>
        <rFont val="Arial MT"/>
        <family val="2"/>
      </rPr>
      <t>94107.66Cr</t>
    </r>
  </si>
  <si>
    <r>
      <rPr>
        <sz val="7"/>
        <rFont val="Arial MT"/>
        <family val="2"/>
      </rPr>
      <t>DEP TFR:IMPS/425802744130/GOOGL EINDIADIGI/XXXX58:TRF FR INTERNAL ACCOUNT:FRM</t>
    </r>
  </si>
  <si>
    <r>
      <rPr>
        <sz val="7"/>
        <rFont val="Arial MT"/>
        <family val="2"/>
      </rPr>
      <t>95707.66Cr</t>
    </r>
  </si>
  <si>
    <r>
      <rPr>
        <sz val="7"/>
        <rFont val="Arial MT"/>
        <family val="2"/>
      </rPr>
      <t>WDL TFR:IMPS/425809992979/ICIC000 3397/XXXXXXXX45:TRF TO INTERNAL ACCOUNT</t>
    </r>
  </si>
  <si>
    <r>
      <rPr>
        <sz val="7"/>
        <rFont val="Arial MT"/>
        <family val="2"/>
      </rPr>
      <t>5707.66Cr</t>
    </r>
  </si>
  <si>
    <r>
      <rPr>
        <sz val="7"/>
        <rFont val="Arial MT"/>
        <family val="2"/>
      </rPr>
      <t>DEP TFR:IMPS/426000637889/GOOGL EINDIADIGI/XXXX58:TRF FR INTERNAL ACCOUNT:FRM</t>
    </r>
  </si>
  <si>
    <r>
      <rPr>
        <sz val="7"/>
        <rFont val="Arial MT"/>
        <family val="2"/>
      </rPr>
      <t>17707.66Cr</t>
    </r>
  </si>
  <si>
    <r>
      <rPr>
        <sz val="7"/>
        <rFont val="Arial MT"/>
        <family val="2"/>
      </rPr>
      <t>CEMTEX DEP:HEADIMPS TCC TXN DT. 15.09.2024 RRN 42590</t>
    </r>
  </si>
  <si>
    <r>
      <rPr>
        <sz val="7"/>
        <rFont val="Arial MT"/>
        <family val="2"/>
      </rPr>
      <t>18208.66Cr</t>
    </r>
  </si>
  <si>
    <r>
      <rPr>
        <sz val="7"/>
        <rFont val="Arial MT"/>
        <family val="2"/>
      </rPr>
      <t>DEP TFR:IMPS/426101024322/GOOGL EINDIADIGI/XXXX58:TRF FR INTERNAL ACCOUNT</t>
    </r>
  </si>
  <si>
    <r>
      <rPr>
        <sz val="7"/>
        <rFont val="Arial MT"/>
        <family val="2"/>
      </rPr>
      <t>37203.66Cr</t>
    </r>
  </si>
  <si>
    <t>404//1</t>
  </si>
  <si>
    <t>504//2</t>
  </si>
  <si>
    <t>704//3</t>
  </si>
  <si>
    <t>704//4</t>
  </si>
  <si>
    <t>904//5</t>
  </si>
  <si>
    <t>1104//6</t>
  </si>
  <si>
    <t>1204//7</t>
  </si>
  <si>
    <t>1204//8</t>
  </si>
  <si>
    <t>1304//9</t>
  </si>
  <si>
    <t>1304//10</t>
  </si>
  <si>
    <t>1304//11</t>
  </si>
  <si>
    <t>1304//12</t>
  </si>
  <si>
    <t>1604//13</t>
  </si>
  <si>
    <t>1604//14</t>
  </si>
  <si>
    <t>1704//15</t>
  </si>
  <si>
    <t>1804//16</t>
  </si>
  <si>
    <t>1904//17</t>
  </si>
  <si>
    <t>1904//18</t>
  </si>
  <si>
    <t>22</t>
  </si>
  <si>
    <t>1904//19</t>
  </si>
  <si>
    <t>2004//20</t>
  </si>
  <si>
    <t>2104//21</t>
  </si>
  <si>
    <t>2404//22</t>
  </si>
  <si>
    <t>2504//23</t>
  </si>
  <si>
    <t>2604//24</t>
  </si>
  <si>
    <t>23</t>
  </si>
  <si>
    <t>3004//25</t>
  </si>
  <si>
    <t>205//26</t>
  </si>
  <si>
    <t>305//27</t>
  </si>
  <si>
    <t>405//28</t>
  </si>
  <si>
    <t>505//29</t>
  </si>
  <si>
    <t>805//30</t>
  </si>
  <si>
    <t>905//31</t>
  </si>
  <si>
    <t>905//32</t>
  </si>
  <si>
    <t>1005//33</t>
  </si>
  <si>
    <t>1205//34</t>
  </si>
  <si>
    <t>1205//35</t>
  </si>
  <si>
    <t>1405//36</t>
  </si>
  <si>
    <t>1405//37</t>
  </si>
  <si>
    <t>1505//38</t>
  </si>
  <si>
    <t>1505//39</t>
  </si>
  <si>
    <t>1705//40</t>
  </si>
  <si>
    <t>1805//41</t>
  </si>
  <si>
    <t>1905//42</t>
  </si>
  <si>
    <t>2205//43</t>
  </si>
  <si>
    <t>2205//44</t>
  </si>
  <si>
    <t>2305//45</t>
  </si>
  <si>
    <t>2405//46</t>
  </si>
  <si>
    <t>2505//47</t>
  </si>
  <si>
    <t>2705//48</t>
  </si>
  <si>
    <t>2705//49</t>
  </si>
  <si>
    <t>2805//50</t>
  </si>
  <si>
    <t>3005//51</t>
  </si>
  <si>
    <t>3105//52</t>
  </si>
  <si>
    <t>106//53</t>
  </si>
  <si>
    <t>206//54</t>
  </si>
  <si>
    <t>406//55</t>
  </si>
  <si>
    <t>406//56</t>
  </si>
  <si>
    <t>506//57</t>
  </si>
  <si>
    <t>606//58</t>
  </si>
  <si>
    <t>706//59</t>
  </si>
  <si>
    <t>806//60</t>
  </si>
  <si>
    <t>1006//61</t>
  </si>
  <si>
    <t>1006//62</t>
  </si>
  <si>
    <t>1106//63</t>
  </si>
  <si>
    <t>1106//64</t>
  </si>
  <si>
    <t>1306//65</t>
  </si>
  <si>
    <t>1406//66</t>
  </si>
  <si>
    <t>1506//67</t>
  </si>
  <si>
    <t>1706//68</t>
  </si>
  <si>
    <t>1806//69</t>
  </si>
  <si>
    <t>1906//70</t>
  </si>
  <si>
    <t>2106//71</t>
  </si>
  <si>
    <t>2206//72</t>
  </si>
  <si>
    <t>2206//73</t>
  </si>
  <si>
    <t>2306//74</t>
  </si>
  <si>
    <t>2406//75</t>
  </si>
  <si>
    <t>2506//76</t>
  </si>
  <si>
    <t>2606//77</t>
  </si>
  <si>
    <t>2706//78</t>
  </si>
  <si>
    <t>2806//79</t>
  </si>
  <si>
    <t>2906//80</t>
  </si>
  <si>
    <t>3006//81</t>
  </si>
  <si>
    <t>3006//82</t>
  </si>
  <si>
    <t>3006//83</t>
  </si>
  <si>
    <t>207//84</t>
  </si>
  <si>
    <t>1207//85</t>
  </si>
  <si>
    <t>809//86</t>
  </si>
  <si>
    <t>1109//87</t>
  </si>
  <si>
    <t>1209//88</t>
  </si>
  <si>
    <t>1309//89</t>
  </si>
  <si>
    <t>1309//90</t>
  </si>
  <si>
    <t>1309//91</t>
  </si>
  <si>
    <t>1309//92</t>
  </si>
  <si>
    <t>1309//93</t>
  </si>
  <si>
    <t>1409//94</t>
  </si>
  <si>
    <t>1409//95</t>
  </si>
  <si>
    <t>1609//96</t>
  </si>
  <si>
    <t>1609//97</t>
  </si>
  <si>
    <t>1709//98</t>
  </si>
  <si>
    <r>
      <rPr>
        <b/>
        <sz val="9"/>
        <rFont val="Arial"/>
        <family val="2"/>
      </rPr>
      <t>Post Date</t>
    </r>
  </si>
  <si>
    <r>
      <rPr>
        <b/>
        <sz val="9"/>
        <rFont val="Arial"/>
        <family val="2"/>
      </rPr>
      <t>Cheque Details</t>
    </r>
  </si>
  <si>
    <t>SDCB (P)</t>
  </si>
  <si>
    <t>Group</t>
  </si>
  <si>
    <t xml:space="preserve">  Com Name :</t>
  </si>
  <si>
    <t xml:space="preserve">  GST No. :</t>
  </si>
  <si>
    <t>KETAN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</si>
</sst>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;[Red]0.00"/>
    <numFmt numFmtId="165" formatCode="dd/mm/yyyy;@"/>
    <numFmt numFmtId="166" formatCode="mm/dd/yyyy"/>
    <numFmt numFmtId="167" formatCode="dd\-mm\-yyyy;@"/>
    <numFmt numFmtId="168" formatCode="000000"/>
  </numFmts>
  <fonts count="7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indexed="8"/>
      <name val="Arial"/>
      <family val="2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sz val="10"/>
      <color theme="0"/>
      <name val="SansSerif"/>
    </font>
    <font>
      <b/>
      <sz val="7"/>
      <color indexed="72"/>
      <name val="Arial"/>
      <family val="2"/>
    </font>
    <font>
      <sz val="10"/>
      <color indexed="72"/>
      <name val="SansSerif"/>
    </font>
    <font>
      <b/>
      <sz val="10"/>
      <color indexed="9"/>
      <name val="Arial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b/>
      <sz val="11"/>
      <color theme="1"/>
      <name val="Verdana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0"/>
      <name val="Verdana"/>
      <family val="2"/>
    </font>
    <font>
      <b/>
      <sz val="10"/>
      <name val="Arial"/>
      <family val="2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8"/>
      <name val="Times New Roman"/>
      <family val="1"/>
    </font>
    <font>
      <sz val="10"/>
      <color rgb="FF000000"/>
      <name val="Times New Roman"/>
      <family val="1"/>
    </font>
    <font>
      <sz val="10"/>
      <color indexed="8"/>
      <name val="Calibri"/>
      <family val="2"/>
    </font>
    <font>
      <b/>
      <sz val="11"/>
      <name val="Calibri"/>
      <family val="2"/>
      <scheme val="minor"/>
    </font>
    <font>
      <b/>
      <sz val="12"/>
      <color rgb="FFFF0000"/>
      <name val="Arial"/>
      <family val="2"/>
    </font>
    <font>
      <sz val="9"/>
      <name val="Arial MT"/>
      <family val="2"/>
    </font>
    <font>
      <b/>
      <sz val="11"/>
      <color theme="2" tint="-0.749992370372631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8"/>
      <color indexed="72"/>
      <name val="SansSerif"/>
    </font>
    <font>
      <b/>
      <sz val="9"/>
      <color theme="1"/>
      <name val="Verdana"/>
      <family val="2"/>
    </font>
    <font>
      <b/>
      <sz val="12"/>
      <color indexed="8"/>
      <name val="Arial"/>
      <family val="2"/>
    </font>
    <font>
      <b/>
      <sz val="13"/>
      <color indexed="72"/>
      <name val="Arial"/>
      <family val="2"/>
    </font>
    <font>
      <sz val="8"/>
      <name val="Calibri"/>
      <family val="2"/>
      <scheme val="minor"/>
    </font>
    <font>
      <b/>
      <sz val="10"/>
      <color indexed="8"/>
      <name val="Calibri"/>
      <family val="2"/>
    </font>
    <font>
      <sz val="13"/>
      <color indexed="72"/>
      <name val="Arial"/>
      <family val="2"/>
    </font>
    <font>
      <sz val="11"/>
      <color rgb="FFFFFFFF"/>
      <name val="Calibri"/>
      <family val="2"/>
      <scheme val="minor"/>
    </font>
    <font>
      <b/>
      <sz val="6.5"/>
      <name val="Arial"/>
      <family val="2"/>
    </font>
    <font>
      <sz val="10"/>
      <color rgb="FFFF0000"/>
      <name val="SansSerif"/>
    </font>
    <font>
      <sz val="11"/>
      <color rgb="FFF8F8F8"/>
      <name val="Calibri"/>
      <family val="2"/>
      <scheme val="minor"/>
    </font>
    <font>
      <sz val="10"/>
      <color rgb="FFF8F8F8"/>
      <name val="SansSerif"/>
    </font>
    <font>
      <b/>
      <sz val="7"/>
      <name val="Arial"/>
      <family val="2"/>
    </font>
    <font>
      <sz val="8"/>
      <name val="Arial MT"/>
      <family val="2"/>
    </font>
    <font>
      <b/>
      <sz val="9"/>
      <name val="Arial"/>
      <family val="2"/>
    </font>
    <font>
      <sz val="10"/>
      <name val="Arial MT"/>
    </font>
    <font>
      <sz val="10"/>
      <name val="Arial MT"/>
      <family val="2"/>
    </font>
    <font>
      <sz val="10"/>
      <color rgb="FFFFFFFF"/>
      <name val="SansSerif"/>
    </font>
    <font>
      <sz val="12"/>
      <name val="Arial MT"/>
    </font>
    <font>
      <sz val="12"/>
      <name val="Arial MT"/>
      <family val="2"/>
    </font>
    <font>
      <b/>
      <sz val="8"/>
      <name val="Arial"/>
      <family val="2"/>
    </font>
    <font>
      <b/>
      <i/>
      <sz val="9"/>
      <name val="Calibri"/>
      <family val="2"/>
    </font>
    <font>
      <b/>
      <i/>
      <sz val="9"/>
      <name val="Calibri"/>
      <family val="1"/>
    </font>
    <font>
      <sz val="6.5"/>
      <name val="Arial"/>
      <family val="2"/>
    </font>
    <font>
      <b/>
      <sz val="10"/>
      <color indexed="72"/>
      <name val="SansSerif"/>
    </font>
    <font>
      <b/>
      <sz val="10"/>
      <color indexed="72"/>
      <name val="Arial"/>
      <family val="2"/>
    </font>
    <font>
      <sz val="7"/>
      <color theme="1"/>
      <name val="Roboto Lt"/>
    </font>
    <font>
      <sz val="8"/>
      <name val="Arial MT"/>
    </font>
    <font>
      <sz val="11"/>
      <name val="Arial MT"/>
    </font>
    <font>
      <sz val="11"/>
      <name val="Arial MT"/>
      <family val="2"/>
    </font>
    <font>
      <b/>
      <sz val="16"/>
      <color indexed="72"/>
      <name val="SansSerif"/>
    </font>
    <font>
      <b/>
      <sz val="10"/>
      <color rgb="FF000000"/>
      <name val="Arial"/>
      <family val="2"/>
    </font>
    <font>
      <b/>
      <sz val="17"/>
      <color theme="1"/>
      <name val="Calibri"/>
      <family val="2"/>
      <scheme val="minor"/>
    </font>
    <font>
      <sz val="7"/>
      <color rgb="FF000000"/>
      <name val="Arial MT"/>
      <family val="2"/>
    </font>
    <font>
      <sz val="7"/>
      <name val="Arial MT"/>
    </font>
    <font>
      <sz val="7"/>
      <name val="Arial MT"/>
      <family val="2"/>
    </font>
    <font>
      <sz val="10"/>
      <name val="SansSerif"/>
    </font>
    <font>
      <sz val="8"/>
      <color rgb="FF000000"/>
      <name val="Segoe UI"/>
      <family val="2"/>
    </font>
  </fonts>
  <fills count="56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BFBFBF"/>
      </patternFill>
    </fill>
    <fill>
      <patternFill patternType="solid">
        <fgColor theme="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BFE0FF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indexed="3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E9E9E9"/>
      </left>
      <right style="thin">
        <color rgb="FFE9E9E9"/>
      </right>
      <top style="thin">
        <color rgb="FFE9E9E9"/>
      </top>
      <bottom style="thin">
        <color rgb="FFE9E9E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E5E5E5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6400"/>
      </left>
      <right style="thin">
        <color rgb="FF006400"/>
      </right>
      <top style="thin">
        <color rgb="FF006400"/>
      </top>
      <bottom style="thin">
        <color rgb="FF006400"/>
      </bottom>
      <diagonal/>
    </border>
    <border>
      <left style="thin">
        <color rgb="FF006400"/>
      </left>
      <right/>
      <top style="thin">
        <color rgb="FF006400"/>
      </top>
      <bottom style="thin">
        <color rgb="FF006400"/>
      </bottom>
      <diagonal/>
    </border>
    <border>
      <left/>
      <right style="thin">
        <color rgb="FF006400"/>
      </right>
      <top style="thin">
        <color rgb="FF006400"/>
      </top>
      <bottom style="thin">
        <color rgb="FF006400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48">
    <xf numFmtId="0" fontId="0" fillId="0" borderId="0"/>
    <xf numFmtId="0" fontId="4" fillId="0" borderId="0" applyNumberFormat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" applyNumberFormat="0" applyFill="0" applyAlignment="0" applyProtection="0"/>
    <xf numFmtId="0" fontId="16" fillId="0" borderId="6" applyNumberFormat="0" applyFill="0" applyAlignment="0" applyProtection="0"/>
    <xf numFmtId="0" fontId="17" fillId="0" borderId="7" applyNumberFormat="0" applyFill="0" applyAlignment="0" applyProtection="0"/>
    <xf numFmtId="0" fontId="17" fillId="0" borderId="0" applyNumberFormat="0" applyFill="0" applyBorder="0" applyAlignment="0" applyProtection="0"/>
    <xf numFmtId="0" fontId="18" fillId="16" borderId="0" applyNumberFormat="0" applyBorder="0" applyAlignment="0" applyProtection="0"/>
    <xf numFmtId="0" fontId="19" fillId="17" borderId="0" applyNumberFormat="0" applyBorder="0" applyAlignment="0" applyProtection="0"/>
    <xf numFmtId="0" fontId="20" fillId="18" borderId="0" applyNumberFormat="0" applyBorder="0" applyAlignment="0" applyProtection="0"/>
    <xf numFmtId="0" fontId="21" fillId="19" borderId="8" applyNumberFormat="0" applyAlignment="0" applyProtection="0"/>
    <xf numFmtId="0" fontId="22" fillId="20" borderId="9" applyNumberFormat="0" applyAlignment="0" applyProtection="0"/>
    <xf numFmtId="0" fontId="23" fillId="20" borderId="8" applyNumberFormat="0" applyAlignment="0" applyProtection="0"/>
    <xf numFmtId="0" fontId="24" fillId="0" borderId="10" applyNumberFormat="0" applyFill="0" applyAlignment="0" applyProtection="0"/>
    <xf numFmtId="0" fontId="25" fillId="21" borderId="11" applyNumberFormat="0" applyAlignment="0" applyProtection="0"/>
    <xf numFmtId="0" fontId="26" fillId="0" borderId="0" applyNumberFormat="0" applyFill="0" applyBorder="0" applyAlignment="0" applyProtection="0"/>
    <xf numFmtId="0" fontId="13" fillId="22" borderId="12" applyNumberFormat="0" applyFont="0" applyAlignment="0" applyProtection="0"/>
    <xf numFmtId="0" fontId="27" fillId="0" borderId="0" applyNumberFormat="0" applyFill="0" applyBorder="0" applyAlignment="0" applyProtection="0"/>
    <xf numFmtId="0" fontId="1" fillId="0" borderId="13" applyNumberFormat="0" applyFill="0" applyAlignment="0" applyProtection="0"/>
    <xf numFmtId="0" fontId="5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5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5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5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5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5" fillId="43" borderId="0" applyNumberFormat="0" applyBorder="0" applyAlignment="0" applyProtection="0"/>
    <xf numFmtId="0" fontId="13" fillId="44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30" fillId="0" borderId="0"/>
    <xf numFmtId="0" fontId="33" fillId="0" borderId="0"/>
    <xf numFmtId="0" fontId="3" fillId="0" borderId="0"/>
    <xf numFmtId="0" fontId="39" fillId="0" borderId="0"/>
    <xf numFmtId="0" fontId="4" fillId="0" borderId="0"/>
  </cellStyleXfs>
  <cellXfs count="322">
    <xf numFmtId="0" fontId="0" fillId="0" borderId="0" xfId="0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Protection="1">
      <protection hidden="1"/>
    </xf>
    <xf numFmtId="1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6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2" fillId="7" borderId="1" xfId="0" quotePrefix="1" applyFont="1" applyFill="1" applyBorder="1" applyAlignment="1" applyProtection="1">
      <alignment horizontal="center"/>
      <protection locked="0"/>
    </xf>
    <xf numFmtId="0" fontId="3" fillId="8" borderId="1" xfId="0" applyFont="1" applyFill="1" applyBorder="1" applyAlignment="1" applyProtection="1">
      <alignment horizontal="center" vertical="center"/>
      <protection hidden="1"/>
    </xf>
    <xf numFmtId="0" fontId="3" fillId="9" borderId="1" xfId="0" applyFont="1" applyFill="1" applyBorder="1" applyAlignment="1" applyProtection="1">
      <alignment horizontal="center" vertical="center"/>
      <protection hidden="1"/>
    </xf>
    <xf numFmtId="0" fontId="3" fillId="10" borderId="1" xfId="0" applyFont="1" applyFill="1" applyBorder="1" applyAlignment="1" applyProtection="1">
      <alignment horizontal="center" vertical="center"/>
      <protection hidden="1"/>
    </xf>
    <xf numFmtId="0" fontId="2" fillId="7" borderId="1" xfId="0" applyFont="1" applyFill="1" applyBorder="1" applyAlignment="1" applyProtection="1">
      <alignment horizontal="center"/>
      <protection locked="0"/>
    </xf>
    <xf numFmtId="164" fontId="2" fillId="7" borderId="1" xfId="0" applyNumberFormat="1" applyFont="1" applyFill="1" applyBorder="1" applyAlignment="1" applyProtection="1">
      <alignment horizontal="center"/>
      <protection locked="0"/>
    </xf>
    <xf numFmtId="0" fontId="2" fillId="7" borderId="1" xfId="0" applyFont="1" applyFill="1" applyBorder="1" applyAlignment="1" applyProtection="1">
      <alignment horizontal="left"/>
      <protection locked="0"/>
    </xf>
    <xf numFmtId="0" fontId="2" fillId="7" borderId="1" xfId="0" quotePrefix="1" applyFont="1" applyFill="1" applyBorder="1" applyAlignment="1" applyProtection="1">
      <alignment horizontal="center"/>
      <protection hidden="1"/>
    </xf>
    <xf numFmtId="0" fontId="0" fillId="11" borderId="1" xfId="0" applyFill="1" applyBorder="1" applyProtection="1">
      <protection locked="0"/>
    </xf>
    <xf numFmtId="0" fontId="0" fillId="11" borderId="1" xfId="0" applyFill="1" applyBorder="1" applyAlignment="1" applyProtection="1">
      <alignment horizontal="center" vertical="center"/>
      <protection locked="0"/>
    </xf>
    <xf numFmtId="0" fontId="0" fillId="11" borderId="1" xfId="0" applyFill="1" applyBorder="1" applyAlignment="1" applyProtection="1">
      <alignment horizontal="center"/>
      <protection locked="0"/>
    </xf>
    <xf numFmtId="165" fontId="0" fillId="11" borderId="1" xfId="0" applyNumberFormat="1" applyFill="1" applyBorder="1" applyAlignment="1" applyProtection="1">
      <alignment horizontal="right"/>
      <protection locked="0"/>
    </xf>
    <xf numFmtId="0" fontId="0" fillId="11" borderId="1" xfId="0" applyFill="1" applyBorder="1" applyAlignment="1" applyProtection="1">
      <alignment horizontal="right"/>
      <protection locked="0"/>
    </xf>
    <xf numFmtId="0" fontId="2" fillId="7" borderId="2" xfId="0" quotePrefix="1" applyFont="1" applyFill="1" applyBorder="1" applyAlignment="1" applyProtection="1">
      <alignment horizontal="center"/>
      <protection hidden="1"/>
    </xf>
    <xf numFmtId="0" fontId="5" fillId="0" borderId="0" xfId="0" applyFont="1" applyAlignment="1" applyProtection="1">
      <alignment vertical="center"/>
      <protection hidden="1"/>
    </xf>
    <xf numFmtId="165" fontId="5" fillId="0" borderId="0" xfId="0" applyNumberFormat="1" applyFont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center" vertical="center"/>
      <protection hidden="1"/>
    </xf>
    <xf numFmtId="164" fontId="5" fillId="0" borderId="0" xfId="0" applyNumberFormat="1" applyFont="1" applyAlignment="1" applyProtection="1">
      <alignment horizontal="right" vertical="center"/>
      <protection hidden="1"/>
    </xf>
    <xf numFmtId="1" fontId="6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5" fillId="0" borderId="0" xfId="0" quotePrefix="1" applyNumberFormat="1" applyFont="1" applyAlignment="1" applyProtection="1">
      <alignment vertical="center"/>
      <protection hidden="1"/>
    </xf>
    <xf numFmtId="165" fontId="5" fillId="0" borderId="0" xfId="0" applyNumberFormat="1" applyFont="1" applyAlignment="1" applyProtection="1">
      <alignment horizontal="left" vertical="center"/>
      <protection hidden="1"/>
    </xf>
    <xf numFmtId="0" fontId="5" fillId="0" borderId="0" xfId="0" quotePrefix="1" applyFont="1" applyAlignment="1" applyProtection="1">
      <alignment vertical="center"/>
      <protection hidden="1"/>
    </xf>
    <xf numFmtId="0" fontId="5" fillId="0" borderId="0" xfId="0" applyFont="1" applyProtection="1">
      <protection hidden="1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1" fillId="4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quotePrefix="1" applyProtection="1">
      <protection locked="0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left" vertical="center"/>
      <protection hidden="1"/>
    </xf>
    <xf numFmtId="0" fontId="9" fillId="12" borderId="4" xfId="0" applyFont="1" applyFill="1" applyBorder="1" applyAlignment="1" applyProtection="1">
      <alignment horizontal="left" vertical="center" wrapText="1"/>
      <protection locked="0"/>
    </xf>
    <xf numFmtId="0" fontId="8" fillId="12" borderId="4" xfId="0" applyFont="1" applyFill="1" applyBorder="1" applyAlignment="1" applyProtection="1">
      <alignment horizontal="left" vertical="top" wrapText="1"/>
      <protection locked="0"/>
    </xf>
    <xf numFmtId="165" fontId="6" fillId="0" borderId="0" xfId="1" applyNumberFormat="1" applyFont="1" applyFill="1" applyBorder="1" applyAlignment="1" applyProtection="1">
      <alignment horizontal="center" vertical="center" wrapText="1"/>
      <protection hidden="1"/>
    </xf>
    <xf numFmtId="0" fontId="32" fillId="47" borderId="15" xfId="0" applyFont="1" applyFill="1" applyBorder="1" applyAlignment="1">
      <alignment horizontal="left" vertical="center" wrapText="1"/>
    </xf>
    <xf numFmtId="0" fontId="0" fillId="47" borderId="15" xfId="0" applyFill="1" applyBorder="1" applyAlignment="1">
      <alignment horizontal="right" vertical="center" wrapText="1"/>
    </xf>
    <xf numFmtId="0" fontId="32" fillId="47" borderId="15" xfId="0" applyFont="1" applyFill="1" applyBorder="1" applyAlignment="1">
      <alignment horizontal="right" vertical="center" wrapText="1"/>
    </xf>
    <xf numFmtId="0" fontId="0" fillId="0" borderId="0" xfId="0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9" fillId="12" borderId="4" xfId="0" applyFont="1" applyFill="1" applyBorder="1" applyAlignment="1" applyProtection="1">
      <alignment vertical="center" wrapText="1"/>
      <protection locked="0"/>
    </xf>
    <xf numFmtId="0" fontId="9" fillId="12" borderId="4" xfId="0" applyFont="1" applyFill="1" applyBorder="1" applyAlignment="1" applyProtection="1">
      <alignment horizontal="center" vertical="center" wrapText="1"/>
      <protection locked="0"/>
    </xf>
    <xf numFmtId="0" fontId="8" fillId="12" borderId="4" xfId="0" applyFont="1" applyFill="1" applyBorder="1" applyAlignment="1" applyProtection="1">
      <alignment horizontal="center" vertical="top" wrapText="1"/>
      <protection locked="0"/>
    </xf>
    <xf numFmtId="0" fontId="5" fillId="0" borderId="0" xfId="0" applyFont="1" applyAlignment="1" applyProtection="1">
      <alignment horizontal="center"/>
      <protection locked="0"/>
    </xf>
    <xf numFmtId="0" fontId="34" fillId="12" borderId="14" xfId="0" applyFont="1" applyFill="1" applyBorder="1" applyProtection="1">
      <protection locked="0"/>
    </xf>
    <xf numFmtId="164" fontId="26" fillId="0" borderId="0" xfId="0" applyNumberFormat="1" applyFont="1" applyAlignment="1" applyProtection="1">
      <alignment horizontal="right" vertical="center"/>
      <protection hidden="1"/>
    </xf>
    <xf numFmtId="0" fontId="0" fillId="48" borderId="0" xfId="0" applyFill="1"/>
    <xf numFmtId="164" fontId="5" fillId="0" borderId="0" xfId="0" applyNumberFormat="1" applyFont="1" applyProtection="1">
      <protection hidden="1"/>
    </xf>
    <xf numFmtId="0" fontId="1" fillId="0" borderId="0" xfId="0" applyFont="1" applyProtection="1">
      <protection locked="0"/>
    </xf>
    <xf numFmtId="2" fontId="5" fillId="0" borderId="0" xfId="0" applyNumberFormat="1" applyFont="1" applyAlignment="1" applyProtection="1">
      <alignment horizontal="right" vertical="center"/>
      <protection hidden="1"/>
    </xf>
    <xf numFmtId="0" fontId="0" fillId="11" borderId="16" xfId="0" applyFill="1" applyBorder="1" applyProtection="1">
      <protection locked="0"/>
    </xf>
    <xf numFmtId="0" fontId="0" fillId="11" borderId="16" xfId="0" applyFill="1" applyBorder="1" applyAlignment="1" applyProtection="1">
      <alignment horizontal="center" vertical="center"/>
      <protection locked="0"/>
    </xf>
    <xf numFmtId="0" fontId="0" fillId="11" borderId="16" xfId="0" applyFill="1" applyBorder="1" applyAlignment="1" applyProtection="1">
      <alignment horizontal="center"/>
      <protection locked="0"/>
    </xf>
    <xf numFmtId="165" fontId="0" fillId="11" borderId="16" xfId="0" applyNumberFormat="1" applyFill="1" applyBorder="1" applyAlignment="1" applyProtection="1">
      <alignment horizontal="right"/>
      <protection locked="0"/>
    </xf>
    <xf numFmtId="0" fontId="0" fillId="11" borderId="16" xfId="0" applyFill="1" applyBorder="1" applyAlignment="1" applyProtection="1">
      <alignment horizontal="right"/>
      <protection locked="0"/>
    </xf>
    <xf numFmtId="0" fontId="0" fillId="7" borderId="17" xfId="0" applyFill="1" applyBorder="1" applyProtection="1">
      <protection locked="0"/>
    </xf>
    <xf numFmtId="0" fontId="0" fillId="7" borderId="18" xfId="0" applyFill="1" applyBorder="1" applyProtection="1">
      <protection locked="0"/>
    </xf>
    <xf numFmtId="0" fontId="0" fillId="7" borderId="19" xfId="0" applyFill="1" applyBorder="1" applyProtection="1">
      <protection locked="0"/>
    </xf>
    <xf numFmtId="0" fontId="38" fillId="13" borderId="3" xfId="0" applyFont="1" applyFill="1" applyBorder="1" applyAlignment="1" applyProtection="1">
      <alignment horizontal="center" vertical="center"/>
      <protection locked="0"/>
    </xf>
    <xf numFmtId="0" fontId="12" fillId="14" borderId="20" xfId="0" applyFont="1" applyFill="1" applyBorder="1" applyAlignment="1">
      <alignment horizontal="center" vertical="center"/>
    </xf>
    <xf numFmtId="0" fontId="12" fillId="49" borderId="21" xfId="0" applyFont="1" applyFill="1" applyBorder="1" applyAlignment="1">
      <alignment horizontal="center" vertical="center"/>
    </xf>
    <xf numFmtId="0" fontId="1" fillId="50" borderId="1" xfId="0" applyFont="1" applyFill="1" applyBorder="1" applyProtection="1">
      <protection locked="0"/>
    </xf>
    <xf numFmtId="165" fontId="5" fillId="0" borderId="0" xfId="0" quotePrefix="1" applyNumberFormat="1" applyFont="1" applyAlignment="1" applyProtection="1">
      <alignment horizontal="center" vertical="center"/>
      <protection hidden="1"/>
    </xf>
    <xf numFmtId="0" fontId="31" fillId="7" borderId="1" xfId="0" applyFont="1" applyFill="1" applyBorder="1" applyProtection="1">
      <protection locked="0"/>
    </xf>
    <xf numFmtId="0" fontId="12" fillId="50" borderId="21" xfId="0" applyFont="1" applyFill="1" applyBorder="1" applyAlignment="1">
      <alignment horizontal="center" vertical="center"/>
    </xf>
    <xf numFmtId="0" fontId="11" fillId="14" borderId="1" xfId="0" applyFont="1" applyFill="1" applyBorder="1" applyAlignment="1" applyProtection="1">
      <alignment horizontal="center" vertical="center"/>
      <protection hidden="1"/>
    </xf>
    <xf numFmtId="0" fontId="11" fillId="15" borderId="1" xfId="0" applyFont="1" applyFill="1" applyBorder="1" applyAlignment="1" applyProtection="1">
      <alignment horizontal="center" vertical="center"/>
      <protection hidden="1"/>
    </xf>
    <xf numFmtId="0" fontId="12" fillId="49" borderId="22" xfId="0" applyFont="1" applyFill="1" applyBorder="1" applyAlignment="1">
      <alignment horizontal="center" vertical="center"/>
    </xf>
    <xf numFmtId="0" fontId="2" fillId="7" borderId="23" xfId="0" applyFont="1" applyFill="1" applyBorder="1" applyAlignment="1" applyProtection="1">
      <alignment horizontal="center"/>
      <protection locked="0"/>
    </xf>
    <xf numFmtId="0" fontId="2" fillId="7" borderId="24" xfId="0" applyFont="1" applyFill="1" applyBorder="1" applyAlignment="1" applyProtection="1">
      <alignment horizontal="center"/>
      <protection locked="0"/>
    </xf>
    <xf numFmtId="164" fontId="2" fillId="7" borderId="24" xfId="0" applyNumberFormat="1" applyFont="1" applyFill="1" applyBorder="1" applyAlignment="1" applyProtection="1">
      <alignment horizontal="center"/>
      <protection locked="0"/>
    </xf>
    <xf numFmtId="0" fontId="2" fillId="7" borderId="24" xfId="0" applyFont="1" applyFill="1" applyBorder="1" applyAlignment="1" applyProtection="1">
      <alignment horizontal="left"/>
      <protection locked="0"/>
    </xf>
    <xf numFmtId="0" fontId="2" fillId="7" borderId="25" xfId="0" quotePrefix="1" applyFont="1" applyFill="1" applyBorder="1" applyAlignment="1" applyProtection="1">
      <alignment horizontal="center"/>
      <protection locked="0"/>
    </xf>
    <xf numFmtId="0" fontId="12" fillId="50" borderId="26" xfId="0" applyFont="1" applyFill="1" applyBorder="1" applyAlignment="1">
      <alignment horizontal="center" vertical="center"/>
    </xf>
    <xf numFmtId="0" fontId="12" fillId="50" borderId="27" xfId="0" applyFont="1" applyFill="1" applyBorder="1" applyAlignment="1">
      <alignment horizontal="center" vertical="center"/>
    </xf>
    <xf numFmtId="0" fontId="10" fillId="8" borderId="28" xfId="0" applyFont="1" applyFill="1" applyBorder="1" applyAlignment="1" applyProtection="1">
      <alignment horizontal="center" vertical="center"/>
      <protection hidden="1"/>
    </xf>
    <xf numFmtId="0" fontId="10" fillId="4" borderId="28" xfId="0" applyFont="1" applyFill="1" applyBorder="1" applyAlignment="1" applyProtection="1">
      <alignment horizontal="center" vertical="center"/>
      <protection hidden="1"/>
    </xf>
    <xf numFmtId="0" fontId="0" fillId="50" borderId="29" xfId="0" applyFill="1" applyBorder="1" applyProtection="1">
      <protection locked="0"/>
    </xf>
    <xf numFmtId="0" fontId="41" fillId="50" borderId="30" xfId="0" applyFont="1" applyFill="1" applyBorder="1" applyAlignment="1">
      <alignment vertical="center" wrapText="1"/>
    </xf>
    <xf numFmtId="0" fontId="41" fillId="50" borderId="0" xfId="0" applyFont="1" applyFill="1" applyAlignment="1">
      <alignment horizontal="left" vertical="center"/>
    </xf>
    <xf numFmtId="0" fontId="41" fillId="50" borderId="0" xfId="0" applyFont="1" applyFill="1" applyAlignment="1">
      <alignment vertical="center" wrapText="1"/>
    </xf>
    <xf numFmtId="0" fontId="0" fillId="50" borderId="31" xfId="0" applyFill="1" applyBorder="1" applyProtection="1">
      <protection locked="0"/>
    </xf>
    <xf numFmtId="0" fontId="12" fillId="50" borderId="30" xfId="0" applyFont="1" applyFill="1" applyBorder="1" applyAlignment="1">
      <alignment horizontal="center" vertical="center"/>
    </xf>
    <xf numFmtId="0" fontId="12" fillId="50" borderId="0" xfId="0" applyFont="1" applyFill="1" applyAlignment="1">
      <alignment horizontal="center" vertical="center"/>
    </xf>
    <xf numFmtId="0" fontId="42" fillId="13" borderId="24" xfId="0" applyFont="1" applyFill="1" applyBorder="1" applyAlignment="1">
      <alignment vertical="center" wrapText="1"/>
    </xf>
    <xf numFmtId="0" fontId="42" fillId="13" borderId="25" xfId="0" applyFont="1" applyFill="1" applyBorder="1" applyAlignment="1">
      <alignment vertical="center" wrapText="1"/>
    </xf>
    <xf numFmtId="0" fontId="42" fillId="13" borderId="23" xfId="0" applyFont="1" applyFill="1" applyBorder="1" applyAlignment="1">
      <alignment vertical="center" wrapText="1"/>
    </xf>
    <xf numFmtId="0" fontId="43" fillId="7" borderId="25" xfId="0" applyFont="1" applyFill="1" applyBorder="1" applyAlignment="1">
      <alignment vertical="top" wrapText="1"/>
    </xf>
    <xf numFmtId="0" fontId="1" fillId="2" borderId="1" xfId="0" applyFont="1" applyFill="1" applyBorder="1" applyAlignment="1" applyProtection="1">
      <alignment horizontal="center" vertical="center"/>
      <protection hidden="1"/>
    </xf>
    <xf numFmtId="0" fontId="1" fillId="3" borderId="1" xfId="0" applyFont="1" applyFill="1" applyBorder="1" applyAlignment="1" applyProtection="1">
      <alignment horizontal="center" vertical="center"/>
      <protection hidden="1"/>
    </xf>
    <xf numFmtId="0" fontId="1" fillId="4" borderId="1" xfId="0" applyFont="1" applyFill="1" applyBorder="1" applyAlignment="1" applyProtection="1">
      <alignment horizontal="center" vertical="center"/>
      <protection hidden="1"/>
    </xf>
    <xf numFmtId="0" fontId="1" fillId="5" borderId="1" xfId="0" applyFont="1" applyFill="1" applyBorder="1" applyAlignment="1" applyProtection="1">
      <alignment horizontal="center" vertical="center"/>
      <protection hidden="1"/>
    </xf>
    <xf numFmtId="0" fontId="1" fillId="5" borderId="1" xfId="0" applyFont="1" applyFill="1" applyBorder="1" applyAlignment="1" applyProtection="1">
      <alignment horizontal="center" vertical="center" wrapText="1"/>
      <protection hidden="1"/>
    </xf>
    <xf numFmtId="0" fontId="0" fillId="0" borderId="0" xfId="0" quotePrefix="1" applyAlignment="1" applyProtection="1">
      <alignment horizontal="center" vertical="center"/>
      <protection hidden="1"/>
    </xf>
    <xf numFmtId="0" fontId="0" fillId="51" borderId="1" xfId="0" applyFill="1" applyBorder="1" applyAlignment="1" applyProtection="1">
      <alignment horizontal="center" vertical="center"/>
      <protection hidden="1"/>
    </xf>
    <xf numFmtId="0" fontId="2" fillId="7" borderId="1" xfId="0" quotePrefix="1" applyFont="1" applyFill="1" applyBorder="1" applyAlignment="1" applyProtection="1">
      <alignment horizontal="left"/>
      <protection hidden="1"/>
    </xf>
    <xf numFmtId="0" fontId="0" fillId="11" borderId="1" xfId="0" applyFill="1" applyBorder="1" applyAlignment="1" applyProtection="1">
      <alignment horizontal="left"/>
      <protection locked="0"/>
    </xf>
    <xf numFmtId="0" fontId="0" fillId="11" borderId="1" xfId="0" applyFill="1" applyBorder="1" applyAlignment="1" applyProtection="1">
      <alignment horizontal="left" vertical="center"/>
      <protection locked="0"/>
    </xf>
    <xf numFmtId="0" fontId="0" fillId="7" borderId="3" xfId="0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hidden="1"/>
    </xf>
    <xf numFmtId="0" fontId="45" fillId="7" borderId="14" xfId="0" applyFont="1" applyFill="1" applyBorder="1"/>
    <xf numFmtId="0" fontId="0" fillId="51" borderId="1" xfId="0" quotePrefix="1" applyFill="1" applyBorder="1" applyAlignment="1" applyProtection="1">
      <alignment horizontal="center" vertical="center"/>
      <protection hidden="1"/>
    </xf>
    <xf numFmtId="0" fontId="0" fillId="7" borderId="23" xfId="0" applyFill="1" applyBorder="1" applyProtection="1">
      <protection locked="0"/>
    </xf>
    <xf numFmtId="0" fontId="0" fillId="7" borderId="24" xfId="0" applyFill="1" applyBorder="1" applyProtection="1">
      <protection locked="0"/>
    </xf>
    <xf numFmtId="0" fontId="0" fillId="7" borderId="25" xfId="0" applyFill="1" applyBorder="1" applyProtection="1">
      <protection locked="0"/>
    </xf>
    <xf numFmtId="0" fontId="7" fillId="7" borderId="23" xfId="0" applyFont="1" applyFill="1" applyBorder="1" applyAlignment="1" applyProtection="1">
      <alignment horizontal="center" vertical="center" wrapText="1"/>
      <protection locked="0"/>
    </xf>
    <xf numFmtId="0" fontId="7" fillId="7" borderId="24" xfId="0" applyFont="1" applyFill="1" applyBorder="1" applyAlignment="1" applyProtection="1">
      <alignment horizontal="center" vertical="center" wrapText="1"/>
      <protection locked="0"/>
    </xf>
    <xf numFmtId="0" fontId="7" fillId="7" borderId="25" xfId="0" applyFont="1" applyFill="1" applyBorder="1" applyAlignment="1" applyProtection="1">
      <alignment horizontal="center" vertical="center" wrapText="1"/>
      <protection locked="0"/>
    </xf>
    <xf numFmtId="0" fontId="29" fillId="7" borderId="14" xfId="0" applyFont="1" applyFill="1" applyBorder="1" applyAlignment="1">
      <alignment horizontal="center"/>
    </xf>
    <xf numFmtId="0" fontId="46" fillId="7" borderId="23" xfId="0" applyFont="1" applyFill="1" applyBorder="1" applyAlignment="1">
      <alignment horizontal="left" vertical="top" wrapText="1"/>
    </xf>
    <xf numFmtId="0" fontId="46" fillId="7" borderId="24" xfId="0" applyFont="1" applyFill="1" applyBorder="1" applyAlignment="1">
      <alignment vertical="top" wrapText="1"/>
    </xf>
    <xf numFmtId="0" fontId="0" fillId="7" borderId="24" xfId="0" applyFill="1" applyBorder="1"/>
    <xf numFmtId="0" fontId="46" fillId="7" borderId="24" xfId="0" applyFont="1" applyFill="1" applyBorder="1" applyAlignment="1">
      <alignment horizontal="left" vertical="top" wrapText="1"/>
    </xf>
    <xf numFmtId="0" fontId="40" fillId="7" borderId="23" xfId="0" applyFont="1" applyFill="1" applyBorder="1" applyAlignment="1">
      <alignment horizontal="center" vertical="center" wrapText="1"/>
    </xf>
    <xf numFmtId="0" fontId="40" fillId="7" borderId="24" xfId="0" applyFont="1" applyFill="1" applyBorder="1" applyAlignment="1">
      <alignment horizontal="center" vertical="center" wrapText="1"/>
    </xf>
    <xf numFmtId="0" fontId="40" fillId="7" borderId="25" xfId="0" applyFont="1" applyFill="1" applyBorder="1" applyAlignment="1">
      <alignment horizontal="center" vertical="center" wrapText="1"/>
    </xf>
    <xf numFmtId="0" fontId="34" fillId="7" borderId="23" xfId="0" applyFont="1" applyFill="1" applyBorder="1" applyProtection="1">
      <protection locked="0"/>
    </xf>
    <xf numFmtId="0" fontId="34" fillId="7" borderId="24" xfId="0" applyFont="1" applyFill="1" applyBorder="1" applyProtection="1">
      <protection locked="0"/>
    </xf>
    <xf numFmtId="0" fontId="34" fillId="7" borderId="25" xfId="0" applyFont="1" applyFill="1" applyBorder="1" applyProtection="1">
      <protection locked="0"/>
    </xf>
    <xf numFmtId="0" fontId="28" fillId="7" borderId="23" xfId="0" applyFont="1" applyFill="1" applyBorder="1" applyAlignment="1">
      <alignment wrapText="1"/>
    </xf>
    <xf numFmtId="0" fontId="28" fillId="7" borderId="24" xfId="0" applyFont="1" applyFill="1" applyBorder="1" applyAlignment="1">
      <alignment wrapText="1"/>
    </xf>
    <xf numFmtId="0" fontId="28" fillId="7" borderId="25" xfId="0" applyFont="1" applyFill="1" applyBorder="1" applyAlignment="1">
      <alignment wrapText="1"/>
    </xf>
    <xf numFmtId="0" fontId="8" fillId="7" borderId="23" xfId="0" applyFont="1" applyFill="1" applyBorder="1" applyAlignment="1">
      <alignment horizontal="left" vertical="center" wrapText="1"/>
    </xf>
    <xf numFmtId="0" fontId="8" fillId="7" borderId="24" xfId="0" applyFont="1" applyFill="1" applyBorder="1" applyAlignment="1">
      <alignment horizontal="left" vertical="top" wrapText="1"/>
    </xf>
    <xf numFmtId="0" fontId="8" fillId="7" borderId="24" xfId="0" applyFont="1" applyFill="1" applyBorder="1" applyAlignment="1">
      <alignment horizontal="left" vertical="center" wrapText="1"/>
    </xf>
    <xf numFmtId="0" fontId="8" fillId="7" borderId="25" xfId="0" applyFont="1" applyFill="1" applyBorder="1" applyAlignment="1">
      <alignment horizontal="left" vertical="center" wrapText="1"/>
    </xf>
    <xf numFmtId="0" fontId="35" fillId="7" borderId="23" xfId="0" applyFont="1" applyFill="1" applyBorder="1" applyAlignment="1" applyProtection="1">
      <alignment horizontal="center" vertical="center"/>
      <protection locked="0"/>
    </xf>
    <xf numFmtId="0" fontId="35" fillId="7" borderId="24" xfId="0" applyFont="1" applyFill="1" applyBorder="1" applyAlignment="1" applyProtection="1">
      <alignment horizontal="center" vertical="center"/>
      <protection locked="0"/>
    </xf>
    <xf numFmtId="0" fontId="35" fillId="7" borderId="25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10" fillId="13" borderId="28" xfId="0" applyFont="1" applyFill="1" applyBorder="1" applyAlignment="1" applyProtection="1">
      <alignment horizontal="center" vertical="center"/>
      <protection hidden="1"/>
    </xf>
    <xf numFmtId="0" fontId="11" fillId="50" borderId="1" xfId="0" applyFont="1" applyFill="1" applyBorder="1" applyAlignment="1" applyProtection="1">
      <alignment horizontal="center" vertical="center"/>
      <protection hidden="1"/>
    </xf>
    <xf numFmtId="2" fontId="47" fillId="0" borderId="0" xfId="0" applyNumberFormat="1" applyFont="1" applyAlignment="1" applyProtection="1">
      <alignment horizontal="right" vertical="center"/>
      <protection hidden="1"/>
    </xf>
    <xf numFmtId="164" fontId="47" fillId="0" borderId="0" xfId="0" applyNumberFormat="1" applyFont="1" applyAlignment="1" applyProtection="1">
      <alignment horizontal="right" vertical="center"/>
      <protection hidden="1"/>
    </xf>
    <xf numFmtId="0" fontId="0" fillId="52" borderId="23" xfId="0" applyFill="1" applyBorder="1" applyAlignment="1" applyProtection="1">
      <alignment horizontal="center"/>
      <protection locked="0"/>
    </xf>
    <xf numFmtId="0" fontId="0" fillId="52" borderId="24" xfId="0" applyFill="1" applyBorder="1" applyAlignment="1" applyProtection="1">
      <alignment horizontal="center"/>
      <protection locked="0"/>
    </xf>
    <xf numFmtId="0" fontId="0" fillId="52" borderId="25" xfId="0" applyFill="1" applyBorder="1" applyAlignment="1" applyProtection="1">
      <alignment horizontal="center"/>
      <protection locked="0"/>
    </xf>
    <xf numFmtId="164" fontId="5" fillId="0" borderId="0" xfId="0" applyNumberFormat="1" applyFont="1" applyAlignment="1" applyProtection="1">
      <alignment horizontal="center" vertical="center"/>
      <protection hidden="1"/>
    </xf>
    <xf numFmtId="0" fontId="5" fillId="0" borderId="0" xfId="0" quotePrefix="1" applyFont="1" applyAlignment="1" applyProtection="1">
      <alignment horizontal="center" vertical="center"/>
      <protection hidden="1"/>
    </xf>
    <xf numFmtId="0" fontId="0" fillId="7" borderId="0" xfId="0" applyFill="1" applyProtection="1">
      <protection locked="0"/>
    </xf>
    <xf numFmtId="0" fontId="48" fillId="7" borderId="3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vertical="center"/>
      <protection hidden="1"/>
    </xf>
    <xf numFmtId="165" fontId="26" fillId="0" borderId="0" xfId="0" applyNumberFormat="1" applyFont="1" applyAlignment="1" applyProtection="1">
      <alignment horizontal="center" vertical="center"/>
      <protection hidden="1"/>
    </xf>
    <xf numFmtId="0" fontId="26" fillId="0" borderId="0" xfId="0" applyFont="1" applyAlignment="1" applyProtection="1">
      <alignment horizontal="center" vertical="center"/>
      <protection hidden="1"/>
    </xf>
    <xf numFmtId="1" fontId="49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26" fillId="0" borderId="0" xfId="0" quotePrefix="1" applyNumberFormat="1" applyFont="1" applyAlignment="1" applyProtection="1">
      <alignment vertical="center"/>
      <protection hidden="1"/>
    </xf>
    <xf numFmtId="0" fontId="26" fillId="0" borderId="0" xfId="0" quotePrefix="1" applyFont="1" applyAlignment="1" applyProtection="1">
      <alignment vertical="center"/>
      <protection hidden="1"/>
    </xf>
    <xf numFmtId="0" fontId="50" fillId="0" borderId="0" xfId="0" applyFont="1" applyAlignment="1" applyProtection="1">
      <alignment vertical="center"/>
      <protection hidden="1"/>
    </xf>
    <xf numFmtId="165" fontId="50" fillId="0" borderId="0" xfId="0" applyNumberFormat="1" applyFont="1" applyAlignment="1" applyProtection="1">
      <alignment horizontal="center" vertical="center"/>
      <protection hidden="1"/>
    </xf>
    <xf numFmtId="0" fontId="50" fillId="0" borderId="0" xfId="0" applyFont="1" applyAlignment="1" applyProtection="1">
      <alignment horizontal="center" vertical="center"/>
      <protection hidden="1"/>
    </xf>
    <xf numFmtId="164" fontId="50" fillId="0" borderId="0" xfId="0" applyNumberFormat="1" applyFont="1" applyAlignment="1" applyProtection="1">
      <alignment horizontal="right" vertical="center"/>
      <protection hidden="1"/>
    </xf>
    <xf numFmtId="1" fontId="51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50" fillId="0" borderId="0" xfId="0" quotePrefix="1" applyNumberFormat="1" applyFont="1" applyAlignment="1" applyProtection="1">
      <alignment horizontal="center" vertical="center"/>
      <protection hidden="1"/>
    </xf>
    <xf numFmtId="165" fontId="50" fillId="0" borderId="0" xfId="0" quotePrefix="1" applyNumberFormat="1" applyFont="1" applyAlignment="1" applyProtection="1">
      <alignment vertical="center"/>
      <protection hidden="1"/>
    </xf>
    <xf numFmtId="165" fontId="50" fillId="0" borderId="0" xfId="0" applyNumberFormat="1" applyFont="1" applyAlignment="1" applyProtection="1">
      <alignment horizontal="left" vertical="center"/>
      <protection hidden="1"/>
    </xf>
    <xf numFmtId="0" fontId="50" fillId="0" borderId="0" xfId="0" quotePrefix="1" applyFont="1" applyAlignment="1" applyProtection="1">
      <alignment vertical="center"/>
      <protection hidden="1"/>
    </xf>
    <xf numFmtId="0" fontId="1" fillId="7" borderId="24" xfId="0" applyFont="1" applyFill="1" applyBorder="1" applyProtection="1">
      <protection locked="0"/>
    </xf>
    <xf numFmtId="0" fontId="26" fillId="0" borderId="0" xfId="0" applyFont="1" applyAlignment="1" applyProtection="1">
      <alignment horizontal="left" vertical="center"/>
      <protection hidden="1"/>
    </xf>
    <xf numFmtId="0" fontId="54" fillId="7" borderId="33" xfId="0" applyFont="1" applyFill="1" applyBorder="1" applyAlignment="1">
      <alignment horizontal="center" vertical="top" wrapText="1"/>
    </xf>
    <xf numFmtId="0" fontId="54" fillId="7" borderId="33" xfId="0" applyFont="1" applyFill="1" applyBorder="1" applyAlignment="1">
      <alignment horizontal="left" vertical="top" wrapText="1" indent="6"/>
    </xf>
    <xf numFmtId="0" fontId="54" fillId="7" borderId="33" xfId="0" applyFont="1" applyFill="1" applyBorder="1" applyAlignment="1">
      <alignment horizontal="left" vertical="top" wrapText="1" indent="2"/>
    </xf>
    <xf numFmtId="0" fontId="54" fillId="7" borderId="33" xfId="0" applyFont="1" applyFill="1" applyBorder="1" applyAlignment="1">
      <alignment horizontal="left" vertical="top" wrapText="1" indent="3"/>
    </xf>
    <xf numFmtId="0" fontId="55" fillId="7" borderId="17" xfId="0" applyFont="1" applyFill="1" applyBorder="1" applyAlignment="1">
      <alignment horizontal="left" vertical="center" wrapText="1"/>
    </xf>
    <xf numFmtId="0" fontId="55" fillId="7" borderId="18" xfId="0" applyFont="1" applyFill="1" applyBorder="1" applyAlignment="1">
      <alignment horizontal="center" vertical="center" wrapText="1"/>
    </xf>
    <xf numFmtId="0" fontId="55" fillId="7" borderId="18" xfId="0" applyFont="1" applyFill="1" applyBorder="1" applyAlignment="1">
      <alignment horizontal="left" vertical="center" wrapText="1"/>
    </xf>
    <xf numFmtId="0" fontId="55" fillId="7" borderId="19" xfId="0" applyFont="1" applyFill="1" applyBorder="1" applyAlignment="1">
      <alignment horizontal="left" vertical="center" wrapText="1"/>
    </xf>
    <xf numFmtId="0" fontId="47" fillId="0" borderId="0" xfId="0" applyFont="1" applyAlignment="1" applyProtection="1">
      <alignment vertical="center"/>
      <protection hidden="1"/>
    </xf>
    <xf numFmtId="165" fontId="47" fillId="0" borderId="0" xfId="0" applyNumberFormat="1" applyFont="1" applyAlignment="1" applyProtection="1">
      <alignment horizontal="center" vertical="center"/>
      <protection hidden="1"/>
    </xf>
    <xf numFmtId="0" fontId="47" fillId="0" borderId="0" xfId="0" applyFont="1" applyAlignment="1" applyProtection="1">
      <alignment horizontal="center" vertical="center"/>
      <protection hidden="1"/>
    </xf>
    <xf numFmtId="1" fontId="57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47" fillId="0" borderId="0" xfId="0" quotePrefix="1" applyNumberFormat="1" applyFont="1" applyAlignment="1" applyProtection="1">
      <alignment vertical="center"/>
      <protection hidden="1"/>
    </xf>
    <xf numFmtId="0" fontId="47" fillId="0" borderId="0" xfId="0" applyFont="1" applyAlignment="1" applyProtection="1">
      <alignment horizontal="left" vertical="center"/>
      <protection hidden="1"/>
    </xf>
    <xf numFmtId="0" fontId="47" fillId="0" borderId="0" xfId="0" quotePrefix="1" applyFont="1" applyAlignment="1" applyProtection="1">
      <alignment vertical="center"/>
      <protection hidden="1"/>
    </xf>
    <xf numFmtId="0" fontId="54" fillId="7" borderId="32" xfId="0" applyFont="1" applyFill="1" applyBorder="1" applyAlignment="1">
      <alignment horizontal="left" vertical="top" wrapText="1"/>
    </xf>
    <xf numFmtId="0" fontId="54" fillId="7" borderId="32" xfId="0" applyFont="1" applyFill="1" applyBorder="1" applyAlignment="1">
      <alignment horizontal="right" vertical="top" wrapText="1"/>
    </xf>
    <xf numFmtId="165" fontId="47" fillId="0" borderId="0" xfId="0" applyNumberFormat="1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left" vertical="top"/>
      <protection locked="0"/>
    </xf>
    <xf numFmtId="0" fontId="1" fillId="0" borderId="0" xfId="0" applyFont="1"/>
    <xf numFmtId="0" fontId="58" fillId="13" borderId="34" xfId="0" applyFont="1" applyFill="1" applyBorder="1" applyAlignment="1">
      <alignment horizontal="center" vertical="top" wrapText="1"/>
    </xf>
    <xf numFmtId="0" fontId="58" fillId="13" borderId="35" xfId="0" applyFont="1" applyFill="1" applyBorder="1" applyAlignment="1">
      <alignment horizontal="left" vertical="top" wrapText="1" indent="2"/>
    </xf>
    <xf numFmtId="0" fontId="0" fillId="13" borderId="35" xfId="0" applyFill="1" applyBorder="1" applyAlignment="1">
      <alignment horizontal="left" vertical="center" wrapText="1"/>
    </xf>
    <xf numFmtId="0" fontId="58" fillId="13" borderId="35" xfId="0" applyFont="1" applyFill="1" applyBorder="1" applyAlignment="1">
      <alignment horizontal="left" vertical="top" wrapText="1" indent="3"/>
    </xf>
    <xf numFmtId="0" fontId="58" fillId="13" borderId="35" xfId="0" applyFont="1" applyFill="1" applyBorder="1" applyAlignment="1">
      <alignment horizontal="left" vertical="top" wrapText="1" indent="5"/>
    </xf>
    <xf numFmtId="0" fontId="58" fillId="13" borderId="35" xfId="0" applyFont="1" applyFill="1" applyBorder="1" applyAlignment="1">
      <alignment horizontal="center" vertical="top" wrapText="1"/>
    </xf>
    <xf numFmtId="0" fontId="58" fillId="13" borderId="36" xfId="0" applyFont="1" applyFill="1" applyBorder="1" applyAlignment="1">
      <alignment horizontal="right" vertical="top" wrapText="1" indent="3"/>
    </xf>
    <xf numFmtId="0" fontId="60" fillId="7" borderId="37" xfId="0" applyFont="1" applyFill="1" applyBorder="1" applyAlignment="1">
      <alignment horizontal="center" vertical="top" wrapText="1"/>
    </xf>
    <xf numFmtId="0" fontId="60" fillId="7" borderId="37" xfId="0" applyFont="1" applyFill="1" applyBorder="1" applyAlignment="1">
      <alignment horizontal="left" vertical="top" wrapText="1" indent="1"/>
    </xf>
    <xf numFmtId="0" fontId="60" fillId="7" borderId="37" xfId="0" applyFont="1" applyFill="1" applyBorder="1" applyAlignment="1">
      <alignment horizontal="left" vertical="top" wrapText="1" indent="2"/>
    </xf>
    <xf numFmtId="0" fontId="61" fillId="53" borderId="1" xfId="0" applyFont="1" applyFill="1" applyBorder="1" applyAlignment="1">
      <alignment horizontal="center" vertical="top" wrapText="1"/>
    </xf>
    <xf numFmtId="0" fontId="61" fillId="53" borderId="1" xfId="0" applyFont="1" applyFill="1" applyBorder="1" applyAlignment="1">
      <alignment vertical="top" wrapText="1"/>
    </xf>
    <xf numFmtId="14" fontId="0" fillId="0" borderId="1" xfId="0" applyNumberFormat="1" applyBorder="1" applyAlignment="1" applyProtection="1">
      <alignment horizontal="center" vertical="center"/>
      <protection hidden="1"/>
    </xf>
    <xf numFmtId="14" fontId="2" fillId="7" borderId="1" xfId="0" quotePrefix="1" applyNumberFormat="1" applyFont="1" applyFill="1" applyBorder="1" applyAlignment="1" applyProtection="1">
      <alignment horizontal="left"/>
      <protection hidden="1"/>
    </xf>
    <xf numFmtId="14" fontId="0" fillId="11" borderId="16" xfId="0" applyNumberFormat="1" applyFill="1" applyBorder="1" applyAlignment="1" applyProtection="1">
      <alignment horizontal="center" vertical="center"/>
      <protection locked="0"/>
    </xf>
    <xf numFmtId="14" fontId="61" fillId="53" borderId="1" xfId="0" applyNumberFormat="1" applyFont="1" applyFill="1" applyBorder="1" applyAlignment="1">
      <alignment vertical="top" wrapText="1"/>
    </xf>
    <xf numFmtId="14" fontId="0" fillId="0" borderId="0" xfId="0" applyNumberFormat="1" applyProtection="1">
      <protection locked="0"/>
    </xf>
    <xf numFmtId="0" fontId="55" fillId="7" borderId="17" xfId="0" applyFont="1" applyFill="1" applyBorder="1" applyAlignment="1">
      <alignment horizontal="center" vertical="center" wrapText="1"/>
    </xf>
    <xf numFmtId="0" fontId="55" fillId="7" borderId="19" xfId="0" applyFont="1" applyFill="1" applyBorder="1" applyAlignment="1">
      <alignment horizontal="center" vertical="center" wrapText="1"/>
    </xf>
    <xf numFmtId="0" fontId="0" fillId="7" borderId="23" xfId="0" applyFill="1" applyBorder="1" applyAlignment="1" applyProtection="1">
      <alignment horizontal="center"/>
      <protection locked="0"/>
    </xf>
    <xf numFmtId="0" fontId="0" fillId="7" borderId="24" xfId="0" applyFill="1" applyBorder="1" applyAlignment="1" applyProtection="1">
      <alignment horizontal="center"/>
      <protection locked="0"/>
    </xf>
    <xf numFmtId="0" fontId="64" fillId="7" borderId="14" xfId="0" applyFont="1" applyFill="1" applyBorder="1" applyAlignment="1">
      <alignment horizontal="center" vertical="top" wrapText="1"/>
    </xf>
    <xf numFmtId="0" fontId="65" fillId="7" borderId="14" xfId="0" applyFont="1" applyFill="1" applyBorder="1" applyAlignment="1">
      <alignment horizontal="center" vertical="top" wrapText="1"/>
    </xf>
    <xf numFmtId="0" fontId="66" fillId="7" borderId="23" xfId="0" applyFont="1" applyFill="1" applyBorder="1" applyAlignment="1">
      <alignment horizontal="left" vertical="center" wrapText="1" indent="1"/>
    </xf>
    <xf numFmtId="0" fontId="66" fillId="7" borderId="24" xfId="0" applyFont="1" applyFill="1" applyBorder="1" applyAlignment="1">
      <alignment horizontal="left" vertical="center" wrapText="1"/>
    </xf>
    <xf numFmtId="0" fontId="66" fillId="7" borderId="24" xfId="0" applyFont="1" applyFill="1" applyBorder="1" applyAlignment="1">
      <alignment horizontal="right" vertical="center" wrapText="1" indent="1"/>
    </xf>
    <xf numFmtId="0" fontId="66" fillId="7" borderId="24" xfId="0" applyFont="1" applyFill="1" applyBorder="1" applyAlignment="1">
      <alignment horizontal="right" vertical="center" wrapText="1"/>
    </xf>
    <xf numFmtId="0" fontId="66" fillId="7" borderId="25" xfId="0" applyFont="1" applyFill="1" applyBorder="1" applyAlignment="1">
      <alignment horizontal="right" vertical="center" wrapText="1" indent="1"/>
    </xf>
    <xf numFmtId="0" fontId="0" fillId="11" borderId="16" xfId="0" applyFill="1" applyBorder="1" applyAlignment="1" applyProtection="1">
      <alignment horizontal="left"/>
      <protection locked="0"/>
    </xf>
    <xf numFmtId="0" fontId="0" fillId="11" borderId="16" xfId="0" applyFill="1" applyBorder="1" applyAlignment="1" applyProtection="1">
      <alignment horizontal="left" vertical="center"/>
      <protection locked="0"/>
    </xf>
    <xf numFmtId="0" fontId="67" fillId="54" borderId="23" xfId="0" applyFont="1" applyFill="1" applyBorder="1" applyAlignment="1">
      <alignment horizontal="center" vertical="center" wrapText="1"/>
    </xf>
    <xf numFmtId="0" fontId="67" fillId="54" borderId="24" xfId="0" applyFont="1" applyFill="1" applyBorder="1" applyAlignment="1">
      <alignment horizontal="center" vertical="center" wrapText="1"/>
    </xf>
    <xf numFmtId="0" fontId="67" fillId="54" borderId="25" xfId="0" applyFont="1" applyFill="1" applyBorder="1" applyAlignment="1">
      <alignment horizontal="center" vertical="center" wrapText="1"/>
    </xf>
    <xf numFmtId="0" fontId="60" fillId="13" borderId="23" xfId="0" applyFont="1" applyFill="1" applyBorder="1" applyAlignment="1">
      <alignment horizontal="center" vertical="center" wrapText="1"/>
    </xf>
    <xf numFmtId="0" fontId="60" fillId="13" borderId="24" xfId="0" applyFont="1" applyFill="1" applyBorder="1" applyAlignment="1">
      <alignment horizontal="center" vertical="center" wrapText="1"/>
    </xf>
    <xf numFmtId="0" fontId="60" fillId="13" borderId="25" xfId="0" applyFont="1" applyFill="1" applyBorder="1" applyAlignment="1">
      <alignment horizontal="center" vertical="center" wrapText="1"/>
    </xf>
    <xf numFmtId="0" fontId="68" fillId="13" borderId="23" xfId="0" applyFont="1" applyFill="1" applyBorder="1" applyAlignment="1">
      <alignment horizontal="center" vertical="top"/>
    </xf>
    <xf numFmtId="0" fontId="68" fillId="13" borderId="24" xfId="0" applyFont="1" applyFill="1" applyBorder="1" applyAlignment="1">
      <alignment horizontal="left" vertical="top"/>
    </xf>
    <xf numFmtId="0" fontId="68" fillId="13" borderId="24" xfId="0" applyFont="1" applyFill="1" applyBorder="1" applyAlignment="1">
      <alignment horizontal="center" vertical="top"/>
    </xf>
    <xf numFmtId="0" fontId="68" fillId="13" borderId="25" xfId="0" applyFont="1" applyFill="1" applyBorder="1" applyAlignment="1">
      <alignment horizontal="left" vertical="top"/>
    </xf>
    <xf numFmtId="0" fontId="54" fillId="13" borderId="23" xfId="0" applyFont="1" applyFill="1" applyBorder="1" applyAlignment="1">
      <alignment horizontal="center" vertical="center"/>
    </xf>
    <xf numFmtId="0" fontId="54" fillId="13" borderId="24" xfId="0" applyFont="1" applyFill="1" applyBorder="1" applyAlignment="1">
      <alignment horizontal="center" vertical="center"/>
    </xf>
    <xf numFmtId="0" fontId="54" fillId="13" borderId="25" xfId="0" applyFont="1" applyFill="1" applyBorder="1" applyAlignment="1">
      <alignment horizontal="center" vertical="center"/>
    </xf>
    <xf numFmtId="0" fontId="0" fillId="13" borderId="3" xfId="0" applyFill="1" applyBorder="1" applyAlignment="1" applyProtection="1">
      <alignment horizontal="center" vertical="center"/>
      <protection locked="0"/>
    </xf>
    <xf numFmtId="0" fontId="0" fillId="13" borderId="19" xfId="0" applyFill="1" applyBorder="1" applyProtection="1">
      <protection locked="0"/>
    </xf>
    <xf numFmtId="0" fontId="5" fillId="6" borderId="0" xfId="0" applyFont="1" applyFill="1" applyAlignment="1" applyProtection="1">
      <alignment vertical="center"/>
      <protection hidden="1"/>
    </xf>
    <xf numFmtId="165" fontId="5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164" fontId="5" fillId="6" borderId="0" xfId="0" applyNumberFormat="1" applyFont="1" applyFill="1" applyAlignment="1" applyProtection="1">
      <alignment horizontal="right" vertical="center"/>
      <protection hidden="1"/>
    </xf>
    <xf numFmtId="1" fontId="6" fillId="6" borderId="0" xfId="1" applyNumberFormat="1" applyFont="1" applyFill="1" applyBorder="1" applyAlignment="1" applyProtection="1">
      <alignment horizontal="center" vertical="center" wrapText="1"/>
      <protection hidden="1"/>
    </xf>
    <xf numFmtId="165" fontId="5" fillId="6" borderId="0" xfId="0" quotePrefix="1" applyNumberFormat="1" applyFont="1" applyFill="1" applyAlignment="1" applyProtection="1">
      <alignment vertical="center"/>
      <protection hidden="1"/>
    </xf>
    <xf numFmtId="0" fontId="5" fillId="6" borderId="0" xfId="0" applyFont="1" applyFill="1" applyAlignment="1" applyProtection="1">
      <alignment horizontal="left" vertical="center"/>
      <protection hidden="1"/>
    </xf>
    <xf numFmtId="0" fontId="5" fillId="6" borderId="0" xfId="0" quotePrefix="1" applyFont="1" applyFill="1" applyAlignment="1" applyProtection="1">
      <alignment vertical="center"/>
      <protection hidden="1"/>
    </xf>
    <xf numFmtId="0" fontId="70" fillId="7" borderId="24" xfId="0" applyFont="1" applyFill="1" applyBorder="1" applyAlignment="1">
      <alignment horizontal="center" vertical="center" wrapText="1"/>
    </xf>
    <xf numFmtId="0" fontId="70" fillId="7" borderId="24" xfId="0" applyFont="1" applyFill="1" applyBorder="1" applyAlignment="1">
      <alignment horizontal="left" vertical="center" wrapText="1"/>
    </xf>
    <xf numFmtId="0" fontId="70" fillId="7" borderId="25" xfId="0" applyFont="1" applyFill="1" applyBorder="1" applyAlignment="1">
      <alignment horizontal="center" vertical="center" wrapText="1"/>
    </xf>
    <xf numFmtId="166" fontId="0" fillId="0" borderId="1" xfId="0" applyNumberFormat="1" applyBorder="1" applyAlignment="1" applyProtection="1">
      <alignment horizontal="center" vertical="center"/>
      <protection hidden="1"/>
    </xf>
    <xf numFmtId="166" fontId="2" fillId="7" borderId="1" xfId="0" quotePrefix="1" applyNumberFormat="1" applyFont="1" applyFill="1" applyBorder="1" applyAlignment="1" applyProtection="1">
      <alignment horizontal="left"/>
      <protection hidden="1"/>
    </xf>
    <xf numFmtId="166" fontId="0" fillId="11" borderId="16" xfId="0" applyNumberFormat="1" applyFill="1" applyBorder="1" applyProtection="1">
      <protection locked="0"/>
    </xf>
    <xf numFmtId="166" fontId="70" fillId="7" borderId="23" xfId="0" applyNumberFormat="1" applyFont="1" applyFill="1" applyBorder="1" applyAlignment="1">
      <alignment horizontal="center" vertical="center" wrapText="1"/>
    </xf>
    <xf numFmtId="166" fontId="0" fillId="0" borderId="0" xfId="0" applyNumberFormat="1" applyProtection="1">
      <protection locked="0"/>
    </xf>
    <xf numFmtId="0" fontId="0" fillId="13" borderId="23" xfId="0" applyFill="1" applyBorder="1" applyProtection="1">
      <protection locked="0"/>
    </xf>
    <xf numFmtId="0" fontId="0" fillId="13" borderId="24" xfId="0" applyFill="1" applyBorder="1" applyProtection="1">
      <protection locked="0"/>
    </xf>
    <xf numFmtId="0" fontId="0" fillId="13" borderId="25" xfId="0" applyFill="1" applyBorder="1" applyProtection="1">
      <protection locked="0"/>
    </xf>
    <xf numFmtId="0" fontId="0" fillId="8" borderId="1" xfId="0" applyFill="1" applyBorder="1" applyProtection="1">
      <protection locked="0" hidden="1"/>
    </xf>
    <xf numFmtId="0" fontId="0" fillId="8" borderId="1" xfId="0" applyFill="1" applyBorder="1" applyAlignment="1" applyProtection="1">
      <alignment horizontal="center"/>
      <protection locked="0" hidden="1"/>
    </xf>
    <xf numFmtId="14" fontId="0" fillId="8" borderId="1" xfId="0" applyNumberFormat="1" applyFill="1" applyBorder="1" applyAlignment="1" applyProtection="1">
      <alignment horizontal="center"/>
      <protection locked="0" hidden="1"/>
    </xf>
    <xf numFmtId="0" fontId="0" fillId="4" borderId="30" xfId="0" applyFill="1" applyBorder="1" applyProtection="1">
      <protection locked="0"/>
    </xf>
    <xf numFmtId="0" fontId="0" fillId="4" borderId="31" xfId="0" applyFill="1" applyBorder="1" applyProtection="1">
      <protection locked="0"/>
    </xf>
    <xf numFmtId="0" fontId="0" fillId="4" borderId="31" xfId="0" applyFill="1" applyBorder="1"/>
    <xf numFmtId="0" fontId="0" fillId="8" borderId="42" xfId="0" applyFill="1" applyBorder="1" applyAlignment="1" applyProtection="1">
      <alignment vertical="center"/>
      <protection locked="0" hidden="1"/>
    </xf>
    <xf numFmtId="0" fontId="0" fillId="55" borderId="43" xfId="0" applyFill="1" applyBorder="1" applyAlignment="1" applyProtection="1">
      <alignment horizontal="center" vertical="center"/>
      <protection locked="0"/>
    </xf>
    <xf numFmtId="14" fontId="0" fillId="55" borderId="43" xfId="0" applyNumberFormat="1" applyFill="1" applyBorder="1" applyAlignment="1" applyProtection="1">
      <alignment horizontal="center" vertical="center"/>
      <protection locked="0"/>
    </xf>
    <xf numFmtId="0" fontId="0" fillId="15" borderId="26" xfId="0" applyFill="1" applyBorder="1"/>
    <xf numFmtId="0" fontId="0" fillId="15" borderId="27" xfId="0" applyFill="1" applyBorder="1"/>
    <xf numFmtId="0" fontId="0" fillId="15" borderId="29" xfId="0" applyFill="1" applyBorder="1"/>
    <xf numFmtId="0" fontId="0" fillId="15" borderId="30" xfId="0" applyFill="1" applyBorder="1" applyProtection="1">
      <protection locked="0"/>
    </xf>
    <xf numFmtId="0" fontId="0" fillId="15" borderId="0" xfId="0" applyFill="1" applyProtection="1">
      <protection locked="0"/>
    </xf>
    <xf numFmtId="0" fontId="0" fillId="15" borderId="31" xfId="0" applyFill="1" applyBorder="1" applyProtection="1">
      <protection locked="0"/>
    </xf>
    <xf numFmtId="0" fontId="0" fillId="15" borderId="30" xfId="0" applyFill="1" applyBorder="1"/>
    <xf numFmtId="0" fontId="0" fillId="15" borderId="0" xfId="0" applyFill="1"/>
    <xf numFmtId="0" fontId="0" fillId="15" borderId="31" xfId="0" applyFill="1" applyBorder="1"/>
    <xf numFmtId="0" fontId="0" fillId="15" borderId="44" xfId="0" applyFill="1" applyBorder="1"/>
    <xf numFmtId="0" fontId="0" fillId="15" borderId="45" xfId="0" applyFill="1" applyBorder="1"/>
    <xf numFmtId="0" fontId="0" fillId="15" borderId="46" xfId="0" applyFill="1" applyBorder="1"/>
    <xf numFmtId="167" fontId="73" fillId="0" borderId="32" xfId="44" applyNumberFormat="1" applyFont="1" applyBorder="1" applyAlignment="1" applyProtection="1">
      <alignment horizontal="right" vertical="top" shrinkToFit="1"/>
      <protection locked="0"/>
    </xf>
    <xf numFmtId="167" fontId="73" fillId="0" borderId="32" xfId="44" applyNumberFormat="1" applyFont="1" applyBorder="1" applyAlignment="1" applyProtection="1">
      <alignment horizontal="center" vertical="top" shrinkToFit="1"/>
      <protection locked="0"/>
    </xf>
    <xf numFmtId="0" fontId="74" fillId="0" borderId="34" xfId="44" applyFont="1" applyBorder="1" applyAlignment="1" applyProtection="1">
      <alignment horizontal="left" vertical="top"/>
      <protection locked="0"/>
    </xf>
    <xf numFmtId="0" fontId="74" fillId="0" borderId="36" xfId="44" applyFont="1" applyBorder="1" applyAlignment="1" applyProtection="1">
      <alignment horizontal="left" vertical="top"/>
      <protection locked="0"/>
    </xf>
    <xf numFmtId="0" fontId="74" fillId="0" borderId="34" xfId="44" applyFont="1" applyBorder="1" applyAlignment="1" applyProtection="1">
      <alignment horizontal="right" vertical="top"/>
      <protection locked="0"/>
    </xf>
    <xf numFmtId="0" fontId="74" fillId="0" borderId="36" xfId="44" applyFont="1" applyBorder="1" applyAlignment="1" applyProtection="1">
      <alignment horizontal="right" vertical="top"/>
      <protection locked="0"/>
    </xf>
    <xf numFmtId="0" fontId="33" fillId="0" borderId="32" xfId="44" applyBorder="1" applyAlignment="1" applyProtection="1">
      <alignment horizontal="left" vertical="top"/>
      <protection locked="0"/>
    </xf>
    <xf numFmtId="2" fontId="73" fillId="0" borderId="32" xfId="44" applyNumberFormat="1" applyFont="1" applyBorder="1" applyAlignment="1" applyProtection="1">
      <alignment horizontal="left" vertical="top" shrinkToFit="1"/>
      <protection locked="0"/>
    </xf>
    <xf numFmtId="0" fontId="74" fillId="0" borderId="34" xfId="44" applyFont="1" applyBorder="1" applyAlignment="1" applyProtection="1">
      <alignment horizontal="center" vertical="top"/>
      <protection locked="0"/>
    </xf>
    <xf numFmtId="0" fontId="74" fillId="0" borderId="36" xfId="44" applyFont="1" applyBorder="1" applyAlignment="1" applyProtection="1">
      <alignment horizontal="center" vertical="top"/>
      <protection locked="0"/>
    </xf>
    <xf numFmtId="0" fontId="31" fillId="0" borderId="1" xfId="0" applyFont="1" applyBorder="1" applyAlignment="1" applyProtection="1">
      <alignment vertical="center"/>
      <protection locked="0" hidden="1"/>
    </xf>
    <xf numFmtId="165" fontId="31" fillId="0" borderId="1" xfId="0" applyNumberFormat="1" applyFont="1" applyBorder="1" applyAlignment="1" applyProtection="1">
      <alignment horizontal="center" vertical="center"/>
      <protection locked="0" hidden="1"/>
    </xf>
    <xf numFmtId="0" fontId="31" fillId="0" borderId="1" xfId="0" applyFont="1" applyBorder="1" applyAlignment="1" applyProtection="1">
      <alignment horizontal="center" vertical="center"/>
      <protection locked="0" hidden="1"/>
    </xf>
    <xf numFmtId="164" fontId="31" fillId="0" borderId="1" xfId="0" applyNumberFormat="1" applyFont="1" applyBorder="1" applyAlignment="1" applyProtection="1">
      <alignment horizontal="right" vertical="center"/>
      <protection locked="0" hidden="1"/>
    </xf>
    <xf numFmtId="1" fontId="76" fillId="0" borderId="1" xfId="1" applyNumberFormat="1" applyFont="1" applyFill="1" applyBorder="1" applyAlignment="1" applyProtection="1">
      <alignment horizontal="center" vertical="center" wrapText="1"/>
      <protection locked="0" hidden="1"/>
    </xf>
    <xf numFmtId="165" fontId="31" fillId="0" borderId="1" xfId="0" quotePrefix="1" applyNumberFormat="1" applyFont="1" applyBorder="1" applyAlignment="1" applyProtection="1">
      <alignment vertical="center"/>
      <protection locked="0" hidden="1"/>
    </xf>
    <xf numFmtId="0" fontId="31" fillId="0" borderId="1" xfId="0" applyFont="1" applyBorder="1" applyAlignment="1" applyProtection="1">
      <alignment horizontal="left" vertical="center"/>
      <protection locked="0" hidden="1"/>
    </xf>
    <xf numFmtId="0" fontId="31" fillId="0" borderId="1" xfId="0" quotePrefix="1" applyFont="1" applyBorder="1" applyAlignment="1" applyProtection="1">
      <alignment vertical="center"/>
      <protection locked="0" hidden="1"/>
    </xf>
    <xf numFmtId="0" fontId="33" fillId="0" borderId="32" xfId="44" applyBorder="1" applyAlignment="1" applyProtection="1">
      <alignment horizontal="left" vertical="center"/>
      <protection locked="0"/>
    </xf>
    <xf numFmtId="2" fontId="73" fillId="0" borderId="32" xfId="44" applyNumberFormat="1" applyFont="1" applyBorder="1" applyAlignment="1" applyProtection="1">
      <alignment horizontal="center" vertical="top" shrinkToFit="1"/>
      <protection locked="0"/>
    </xf>
    <xf numFmtId="168" fontId="73" fillId="0" borderId="34" xfId="44" applyNumberFormat="1" applyFont="1" applyBorder="1" applyAlignment="1" applyProtection="1">
      <alignment horizontal="center" vertical="top" shrinkToFit="1"/>
      <protection locked="0"/>
    </xf>
    <xf numFmtId="168" fontId="73" fillId="0" borderId="36" xfId="44" applyNumberFormat="1" applyFont="1" applyBorder="1" applyAlignment="1" applyProtection="1">
      <alignment horizontal="center" vertical="top" shrinkToFit="1"/>
      <protection locked="0"/>
    </xf>
    <xf numFmtId="0" fontId="33" fillId="0" borderId="34" xfId="44" applyBorder="1" applyAlignment="1" applyProtection="1">
      <alignment horizontal="left" vertical="top"/>
      <protection locked="0"/>
    </xf>
    <xf numFmtId="0" fontId="33" fillId="0" borderId="36" xfId="44" applyBorder="1" applyAlignment="1" applyProtection="1">
      <alignment horizontal="left" vertical="top"/>
      <protection locked="0"/>
    </xf>
    <xf numFmtId="0" fontId="54" fillId="7" borderId="32" xfId="44" applyFont="1" applyFill="1" applyBorder="1" applyAlignment="1">
      <alignment horizontal="center" vertical="center" wrapText="1"/>
    </xf>
    <xf numFmtId="0" fontId="54" fillId="7" borderId="34" xfId="44" applyFont="1" applyFill="1" applyBorder="1" applyAlignment="1">
      <alignment horizontal="center" vertical="center" wrapText="1"/>
    </xf>
    <xf numFmtId="0" fontId="54" fillId="7" borderId="36" xfId="44" applyFont="1" applyFill="1" applyBorder="1" applyAlignment="1">
      <alignment horizontal="center" vertical="center" wrapText="1"/>
    </xf>
    <xf numFmtId="0" fontId="10" fillId="50" borderId="48" xfId="0" applyFont="1" applyFill="1" applyBorder="1" applyAlignment="1">
      <alignment wrapText="1"/>
    </xf>
    <xf numFmtId="0" fontId="10" fillId="50" borderId="45" xfId="0" applyFont="1" applyFill="1" applyBorder="1" applyAlignment="1">
      <alignment vertical="top"/>
    </xf>
    <xf numFmtId="0" fontId="10" fillId="50" borderId="45" xfId="0" applyFont="1" applyFill="1" applyBorder="1" applyAlignment="1">
      <alignment horizontal="left" vertical="center"/>
    </xf>
    <xf numFmtId="0" fontId="2" fillId="7" borderId="53" xfId="0" applyFont="1" applyFill="1" applyBorder="1" applyAlignment="1" applyProtection="1">
      <alignment horizontal="center"/>
      <protection locked="0"/>
    </xf>
    <xf numFmtId="164" fontId="2" fillId="7" borderId="53" xfId="0" applyNumberFormat="1" applyFont="1" applyFill="1" applyBorder="1" applyAlignment="1" applyProtection="1">
      <alignment horizontal="center"/>
      <protection locked="0"/>
    </xf>
    <xf numFmtId="0" fontId="41" fillId="7" borderId="47" xfId="0" applyFont="1" applyFill="1" applyBorder="1" applyAlignment="1">
      <alignment wrapText="1"/>
    </xf>
    <xf numFmtId="0" fontId="41" fillId="7" borderId="48" xfId="0" applyFont="1" applyFill="1" applyBorder="1" applyAlignment="1">
      <alignment horizontal="left"/>
    </xf>
    <xf numFmtId="0" fontId="41" fillId="7" borderId="51" xfId="0" applyFont="1" applyFill="1" applyBorder="1" applyAlignment="1">
      <alignment wrapText="1"/>
    </xf>
    <xf numFmtId="0" fontId="41" fillId="7" borderId="49" xfId="0" applyFont="1" applyFill="1" applyBorder="1" applyAlignment="1">
      <alignment vertical="top" wrapText="1"/>
    </xf>
    <xf numFmtId="0" fontId="41" fillId="7" borderId="50" xfId="0" applyFont="1" applyFill="1" applyBorder="1" applyAlignment="1">
      <alignment horizontal="left" vertical="top"/>
    </xf>
    <xf numFmtId="0" fontId="41" fillId="7" borderId="52" xfId="0" applyFont="1" applyFill="1" applyBorder="1" applyAlignment="1">
      <alignment vertical="top" wrapText="1"/>
    </xf>
    <xf numFmtId="0" fontId="60" fillId="13" borderId="24" xfId="0" applyFont="1" applyFill="1" applyBorder="1" applyAlignment="1">
      <alignment horizontal="center" vertical="center" wrapText="1"/>
    </xf>
    <xf numFmtId="0" fontId="60" fillId="7" borderId="38" xfId="0" applyFont="1" applyFill="1" applyBorder="1" applyAlignment="1">
      <alignment horizontal="left" vertical="top" wrapText="1" indent="5"/>
    </xf>
    <xf numFmtId="0" fontId="60" fillId="7" borderId="39" xfId="0" applyFont="1" applyFill="1" applyBorder="1" applyAlignment="1">
      <alignment horizontal="left" vertical="top" wrapText="1" indent="5"/>
    </xf>
    <xf numFmtId="0" fontId="66" fillId="7" borderId="24" xfId="0" applyFont="1" applyFill="1" applyBorder="1" applyAlignment="1">
      <alignment horizontal="left" vertical="center" wrapText="1" indent="1"/>
    </xf>
    <xf numFmtId="0" fontId="66" fillId="7" borderId="24" xfId="0" applyFont="1" applyFill="1" applyBorder="1" applyAlignment="1">
      <alignment horizontal="left" vertical="center" wrapText="1"/>
    </xf>
    <xf numFmtId="0" fontId="8" fillId="7" borderId="24" xfId="0" applyFont="1" applyFill="1" applyBorder="1" applyAlignment="1">
      <alignment horizontal="left" vertical="top" wrapText="1"/>
    </xf>
    <xf numFmtId="0" fontId="64" fillId="7" borderId="40" xfId="0" applyFont="1" applyFill="1" applyBorder="1" applyAlignment="1">
      <alignment horizontal="center" vertical="top" wrapText="1"/>
    </xf>
    <xf numFmtId="0" fontId="64" fillId="7" borderId="41" xfId="0" applyFont="1" applyFill="1" applyBorder="1" applyAlignment="1">
      <alignment horizontal="center" vertical="top" wrapText="1"/>
    </xf>
    <xf numFmtId="0" fontId="9" fillId="12" borderId="4" xfId="0" applyFont="1" applyFill="1" applyBorder="1" applyAlignment="1" applyProtection="1">
      <alignment horizontal="left" vertical="center" wrapText="1"/>
      <protection locked="0"/>
    </xf>
    <xf numFmtId="0" fontId="9" fillId="12" borderId="4" xfId="0" applyFont="1" applyFill="1" applyBorder="1" applyAlignment="1" applyProtection="1">
      <alignment horizontal="center" vertical="center" wrapText="1"/>
      <protection locked="0"/>
    </xf>
    <xf numFmtId="0" fontId="40" fillId="7" borderId="24" xfId="0" applyFont="1" applyFill="1" applyBorder="1" applyAlignment="1">
      <alignment horizontal="center" vertical="center" wrapText="1"/>
    </xf>
    <xf numFmtId="0" fontId="72" fillId="4" borderId="26" xfId="0" applyFont="1" applyFill="1" applyBorder="1" applyAlignment="1" applyProtection="1">
      <alignment horizontal="center" vertical="center"/>
      <protection locked="0"/>
    </xf>
    <xf numFmtId="0" fontId="72" fillId="4" borderId="29" xfId="0" applyFont="1" applyFill="1" applyBorder="1" applyAlignment="1" applyProtection="1">
      <alignment horizontal="center" vertical="center"/>
      <protection locked="0"/>
    </xf>
  </cellXfs>
  <cellStyles count="48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1" xr:uid="{00000000-0005-0000-0000-000025000000}"/>
    <cellStyle name="Normal 3" xfId="43" xr:uid="{00000000-0005-0000-0000-000026000000}"/>
    <cellStyle name="Normal 4" xfId="44" xr:uid="{00000000-0005-0000-0000-000027000000}"/>
    <cellStyle name="Normal 5" xfId="45" xr:uid="{00000000-0005-0000-0000-000028000000}"/>
    <cellStyle name="Normal 6" xfId="46" xr:uid="{00000000-0005-0000-0000-000029000000}"/>
    <cellStyle name="Normal 7" xfId="47" xr:uid="{00000000-0005-0000-0000-00002A000000}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60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FF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CheckBox" checked="Checked" fmlaLink="M9" lockText="1" noThreeD="1"/>
</file>

<file path=xl/ctrlProps/ctrlProp2.xml><?xml version="1.0" encoding="utf-8"?>
<formControlPr xmlns="http://schemas.microsoft.com/office/spreadsheetml/2009/9/main" objectType="CheckBox" checked="Checked" fmlaLink="M10" lockText="1" noThreeD="1"/>
</file>

<file path=xl/ctrlProps/ctrlProp3.xml><?xml version="1.0" encoding="utf-8"?>
<formControlPr xmlns="http://schemas.microsoft.com/office/spreadsheetml/2009/9/main" objectType="CheckBox" checked="Checked" fmlaLink="M11" lockText="1" noThreeD="1"/>
</file>

<file path=xl/ctrlProps/ctrlProp4.xml><?xml version="1.0" encoding="utf-8"?>
<formControlPr xmlns="http://schemas.microsoft.com/office/spreadsheetml/2009/9/main" objectType="CheckBox" fmlaLink="M12" lockText="1" noThreeD="1"/>
</file>

<file path=xl/ctrlProps/ctrlProp5.xml><?xml version="1.0" encoding="utf-8"?>
<formControlPr xmlns="http://schemas.microsoft.com/office/spreadsheetml/2009/9/main" objectType="CheckBox" checked="Checked" fmlaLink="M13" lockText="1" noThreeD="1"/>
</file>

<file path=xl/ctrlProps/ctrlProp6.xml><?xml version="1.0" encoding="utf-8"?>
<formControlPr xmlns="http://schemas.microsoft.com/office/spreadsheetml/2009/9/main" objectType="CheckBox" checked="Checked" fmlaLink="M14" lockText="1" noThreeD="1"/>
</file>

<file path=xl/ctrlProps/ctrlProp7.xml><?xml version="1.0" encoding="utf-8"?>
<formControlPr xmlns="http://schemas.microsoft.com/office/spreadsheetml/2009/9/main" objectType="CheckBox" fmlaLink="M15" lockText="1" noThreeD="1"/>
</file>

<file path=xl/ctrlProps/ctrlProp8.xml><?xml version="1.0" encoding="utf-8"?>
<formControlPr xmlns="http://schemas.microsoft.com/office/spreadsheetml/2009/9/main" objectType="CheckBox" fmlaLink="M16" lockText="1" noThreeD="1"/>
</file>

<file path=xl/ctrlProps/ctrlProp9.xml><?xml version="1.0" encoding="utf-8"?>
<formControlPr xmlns="http://schemas.microsoft.com/office/spreadsheetml/2009/9/main" objectType="CheckBox" fmlaLink="M17" lockText="1" noThreeD="1"/>
</file>

<file path=xl/ctrlProps/ctrlProp10.xml><?xml version="1.0" encoding="utf-8"?>
<formControlPr xmlns="http://schemas.microsoft.com/office/spreadsheetml/2009/9/main" objectType="CheckBox" checked="Checked" fmlaLink="M18" lockText="1" noThreeD="1"/>
</file>

<file path=xl/ctrlProps/ctrlProp11.xml><?xml version="1.0" encoding="utf-8"?>
<formControlPr xmlns="http://schemas.microsoft.com/office/spreadsheetml/2009/9/main" objectType="CheckBox" fmlaLink="M19" lockText="1" noThreeD="1"/>
</file>

<file path=xl/ctrlProps/ctrlProp12.xml><?xml version="1.0" encoding="utf-8"?>
<formControlPr xmlns="http://schemas.microsoft.com/office/spreadsheetml/2009/9/main" objectType="CheckBox" fmlaLink="M20" lockText="1" noThreeD="1"/>
</file>

<file path=xl/ctrlProps/ctrlProp13.xml><?xml version="1.0" encoding="utf-8"?>
<formControlPr xmlns="http://schemas.microsoft.com/office/spreadsheetml/2009/9/main" objectType="CheckBox" fmlaLink="M21" lockText="1" noThreeD="1"/>
</file>

<file path=xl/ctrlProps/ctrlProp14.xml><?xml version="1.0" encoding="utf-8"?>
<formControlPr xmlns="http://schemas.microsoft.com/office/spreadsheetml/2009/9/main" objectType="CheckBox" checked="Checked" fmlaLink="M22" lockText="1" noThreeD="1"/>
</file>

<file path=xl/ctrlProps/ctrlProp15.xml><?xml version="1.0" encoding="utf-8"?>
<formControlPr xmlns="http://schemas.microsoft.com/office/spreadsheetml/2009/9/main" objectType="CheckBox" fmlaLink="M23" lockText="1" noThreeD="1"/>
</file>

<file path=xl/ctrlProps/ctrlProp16.xml><?xml version="1.0" encoding="utf-8"?>
<formControlPr xmlns="http://schemas.microsoft.com/office/spreadsheetml/2009/9/main" objectType="CheckBox" fmlaLink="M24" lockText="1" noThreeD="1"/>
</file>

<file path=xl/ctrlProps/ctrlProp17.xml><?xml version="1.0" encoding="utf-8"?>
<formControlPr xmlns="http://schemas.microsoft.com/office/spreadsheetml/2009/9/main" objectType="CheckBox" fmlaLink="M25" lockText="1" noThreeD="1"/>
</file>

<file path=xl/ctrlProps/ctrlProp18.xml><?xml version="1.0" encoding="utf-8"?>
<formControlPr xmlns="http://schemas.microsoft.com/office/spreadsheetml/2009/9/main" objectType="CheckBox" fmlaLink="M26" lockText="1" noThreeD="1"/>
</file>

<file path=xl/ctrlProps/ctrlProp19.xml><?xml version="1.0" encoding="utf-8"?>
<formControlPr xmlns="http://schemas.microsoft.com/office/spreadsheetml/2009/9/main" objectType="CheckBox" fmlaLink="M27" lockText="1" noThreeD="1"/>
</file>

<file path=xl/ctrlProps/ctrlProp20.xml><?xml version="1.0" encoding="utf-8"?>
<formControlPr xmlns="http://schemas.microsoft.com/office/spreadsheetml/2009/9/main" objectType="CheckBox" checked="Checked" fmlaLink="M28" lockText="1" noThreeD="1"/>
</file>

<file path=xl/ctrlProps/ctrlProp21.xml><?xml version="1.0" encoding="utf-8"?>
<formControlPr xmlns="http://schemas.microsoft.com/office/spreadsheetml/2009/9/main" objectType="CheckBox" checked="Checked" fmlaLink="M29" lockText="1" noThreeD="1"/>
</file>

<file path=xl/ctrlProps/ctrlProp22.xml><?xml version="1.0" encoding="utf-8"?>
<formControlPr xmlns="http://schemas.microsoft.com/office/spreadsheetml/2009/9/main" objectType="CheckBox" checked="Checked" fmlaLink="M30" lockText="1" noThreeD="1"/>
</file>

<file path=xl/ctrlProps/ctrlProp23.xml><?xml version="1.0" encoding="utf-8"?>
<formControlPr xmlns="http://schemas.microsoft.com/office/spreadsheetml/2009/9/main" objectType="CheckBox" checked="Checked" fmlaLink="M31" lockText="1" noThreeD="1"/>
</file>

<file path=xl/ctrlProps/ctrlProp24.xml><?xml version="1.0" encoding="utf-8"?>
<formControlPr xmlns="http://schemas.microsoft.com/office/spreadsheetml/2009/9/main" objectType="CheckBox" fmlaLink="M32" lockText="1" noThreeD="1"/>
</file>

<file path=xl/ctrlProps/ctrlProp25.xml><?xml version="1.0" encoding="utf-8"?>
<formControlPr xmlns="http://schemas.microsoft.com/office/spreadsheetml/2009/9/main" objectType="CheckBox" fmlaLink="M33" lockText="1" noThreeD="1"/>
</file>

<file path=xl/ctrlProps/ctrlProp26.xml><?xml version="1.0" encoding="utf-8"?>
<formControlPr xmlns="http://schemas.microsoft.com/office/spreadsheetml/2009/9/main" objectType="CheckBox" fmlaLink="M34" lockText="1" noThreeD="1"/>
</file>

<file path=xl/ctrlProps/ctrlProp27.xml><?xml version="1.0" encoding="utf-8"?>
<formControlPr xmlns="http://schemas.microsoft.com/office/spreadsheetml/2009/9/main" objectType="CheckBox" fmlaLink="M35" lockText="1" noThreeD="1"/>
</file>

<file path=xl/ctrlProps/ctrlProp28.xml><?xml version="1.0" encoding="utf-8"?>
<formControlPr xmlns="http://schemas.microsoft.com/office/spreadsheetml/2009/9/main" objectType="CheckBox" fmlaLink="M36" lockText="1" noThreeD="1"/>
</file>

<file path=xl/ctrlProps/ctrlProp29.xml><?xml version="1.0" encoding="utf-8"?>
<formControlPr xmlns="http://schemas.microsoft.com/office/spreadsheetml/2009/9/main" objectType="CheckBox" fmlaLink="M37" lockText="1" noThreeD="1"/>
</file>

<file path=xl/ctrlProps/ctrlProp30.xml><?xml version="1.0" encoding="utf-8"?>
<formControlPr xmlns="http://schemas.microsoft.com/office/spreadsheetml/2009/9/main" objectType="CheckBox" fmlaLink="M38" lockText="1" noThreeD="1"/>
</file>

<file path=xl/ctrlProps/ctrlProp31.xml><?xml version="1.0" encoding="utf-8"?>
<formControlPr xmlns="http://schemas.microsoft.com/office/spreadsheetml/2009/9/main" objectType="CheckBox" fmlaLink="M39" lockText="1" noThreeD="1"/>
</file>

<file path=xl/ctrlProps/ctrlProp32.xml><?xml version="1.0" encoding="utf-8"?>
<formControlPr xmlns="http://schemas.microsoft.com/office/spreadsheetml/2009/9/main" objectType="CheckBox" fmlaLink="M40" lockText="1" noThreeD="1"/>
</file>

<file path=xl/ctrlProps/ctrlProp33.xml><?xml version="1.0" encoding="utf-8"?>
<formControlPr xmlns="http://schemas.microsoft.com/office/spreadsheetml/2009/9/main" objectType="CheckBox" fmlaLink="M41" lockText="1" noThreeD="1"/>
</file>

<file path=xl/ctrlProps/ctrlProp34.xml><?xml version="1.0" encoding="utf-8"?>
<formControlPr xmlns="http://schemas.microsoft.com/office/spreadsheetml/2009/9/main" objectType="CheckBox" fmlaLink="M42" lockText="1" noThreeD="1"/>
</file>

<file path=xl/ctrlProps/ctrlProp35.xml><?xml version="1.0" encoding="utf-8"?>
<formControlPr xmlns="http://schemas.microsoft.com/office/spreadsheetml/2009/9/main" objectType="CheckBox" fmlaLink="M43" lockText="1" noThreeD="1"/>
</file>

<file path=xl/ctrlProps/ctrlProp36.xml><?xml version="1.0" encoding="utf-8"?>
<formControlPr xmlns="http://schemas.microsoft.com/office/spreadsheetml/2009/9/main" objectType="CheckBox" fmlaLink="M44" lockText="1" noThreeD="1"/>
</file>

<file path=xl/ctrlProps/ctrlProp37.xml><?xml version="1.0" encoding="utf-8"?>
<formControlPr xmlns="http://schemas.microsoft.com/office/spreadsheetml/2009/9/main" objectType="CheckBox" fmlaLink="M45" lockText="1" noThreeD="1"/>
</file>

<file path=xl/ctrlProps/ctrlProp38.xml><?xml version="1.0" encoding="utf-8"?>
<formControlPr xmlns="http://schemas.microsoft.com/office/spreadsheetml/2009/9/main" objectType="CheckBox" fmlaLink="M46" lockText="1" noThreeD="1"/>
</file>

<file path=xl/ctrlProps/ctrlProp39.xml><?xml version="1.0" encoding="utf-8"?>
<formControlPr xmlns="http://schemas.microsoft.com/office/spreadsheetml/2009/9/main" objectType="CheckBox" fmlaLink="M47" lockText="1" noThreeD="1"/>
</file>

<file path=xl/ctrlProps/ctrlProp40.xml><?xml version="1.0" encoding="utf-8"?>
<formControlPr xmlns="http://schemas.microsoft.com/office/spreadsheetml/2009/9/main" objectType="CheckBox" fmlaLink="M48" lockText="1" noThreeD="1"/>
</file>

<file path=xl/ctrlProps/ctrlProp41.xml><?xml version="1.0" encoding="utf-8"?>
<formControlPr xmlns="http://schemas.microsoft.com/office/spreadsheetml/2009/9/main" objectType="CheckBox" fmlaLink="M49" lockText="1" noThreeD="1"/>
</file>

<file path=xl/ctrlProps/ctrlProp42.xml><?xml version="1.0" encoding="utf-8"?>
<formControlPr xmlns="http://schemas.microsoft.com/office/spreadsheetml/2009/9/main" objectType="CheckBox" fmlaLink="M50" lockText="1" noThreeD="1"/>
</file>

<file path=xl/ctrlProps/ctrlProp43.xml><?xml version="1.0" encoding="utf-8"?>
<formControlPr xmlns="http://schemas.microsoft.com/office/spreadsheetml/2009/9/main" objectType="CheckBox" fmlaLink="M51" lockText="1" noThreeD="1"/>
</file>

<file path=xl/ctrlProps/ctrlProp44.xml><?xml version="1.0" encoding="utf-8"?>
<formControlPr xmlns="http://schemas.microsoft.com/office/spreadsheetml/2009/9/main" objectType="CheckBox" fmlaLink="M52" lockText="1" noThreeD="1"/>
</file>

<file path=xl/ctrlProps/ctrlProp45.xml><?xml version="1.0" encoding="utf-8"?>
<formControlPr xmlns="http://schemas.microsoft.com/office/spreadsheetml/2009/9/main" objectType="CheckBox" fmlaLink="M53" lockText="1" noThreeD="1"/>
</file>

<file path=xl/ctrlProps/ctrlProp46.xml><?xml version="1.0" encoding="utf-8"?>
<formControlPr xmlns="http://schemas.microsoft.com/office/spreadsheetml/2009/9/main" objectType="CheckBox" fmlaLink="M54" lockText="1" noThreeD="1"/>
</file>

<file path=xl/ctrlProps/ctrlProp47.xml><?xml version="1.0" encoding="utf-8"?>
<formControlPr xmlns="http://schemas.microsoft.com/office/spreadsheetml/2009/9/main" objectType="CheckBox" fmlaLink="M55" lockText="1" noThreeD="1"/>
</file>

<file path=xl/ctrlProps/ctrlProp48.xml><?xml version="1.0" encoding="utf-8"?>
<formControlPr xmlns="http://schemas.microsoft.com/office/spreadsheetml/2009/9/main" objectType="CheckBox" fmlaLink="M56" lockText="1" noThreeD="1"/>
</file>

<file path=xl/ctrlProps/ctrlProp49.xml><?xml version="1.0" encoding="utf-8"?>
<formControlPr xmlns="http://schemas.microsoft.com/office/spreadsheetml/2009/9/main" objectType="CheckBox" fmlaLink="M57" lockText="1" noThreeD="1"/>
</file>

<file path=xl/ctrlProps/ctrlProp50.xml><?xml version="1.0" encoding="utf-8"?>
<formControlPr xmlns="http://schemas.microsoft.com/office/spreadsheetml/2009/9/main" objectType="CheckBox" fmlaLink="M58" lockText="1" noThreeD="1"/>
</file>

<file path=xl/ctrlProps/ctrlProp51.xml><?xml version="1.0" encoding="utf-8"?>
<formControlPr xmlns="http://schemas.microsoft.com/office/spreadsheetml/2009/9/main" objectType="CheckBox" fmlaLink="M59" lockText="1" noThreeD="1"/>
</file>

<file path=xl/ctrlProps/ctrlProp52.xml><?xml version="1.0" encoding="utf-8"?>
<formControlPr xmlns="http://schemas.microsoft.com/office/spreadsheetml/2009/9/main" objectType="CheckBox" fmlaLink="M60" lockText="1" noThreeD="1"/>
</file>

<file path=xl/ctrlProps/ctrlProp53.xml><?xml version="1.0" encoding="utf-8"?>
<formControlPr xmlns="http://schemas.microsoft.com/office/spreadsheetml/2009/9/main" objectType="CheckBox" fmlaLink="M61" lockText="1" noThreeD="1"/>
</file>

<file path=xl/ctrlProps/ctrlProp54.xml><?xml version="1.0" encoding="utf-8"?>
<formControlPr xmlns="http://schemas.microsoft.com/office/spreadsheetml/2009/9/main" objectType="CheckBox" fmlaLink="M62" lockText="1" noThreeD="1"/>
</file>

<file path=xl/ctrlProps/ctrlProp55.xml><?xml version="1.0" encoding="utf-8"?>
<formControlPr xmlns="http://schemas.microsoft.com/office/spreadsheetml/2009/9/main" objectType="CheckBox" fmlaLink="M63" lockText="1" noThreeD="1"/>
</file>

<file path=xl/ctrlProps/ctrlProp56.xml><?xml version="1.0" encoding="utf-8"?>
<formControlPr xmlns="http://schemas.microsoft.com/office/spreadsheetml/2009/9/main" objectType="CheckBox" fmlaLink="M64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2E09BE2-4EAA-449D-9295-84745CF48876}"/>
            </a:ext>
          </a:extLst>
        </xdr:cNvPr>
        <xdr:cNvSpPr>
          <a:spLocks/>
        </xdr:cNvSpPr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7E1219A-D965-4761-AD37-D2DE5070103D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F05A6BC-ED71-4A6F-94D2-749104CBA942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>
          <a:spLocks/>
        </xdr:cNvSpPr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B57E670-0AE2-440F-9C2E-58BD7B1ACFFE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7ED3D4D-9D0D-4859-91BA-7CD2C308B2C9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EF4393F-5B0C-492F-B436-4A108CA63E06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8AF5D7C8-C91E-4862-A89A-C6B6B8E08A99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0F3A51C-5D57-4FB5-9D04-146B702E4962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F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0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1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1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1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3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4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4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4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5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5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5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9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9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9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A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C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C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C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2C00-000008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2C00-000009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2C00-00000A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2C00-00000B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E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E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E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1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1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1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200-000005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200-000006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200-000007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3200-000008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3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A4A4D1F-9EB1-4C01-9067-8E6B1B622801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EB1666D-3F39-44D0-B1FD-CACADCD05187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A600111-84B3-44A4-9F1B-D0EA14D5310C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21F8505-F41B-4773-8378-FB25BEE75F61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66673</xdr:colOff>
      <xdr:row>4</xdr:row>
      <xdr:rowOff>19051</xdr:rowOff>
    </xdr:from>
    <xdr:to>
      <xdr:col>6</xdr:col>
      <xdr:colOff>409574</xdr:colOff>
      <xdr:row>5</xdr:row>
      <xdr:rowOff>171450</xdr:rowOff>
    </xdr:to>
    <xdr:sp macro="[0]!CreateCheckboxesWithLinkedCe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500-000002000000}"/>
            </a:ext>
          </a:extLst>
        </xdr:cNvPr>
        <xdr:cNvSpPr/>
      </xdr:nvSpPr>
      <xdr:spPr>
        <a:xfrm>
          <a:off x="2505073" y="876301"/>
          <a:ext cx="2066926" cy="342899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lvl="0" algn="ctr"/>
          <a:r>
            <a:rPr lang="en-IN" sz="1200" b="1"/>
            <a:t>Refresh Sheet</a:t>
          </a:r>
        </a:p>
      </xdr:txBody>
    </xdr:sp>
    <xdr:clientData/>
  </xdr:twoCellAnchor>
  <xdr:twoCellAnchor>
    <xdr:from>
      <xdr:col>13</xdr:col>
      <xdr:colOff>1066800</xdr:colOff>
      <xdr:row>2</xdr:row>
      <xdr:rowOff>28575</xdr:rowOff>
    </xdr:from>
    <xdr:to>
      <xdr:col>14</xdr:col>
      <xdr:colOff>838200</xdr:colOff>
      <xdr:row>3</xdr:row>
      <xdr:rowOff>133500</xdr:rowOff>
    </xdr:to>
    <xdr:sp macro="[0]!IDCheck" textlink="">
      <xdr:nvSpPr>
        <xdr:cNvPr id="4" name="Rounded Rectangle 1">
          <a:extLst>
            <a:ext uri="{FF2B5EF4-FFF2-40B4-BE49-F238E27FC236}">
              <a16:creationId xmlns:a16="http://schemas.microsoft.com/office/drawing/2014/main" id="{B1A1D8D9-F127-4D50-90AF-F33A60C246A7}"/>
            </a:ext>
          </a:extLst>
        </xdr:cNvPr>
        <xdr:cNvSpPr>
          <a:spLocks/>
        </xdr:cNvSpPr>
      </xdr:nvSpPr>
      <xdr:spPr>
        <a:xfrm>
          <a:off x="17811750" y="55245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tx1"/>
              </a:solidFill>
            </a:rPr>
            <a:t>Refresh Licence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9</xdr:row>
          <xdr:rowOff>19050</xdr:rowOff>
        </xdr:to>
        <xdr:sp macro="" textlink="">
          <xdr:nvSpPr>
            <xdr:cNvPr id="66926" name="ICICI(C) (P)_CheckBox" hidden="1">
              <a:extLst>
                <a:ext uri="{63B3BB69-23CF-44E3-9099-C40C66FF867C}">
                  <a14:compatExt spid="_x0000_s66926"/>
                </a:ext>
                <a:ext uri="{FF2B5EF4-FFF2-40B4-BE49-F238E27FC236}">
                  <a16:creationId xmlns:a16="http://schemas.microsoft.com/office/drawing/2014/main" id="{00000000-0008-0000-3800-00006E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ICICI(C)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6</xdr:col>
          <xdr:colOff>0</xdr:colOff>
          <xdr:row>10</xdr:row>
          <xdr:rowOff>19050</xdr:rowOff>
        </xdr:to>
        <xdr:sp macro="" textlink="">
          <xdr:nvSpPr>
            <xdr:cNvPr id="66927" name="ICICI(S) (P)_CheckBox" hidden="1">
              <a:extLst>
                <a:ext uri="{63B3BB69-23CF-44E3-9099-C40C66FF867C}">
                  <a14:compatExt spid="_x0000_s66927"/>
                </a:ext>
                <a:ext uri="{FF2B5EF4-FFF2-40B4-BE49-F238E27FC236}">
                  <a16:creationId xmlns:a16="http://schemas.microsoft.com/office/drawing/2014/main" id="{00000000-0008-0000-3800-00006F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ICICI(S)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0</xdr:colOff>
          <xdr:row>11</xdr:row>
          <xdr:rowOff>19050</xdr:rowOff>
        </xdr:to>
        <xdr:sp macro="" textlink="">
          <xdr:nvSpPr>
            <xdr:cNvPr id="66928" name="ICICI(C)2 (P)_CheckBox" hidden="1">
              <a:extLst>
                <a:ext uri="{63B3BB69-23CF-44E3-9099-C40C66FF867C}">
                  <a14:compatExt spid="_x0000_s66928"/>
                </a:ext>
                <a:ext uri="{FF2B5EF4-FFF2-40B4-BE49-F238E27FC236}">
                  <a16:creationId xmlns:a16="http://schemas.microsoft.com/office/drawing/2014/main" id="{00000000-0008-0000-3800-000070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ICICI(C)2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12</xdr:row>
          <xdr:rowOff>19050</xdr:rowOff>
        </xdr:to>
        <xdr:sp macro="" textlink="">
          <xdr:nvSpPr>
            <xdr:cNvPr id="66929" name="HDFC (P)_CheckBox" hidden="1">
              <a:extLst>
                <a:ext uri="{63B3BB69-23CF-44E3-9099-C40C66FF867C}">
                  <a14:compatExt spid="_x0000_s66929"/>
                </a:ext>
                <a:ext uri="{FF2B5EF4-FFF2-40B4-BE49-F238E27FC236}">
                  <a16:creationId xmlns:a16="http://schemas.microsoft.com/office/drawing/2014/main" id="{00000000-0008-0000-3800-000071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HDFC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6</xdr:col>
          <xdr:colOff>0</xdr:colOff>
          <xdr:row>13</xdr:row>
          <xdr:rowOff>19050</xdr:rowOff>
        </xdr:to>
        <xdr:sp macro="" textlink="">
          <xdr:nvSpPr>
            <xdr:cNvPr id="66930" name="Axis(S) (P)_CheckBox" hidden="1">
              <a:extLst>
                <a:ext uri="{63B3BB69-23CF-44E3-9099-C40C66FF867C}">
                  <a14:compatExt spid="_x0000_s66930"/>
                </a:ext>
                <a:ext uri="{FF2B5EF4-FFF2-40B4-BE49-F238E27FC236}">
                  <a16:creationId xmlns:a16="http://schemas.microsoft.com/office/drawing/2014/main" id="{00000000-0008-0000-3800-000072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Axis(S)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14</xdr:row>
          <xdr:rowOff>19050</xdr:rowOff>
        </xdr:to>
        <xdr:sp macro="" textlink="">
          <xdr:nvSpPr>
            <xdr:cNvPr id="66931" name="Axis(C) (P)_CheckBox" hidden="1">
              <a:extLst>
                <a:ext uri="{63B3BB69-23CF-44E3-9099-C40C66FF867C}">
                  <a14:compatExt spid="_x0000_s66931"/>
                </a:ext>
                <a:ext uri="{FF2B5EF4-FFF2-40B4-BE49-F238E27FC236}">
                  <a16:creationId xmlns:a16="http://schemas.microsoft.com/office/drawing/2014/main" id="{00000000-0008-0000-3800-000073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Axis(C)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19050</xdr:rowOff>
        </xdr:to>
        <xdr:sp macro="" textlink="">
          <xdr:nvSpPr>
            <xdr:cNvPr id="66932" name="IDBI (P)_CheckBox" hidden="1">
              <a:extLst>
                <a:ext uri="{63B3BB69-23CF-44E3-9099-C40C66FF867C}">
                  <a14:compatExt spid="_x0000_s66932"/>
                </a:ext>
                <a:ext uri="{FF2B5EF4-FFF2-40B4-BE49-F238E27FC236}">
                  <a16:creationId xmlns:a16="http://schemas.microsoft.com/office/drawing/2014/main" id="{00000000-0008-0000-3800-000074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IDBI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6</xdr:col>
          <xdr:colOff>0</xdr:colOff>
          <xdr:row>16</xdr:row>
          <xdr:rowOff>19050</xdr:rowOff>
        </xdr:to>
        <xdr:sp macro="" textlink="">
          <xdr:nvSpPr>
            <xdr:cNvPr id="66933" name="IDBI(S) (P)_CheckBox" hidden="1">
              <a:extLst>
                <a:ext uri="{63B3BB69-23CF-44E3-9099-C40C66FF867C}">
                  <a14:compatExt spid="_x0000_s66933"/>
                </a:ext>
                <a:ext uri="{FF2B5EF4-FFF2-40B4-BE49-F238E27FC236}">
                  <a16:creationId xmlns:a16="http://schemas.microsoft.com/office/drawing/2014/main" id="{00000000-0008-0000-3800-000075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IDBI(S)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17</xdr:row>
          <xdr:rowOff>19050</xdr:rowOff>
        </xdr:to>
        <xdr:sp macro="" textlink="">
          <xdr:nvSpPr>
            <xdr:cNvPr id="66934" name="IDFC (P)_CheckBox" hidden="1">
              <a:extLst>
                <a:ext uri="{63B3BB69-23CF-44E3-9099-C40C66FF867C}">
                  <a14:compatExt spid="_x0000_s66934"/>
                </a:ext>
                <a:ext uri="{FF2B5EF4-FFF2-40B4-BE49-F238E27FC236}">
                  <a16:creationId xmlns:a16="http://schemas.microsoft.com/office/drawing/2014/main" id="{00000000-0008-0000-3800-000076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IDFC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19050</xdr:rowOff>
        </xdr:to>
        <xdr:sp macro="" textlink="">
          <xdr:nvSpPr>
            <xdr:cNvPr id="66935" name="CityUni (P)_CheckBox" hidden="1">
              <a:extLst>
                <a:ext uri="{63B3BB69-23CF-44E3-9099-C40C66FF867C}">
                  <a14:compatExt spid="_x0000_s66935"/>
                </a:ext>
                <a:ext uri="{FF2B5EF4-FFF2-40B4-BE49-F238E27FC236}">
                  <a16:creationId xmlns:a16="http://schemas.microsoft.com/office/drawing/2014/main" id="{00000000-0008-0000-3800-000077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CityUni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6</xdr:col>
          <xdr:colOff>0</xdr:colOff>
          <xdr:row>19</xdr:row>
          <xdr:rowOff>19050</xdr:rowOff>
        </xdr:to>
        <xdr:sp macro="" textlink="">
          <xdr:nvSpPr>
            <xdr:cNvPr id="66936" name="indusind (P)_CheckBox" hidden="1">
              <a:extLst>
                <a:ext uri="{63B3BB69-23CF-44E3-9099-C40C66FF867C}">
                  <a14:compatExt spid="_x0000_s66936"/>
                </a:ext>
                <a:ext uri="{FF2B5EF4-FFF2-40B4-BE49-F238E27FC236}">
                  <a16:creationId xmlns:a16="http://schemas.microsoft.com/office/drawing/2014/main" id="{00000000-0008-0000-3800-000078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indusind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6</xdr:col>
          <xdr:colOff>0</xdr:colOff>
          <xdr:row>20</xdr:row>
          <xdr:rowOff>19050</xdr:rowOff>
        </xdr:to>
        <xdr:sp macro="" textlink="">
          <xdr:nvSpPr>
            <xdr:cNvPr id="66937" name="Kalupur (P)_CheckBox" hidden="1">
              <a:extLst>
                <a:ext uri="{63B3BB69-23CF-44E3-9099-C40C66FF867C}">
                  <a14:compatExt spid="_x0000_s66937"/>
                </a:ext>
                <a:ext uri="{FF2B5EF4-FFF2-40B4-BE49-F238E27FC236}">
                  <a16:creationId xmlns:a16="http://schemas.microsoft.com/office/drawing/2014/main" id="{00000000-0008-0000-3800-000079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Kalupur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6</xdr:col>
          <xdr:colOff>0</xdr:colOff>
          <xdr:row>21</xdr:row>
          <xdr:rowOff>19050</xdr:rowOff>
        </xdr:to>
        <xdr:sp macro="" textlink="">
          <xdr:nvSpPr>
            <xdr:cNvPr id="66938" name="AU (P)_CheckBox" hidden="1">
              <a:extLst>
                <a:ext uri="{63B3BB69-23CF-44E3-9099-C40C66FF867C}">
                  <a14:compatExt spid="_x0000_s66938"/>
                </a:ext>
                <a:ext uri="{FF2B5EF4-FFF2-40B4-BE49-F238E27FC236}">
                  <a16:creationId xmlns:a16="http://schemas.microsoft.com/office/drawing/2014/main" id="{00000000-0008-0000-3800-00007A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6</xdr:col>
          <xdr:colOff>0</xdr:colOff>
          <xdr:row>22</xdr:row>
          <xdr:rowOff>19050</xdr:rowOff>
        </xdr:to>
        <xdr:sp macro="" textlink="">
          <xdr:nvSpPr>
            <xdr:cNvPr id="66939" name="SBI (P)_CheckBox" hidden="1">
              <a:extLst>
                <a:ext uri="{63B3BB69-23CF-44E3-9099-C40C66FF867C}">
                  <a14:compatExt spid="_x0000_s66939"/>
                </a:ext>
                <a:ext uri="{FF2B5EF4-FFF2-40B4-BE49-F238E27FC236}">
                  <a16:creationId xmlns:a16="http://schemas.microsoft.com/office/drawing/2014/main" id="{00000000-0008-0000-3800-00007B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SBI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6</xdr:col>
          <xdr:colOff>0</xdr:colOff>
          <xdr:row>23</xdr:row>
          <xdr:rowOff>19050</xdr:rowOff>
        </xdr:to>
        <xdr:sp macro="" textlink="">
          <xdr:nvSpPr>
            <xdr:cNvPr id="66940" name="Union (P)_CheckBox" hidden="1">
              <a:extLst>
                <a:ext uri="{63B3BB69-23CF-44E3-9099-C40C66FF867C}">
                  <a14:compatExt spid="_x0000_s66940"/>
                </a:ext>
                <a:ext uri="{FF2B5EF4-FFF2-40B4-BE49-F238E27FC236}">
                  <a16:creationId xmlns:a16="http://schemas.microsoft.com/office/drawing/2014/main" id="{00000000-0008-0000-3800-00007C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24</xdr:row>
          <xdr:rowOff>19050</xdr:rowOff>
        </xdr:to>
        <xdr:sp macro="" textlink="">
          <xdr:nvSpPr>
            <xdr:cNvPr id="66941" name="Union2 (P)_CheckBox" hidden="1">
              <a:extLst>
                <a:ext uri="{63B3BB69-23CF-44E3-9099-C40C66FF867C}">
                  <a14:compatExt spid="_x0000_s66941"/>
                </a:ext>
                <a:ext uri="{FF2B5EF4-FFF2-40B4-BE49-F238E27FC236}">
                  <a16:creationId xmlns:a16="http://schemas.microsoft.com/office/drawing/2014/main" id="{00000000-0008-0000-3800-00007D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Union2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25</xdr:row>
          <xdr:rowOff>19050</xdr:rowOff>
        </xdr:to>
        <xdr:sp macro="" textlink="">
          <xdr:nvSpPr>
            <xdr:cNvPr id="66942" name="Kotak (P)_CheckBox" hidden="1">
              <a:extLst>
                <a:ext uri="{63B3BB69-23CF-44E3-9099-C40C66FF867C}">
                  <a14:compatExt spid="_x0000_s66942"/>
                </a:ext>
                <a:ext uri="{FF2B5EF4-FFF2-40B4-BE49-F238E27FC236}">
                  <a16:creationId xmlns:a16="http://schemas.microsoft.com/office/drawing/2014/main" id="{00000000-0008-0000-3800-00007E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26</xdr:row>
          <xdr:rowOff>19050</xdr:rowOff>
        </xdr:to>
        <xdr:sp macro="" textlink="">
          <xdr:nvSpPr>
            <xdr:cNvPr id="66943" name="Kotak2 (P)_CheckBox" hidden="1">
              <a:extLst>
                <a:ext uri="{63B3BB69-23CF-44E3-9099-C40C66FF867C}">
                  <a14:compatExt spid="_x0000_s66943"/>
                </a:ext>
                <a:ext uri="{FF2B5EF4-FFF2-40B4-BE49-F238E27FC236}">
                  <a16:creationId xmlns:a16="http://schemas.microsoft.com/office/drawing/2014/main" id="{00000000-0008-0000-3800-00007F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Kotak2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27</xdr:row>
          <xdr:rowOff>19050</xdr:rowOff>
        </xdr:to>
        <xdr:sp macro="" textlink="">
          <xdr:nvSpPr>
            <xdr:cNvPr id="66944" name="Kotak3 (P)_CheckBox" hidden="1">
              <a:extLst>
                <a:ext uri="{63B3BB69-23CF-44E3-9099-C40C66FF867C}">
                  <a14:compatExt spid="_x0000_s66944"/>
                </a:ext>
                <a:ext uri="{FF2B5EF4-FFF2-40B4-BE49-F238E27FC236}">
                  <a16:creationId xmlns:a16="http://schemas.microsoft.com/office/drawing/2014/main" id="{00000000-0008-0000-3800-000080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Kotak3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6</xdr:col>
          <xdr:colOff>0</xdr:colOff>
          <xdr:row>28</xdr:row>
          <xdr:rowOff>19050</xdr:rowOff>
        </xdr:to>
        <xdr:sp macro="" textlink="">
          <xdr:nvSpPr>
            <xdr:cNvPr id="66945" name="CBI (P)_CheckBox" hidden="1">
              <a:extLst>
                <a:ext uri="{63B3BB69-23CF-44E3-9099-C40C66FF867C}">
                  <a14:compatExt spid="_x0000_s66945"/>
                </a:ext>
                <a:ext uri="{FF2B5EF4-FFF2-40B4-BE49-F238E27FC236}">
                  <a16:creationId xmlns:a16="http://schemas.microsoft.com/office/drawing/2014/main" id="{00000000-0008-0000-3800-000081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CBI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29</xdr:row>
          <xdr:rowOff>19050</xdr:rowOff>
        </xdr:to>
        <xdr:sp macro="" textlink="">
          <xdr:nvSpPr>
            <xdr:cNvPr id="66946" name="Varachha (P)_CheckBox" hidden="1">
              <a:extLst>
                <a:ext uri="{63B3BB69-23CF-44E3-9099-C40C66FF867C}">
                  <a14:compatExt spid="_x0000_s66946"/>
                </a:ext>
                <a:ext uri="{FF2B5EF4-FFF2-40B4-BE49-F238E27FC236}">
                  <a16:creationId xmlns:a16="http://schemas.microsoft.com/office/drawing/2014/main" id="{00000000-0008-0000-3800-000082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Varachha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6</xdr:col>
          <xdr:colOff>0</xdr:colOff>
          <xdr:row>30</xdr:row>
          <xdr:rowOff>19050</xdr:rowOff>
        </xdr:to>
        <xdr:sp macro="" textlink="">
          <xdr:nvSpPr>
            <xdr:cNvPr id="66947" name="SDCB (P)_CheckBox" hidden="1">
              <a:extLst>
                <a:ext uri="{63B3BB69-23CF-44E3-9099-C40C66FF867C}">
                  <a14:compatExt spid="_x0000_s66947"/>
                </a:ext>
                <a:ext uri="{FF2B5EF4-FFF2-40B4-BE49-F238E27FC236}">
                  <a16:creationId xmlns:a16="http://schemas.microsoft.com/office/drawing/2014/main" id="{00000000-0008-0000-3800-000083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SDCB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6</xdr:col>
          <xdr:colOff>0</xdr:colOff>
          <xdr:row>31</xdr:row>
          <xdr:rowOff>19050</xdr:rowOff>
        </xdr:to>
        <xdr:sp macro="" textlink="">
          <xdr:nvSpPr>
            <xdr:cNvPr id="66948" name="ICICI(C)_CheckBox" hidden="1">
              <a:extLst>
                <a:ext uri="{63B3BB69-23CF-44E3-9099-C40C66FF867C}">
                  <a14:compatExt spid="_x0000_s66948"/>
                </a:ext>
                <a:ext uri="{FF2B5EF4-FFF2-40B4-BE49-F238E27FC236}">
                  <a16:creationId xmlns:a16="http://schemas.microsoft.com/office/drawing/2014/main" id="{00000000-0008-0000-3800-000084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6</xdr:col>
          <xdr:colOff>0</xdr:colOff>
          <xdr:row>32</xdr:row>
          <xdr:rowOff>19050</xdr:rowOff>
        </xdr:to>
        <xdr:sp macro="" textlink="">
          <xdr:nvSpPr>
            <xdr:cNvPr id="66949" name="ICICI(S)_CheckBox" hidden="1">
              <a:extLst>
                <a:ext uri="{63B3BB69-23CF-44E3-9099-C40C66FF867C}">
                  <a14:compatExt spid="_x0000_s66949"/>
                </a:ext>
                <a:ext uri="{FF2B5EF4-FFF2-40B4-BE49-F238E27FC236}">
                  <a16:creationId xmlns:a16="http://schemas.microsoft.com/office/drawing/2014/main" id="{00000000-0008-0000-3800-000085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6</xdr:col>
          <xdr:colOff>0</xdr:colOff>
          <xdr:row>33</xdr:row>
          <xdr:rowOff>19050</xdr:rowOff>
        </xdr:to>
        <xdr:sp macro="" textlink="">
          <xdr:nvSpPr>
            <xdr:cNvPr id="66950" name="HDFC_CheckBox" hidden="1">
              <a:extLst>
                <a:ext uri="{63B3BB69-23CF-44E3-9099-C40C66FF867C}">
                  <a14:compatExt spid="_x0000_s66950"/>
                </a:ext>
                <a:ext uri="{FF2B5EF4-FFF2-40B4-BE49-F238E27FC236}">
                  <a16:creationId xmlns:a16="http://schemas.microsoft.com/office/drawing/2014/main" id="{00000000-0008-0000-3800-000086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HDFC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6</xdr:col>
          <xdr:colOff>0</xdr:colOff>
          <xdr:row>34</xdr:row>
          <xdr:rowOff>19050</xdr:rowOff>
        </xdr:to>
        <xdr:sp macro="" textlink="">
          <xdr:nvSpPr>
            <xdr:cNvPr id="66951" name="Kotak(C)_CheckBox" hidden="1">
              <a:extLst>
                <a:ext uri="{63B3BB69-23CF-44E3-9099-C40C66FF867C}">
                  <a14:compatExt spid="_x0000_s66951"/>
                </a:ext>
                <a:ext uri="{FF2B5EF4-FFF2-40B4-BE49-F238E27FC236}">
                  <a16:creationId xmlns:a16="http://schemas.microsoft.com/office/drawing/2014/main" id="{00000000-0008-0000-3800-000087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6</xdr:col>
          <xdr:colOff>0</xdr:colOff>
          <xdr:row>35</xdr:row>
          <xdr:rowOff>19050</xdr:rowOff>
        </xdr:to>
        <xdr:sp macro="" textlink="">
          <xdr:nvSpPr>
            <xdr:cNvPr id="66952" name="Kotak(S)_CheckBox" hidden="1">
              <a:extLst>
                <a:ext uri="{63B3BB69-23CF-44E3-9099-C40C66FF867C}">
                  <a14:compatExt spid="_x0000_s66952"/>
                </a:ext>
                <a:ext uri="{FF2B5EF4-FFF2-40B4-BE49-F238E27FC236}">
                  <a16:creationId xmlns:a16="http://schemas.microsoft.com/office/drawing/2014/main" id="{00000000-0008-0000-3800-000088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19050</xdr:rowOff>
        </xdr:to>
        <xdr:sp macro="" textlink="">
          <xdr:nvSpPr>
            <xdr:cNvPr id="66953" name="Axis(S)_CheckBox" hidden="1">
              <a:extLst>
                <a:ext uri="{63B3BB69-23CF-44E3-9099-C40C66FF867C}">
                  <a14:compatExt spid="_x0000_s66953"/>
                </a:ext>
                <a:ext uri="{FF2B5EF4-FFF2-40B4-BE49-F238E27FC236}">
                  <a16:creationId xmlns:a16="http://schemas.microsoft.com/office/drawing/2014/main" id="{00000000-0008-0000-3800-000089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0</xdr:rowOff>
        </xdr:from>
        <xdr:to>
          <xdr:col>6</xdr:col>
          <xdr:colOff>0</xdr:colOff>
          <xdr:row>37</xdr:row>
          <xdr:rowOff>19050</xdr:rowOff>
        </xdr:to>
        <xdr:sp macro="" textlink="">
          <xdr:nvSpPr>
            <xdr:cNvPr id="66954" name="Axis(S) (2)_CheckBox" hidden="1">
              <a:extLst>
                <a:ext uri="{63B3BB69-23CF-44E3-9099-C40C66FF867C}">
                  <a14:compatExt spid="_x0000_s66954"/>
                </a:ext>
                <a:ext uri="{FF2B5EF4-FFF2-40B4-BE49-F238E27FC236}">
                  <a16:creationId xmlns:a16="http://schemas.microsoft.com/office/drawing/2014/main" id="{00000000-0008-0000-3800-00008A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Axis(S)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6</xdr:col>
          <xdr:colOff>0</xdr:colOff>
          <xdr:row>38</xdr:row>
          <xdr:rowOff>19050</xdr:rowOff>
        </xdr:to>
        <xdr:sp macro="" textlink="">
          <xdr:nvSpPr>
            <xdr:cNvPr id="66955" name="Axis(C)_CheckBox" hidden="1">
              <a:extLst>
                <a:ext uri="{63B3BB69-23CF-44E3-9099-C40C66FF867C}">
                  <a14:compatExt spid="_x0000_s66955"/>
                </a:ext>
                <a:ext uri="{FF2B5EF4-FFF2-40B4-BE49-F238E27FC236}">
                  <a16:creationId xmlns:a16="http://schemas.microsoft.com/office/drawing/2014/main" id="{00000000-0008-0000-3800-00008B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6</xdr:col>
          <xdr:colOff>0</xdr:colOff>
          <xdr:row>39</xdr:row>
          <xdr:rowOff>19050</xdr:rowOff>
        </xdr:to>
        <xdr:sp macro="" textlink="">
          <xdr:nvSpPr>
            <xdr:cNvPr id="66956" name="Yes_CheckBox" hidden="1">
              <a:extLst>
                <a:ext uri="{63B3BB69-23CF-44E3-9099-C40C66FF867C}">
                  <a14:compatExt spid="_x0000_s66956"/>
                </a:ext>
                <a:ext uri="{FF2B5EF4-FFF2-40B4-BE49-F238E27FC236}">
                  <a16:creationId xmlns:a16="http://schemas.microsoft.com/office/drawing/2014/main" id="{00000000-0008-0000-3800-00008C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39</xdr:row>
          <xdr:rowOff>0</xdr:rowOff>
        </xdr:from>
        <xdr:to>
          <xdr:col>6</xdr:col>
          <xdr:colOff>0</xdr:colOff>
          <xdr:row>40</xdr:row>
          <xdr:rowOff>19050</xdr:rowOff>
        </xdr:to>
        <xdr:sp macro="" textlink="">
          <xdr:nvSpPr>
            <xdr:cNvPr id="66957" name="indusind_CheckBox" hidden="1">
              <a:extLst>
                <a:ext uri="{63B3BB69-23CF-44E3-9099-C40C66FF867C}">
                  <a14:compatExt spid="_x0000_s66957"/>
                </a:ext>
                <a:ext uri="{FF2B5EF4-FFF2-40B4-BE49-F238E27FC236}">
                  <a16:creationId xmlns:a16="http://schemas.microsoft.com/office/drawing/2014/main" id="{00000000-0008-0000-3800-00008D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indusind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6</xdr:col>
          <xdr:colOff>0</xdr:colOff>
          <xdr:row>41</xdr:row>
          <xdr:rowOff>19050</xdr:rowOff>
        </xdr:to>
        <xdr:sp macro="" textlink="">
          <xdr:nvSpPr>
            <xdr:cNvPr id="66958" name="IDBI_CheckBox" hidden="1">
              <a:extLst>
                <a:ext uri="{63B3BB69-23CF-44E3-9099-C40C66FF867C}">
                  <a14:compatExt spid="_x0000_s66958"/>
                </a:ext>
                <a:ext uri="{FF2B5EF4-FFF2-40B4-BE49-F238E27FC236}">
                  <a16:creationId xmlns:a16="http://schemas.microsoft.com/office/drawing/2014/main" id="{00000000-0008-0000-3800-00008E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0</xdr:rowOff>
        </xdr:from>
        <xdr:to>
          <xdr:col>6</xdr:col>
          <xdr:colOff>0</xdr:colOff>
          <xdr:row>42</xdr:row>
          <xdr:rowOff>19050</xdr:rowOff>
        </xdr:to>
        <xdr:sp macro="" textlink="">
          <xdr:nvSpPr>
            <xdr:cNvPr id="66959" name="Bandhan_CheckBox" hidden="1">
              <a:extLst>
                <a:ext uri="{63B3BB69-23CF-44E3-9099-C40C66FF867C}">
                  <a14:compatExt spid="_x0000_s66959"/>
                </a:ext>
                <a:ext uri="{FF2B5EF4-FFF2-40B4-BE49-F238E27FC236}">
                  <a16:creationId xmlns:a16="http://schemas.microsoft.com/office/drawing/2014/main" id="{00000000-0008-0000-3800-00008F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Bandhan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42</xdr:row>
          <xdr:rowOff>0</xdr:rowOff>
        </xdr:from>
        <xdr:to>
          <xdr:col>6</xdr:col>
          <xdr:colOff>0</xdr:colOff>
          <xdr:row>43</xdr:row>
          <xdr:rowOff>19050</xdr:rowOff>
        </xdr:to>
        <xdr:sp macro="" textlink="">
          <xdr:nvSpPr>
            <xdr:cNvPr id="66960" name="Indian_CheckBox" hidden="1">
              <a:extLst>
                <a:ext uri="{63B3BB69-23CF-44E3-9099-C40C66FF867C}">
                  <a14:compatExt spid="_x0000_s66960"/>
                </a:ext>
                <a:ext uri="{FF2B5EF4-FFF2-40B4-BE49-F238E27FC236}">
                  <a16:creationId xmlns:a16="http://schemas.microsoft.com/office/drawing/2014/main" id="{00000000-0008-0000-3800-000090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Indian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43</xdr:row>
          <xdr:rowOff>0</xdr:rowOff>
        </xdr:from>
        <xdr:to>
          <xdr:col>6</xdr:col>
          <xdr:colOff>0</xdr:colOff>
          <xdr:row>44</xdr:row>
          <xdr:rowOff>19050</xdr:rowOff>
        </xdr:to>
        <xdr:sp macro="" textlink="">
          <xdr:nvSpPr>
            <xdr:cNvPr id="66961" name="IDFC_CheckBox" hidden="1">
              <a:extLst>
                <a:ext uri="{63B3BB69-23CF-44E3-9099-C40C66FF867C}">
                  <a14:compatExt spid="_x0000_s66961"/>
                </a:ext>
                <a:ext uri="{FF2B5EF4-FFF2-40B4-BE49-F238E27FC236}">
                  <a16:creationId xmlns:a16="http://schemas.microsoft.com/office/drawing/2014/main" id="{00000000-0008-0000-3800-000091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IDFC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44</xdr:row>
          <xdr:rowOff>0</xdr:rowOff>
        </xdr:from>
        <xdr:to>
          <xdr:col>6</xdr:col>
          <xdr:colOff>0</xdr:colOff>
          <xdr:row>45</xdr:row>
          <xdr:rowOff>19050</xdr:rowOff>
        </xdr:to>
        <xdr:sp macro="" textlink="">
          <xdr:nvSpPr>
            <xdr:cNvPr id="66962" name="RBL_CheckBox" hidden="1">
              <a:extLst>
                <a:ext uri="{63B3BB69-23CF-44E3-9099-C40C66FF867C}">
                  <a14:compatExt spid="_x0000_s66962"/>
                </a:ext>
                <a:ext uri="{FF2B5EF4-FFF2-40B4-BE49-F238E27FC236}">
                  <a16:creationId xmlns:a16="http://schemas.microsoft.com/office/drawing/2014/main" id="{00000000-0008-0000-3800-000092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RBL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0</xdr:rowOff>
        </xdr:from>
        <xdr:to>
          <xdr:col>6</xdr:col>
          <xdr:colOff>0</xdr:colOff>
          <xdr:row>46</xdr:row>
          <xdr:rowOff>19050</xdr:rowOff>
        </xdr:to>
        <xdr:sp macro="" textlink="">
          <xdr:nvSpPr>
            <xdr:cNvPr id="66963" name="Union_CheckBox" hidden="1">
              <a:extLst>
                <a:ext uri="{63B3BB69-23CF-44E3-9099-C40C66FF867C}">
                  <a14:compatExt spid="_x0000_s66963"/>
                </a:ext>
                <a:ext uri="{FF2B5EF4-FFF2-40B4-BE49-F238E27FC236}">
                  <a16:creationId xmlns:a16="http://schemas.microsoft.com/office/drawing/2014/main" id="{00000000-0008-0000-3800-000093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0</xdr:rowOff>
        </xdr:from>
        <xdr:to>
          <xdr:col>6</xdr:col>
          <xdr:colOff>0</xdr:colOff>
          <xdr:row>47</xdr:row>
          <xdr:rowOff>19050</xdr:rowOff>
        </xdr:to>
        <xdr:sp macro="" textlink="">
          <xdr:nvSpPr>
            <xdr:cNvPr id="66964" name="SBI_CheckBox" hidden="1">
              <a:extLst>
                <a:ext uri="{63B3BB69-23CF-44E3-9099-C40C66FF867C}">
                  <a14:compatExt spid="_x0000_s66964"/>
                </a:ext>
                <a:ext uri="{FF2B5EF4-FFF2-40B4-BE49-F238E27FC236}">
                  <a16:creationId xmlns:a16="http://schemas.microsoft.com/office/drawing/2014/main" id="{00000000-0008-0000-3800-000094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0</xdr:rowOff>
        </xdr:from>
        <xdr:to>
          <xdr:col>6</xdr:col>
          <xdr:colOff>0</xdr:colOff>
          <xdr:row>48</xdr:row>
          <xdr:rowOff>19050</xdr:rowOff>
        </xdr:to>
        <xdr:sp macro="" textlink="">
          <xdr:nvSpPr>
            <xdr:cNvPr id="66965" name="BOI_CheckBox" hidden="1">
              <a:extLst>
                <a:ext uri="{63B3BB69-23CF-44E3-9099-C40C66FF867C}">
                  <a14:compatExt spid="_x0000_s66965"/>
                </a:ext>
                <a:ext uri="{FF2B5EF4-FFF2-40B4-BE49-F238E27FC236}">
                  <a16:creationId xmlns:a16="http://schemas.microsoft.com/office/drawing/2014/main" id="{00000000-0008-0000-3800-000095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48</xdr:row>
          <xdr:rowOff>0</xdr:rowOff>
        </xdr:from>
        <xdr:to>
          <xdr:col>6</xdr:col>
          <xdr:colOff>0</xdr:colOff>
          <xdr:row>49</xdr:row>
          <xdr:rowOff>19050</xdr:rowOff>
        </xdr:to>
        <xdr:sp macro="" textlink="">
          <xdr:nvSpPr>
            <xdr:cNvPr id="66966" name="UCO_CheckBox" hidden="1">
              <a:extLst>
                <a:ext uri="{63B3BB69-23CF-44E3-9099-C40C66FF867C}">
                  <a14:compatExt spid="_x0000_s66966"/>
                </a:ext>
                <a:ext uri="{FF2B5EF4-FFF2-40B4-BE49-F238E27FC236}">
                  <a16:creationId xmlns:a16="http://schemas.microsoft.com/office/drawing/2014/main" id="{00000000-0008-0000-3800-000096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49</xdr:row>
          <xdr:rowOff>0</xdr:rowOff>
        </xdr:from>
        <xdr:to>
          <xdr:col>6</xdr:col>
          <xdr:colOff>0</xdr:colOff>
          <xdr:row>50</xdr:row>
          <xdr:rowOff>19050</xdr:rowOff>
        </xdr:to>
        <xdr:sp macro="" textlink="">
          <xdr:nvSpPr>
            <xdr:cNvPr id="66967" name="CBI_CheckBox" hidden="1">
              <a:extLst>
                <a:ext uri="{63B3BB69-23CF-44E3-9099-C40C66FF867C}">
                  <a14:compatExt spid="_x0000_s66967"/>
                </a:ext>
                <a:ext uri="{FF2B5EF4-FFF2-40B4-BE49-F238E27FC236}">
                  <a16:creationId xmlns:a16="http://schemas.microsoft.com/office/drawing/2014/main" id="{00000000-0008-0000-3800-000097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50</xdr:row>
          <xdr:rowOff>0</xdr:rowOff>
        </xdr:from>
        <xdr:to>
          <xdr:col>6</xdr:col>
          <xdr:colOff>0</xdr:colOff>
          <xdr:row>51</xdr:row>
          <xdr:rowOff>19050</xdr:rowOff>
        </xdr:to>
        <xdr:sp macro="" textlink="">
          <xdr:nvSpPr>
            <xdr:cNvPr id="66968" name="BOB(C)_CheckBox" hidden="1">
              <a:extLst>
                <a:ext uri="{63B3BB69-23CF-44E3-9099-C40C66FF867C}">
                  <a14:compatExt spid="_x0000_s66968"/>
                </a:ext>
                <a:ext uri="{FF2B5EF4-FFF2-40B4-BE49-F238E27FC236}">
                  <a16:creationId xmlns:a16="http://schemas.microsoft.com/office/drawing/2014/main" id="{00000000-0008-0000-3800-000098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BOB(C)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51</xdr:row>
          <xdr:rowOff>0</xdr:rowOff>
        </xdr:from>
        <xdr:to>
          <xdr:col>6</xdr:col>
          <xdr:colOff>0</xdr:colOff>
          <xdr:row>52</xdr:row>
          <xdr:rowOff>19050</xdr:rowOff>
        </xdr:to>
        <xdr:sp macro="" textlink="">
          <xdr:nvSpPr>
            <xdr:cNvPr id="66969" name="BOB(S)_CheckBox" hidden="1">
              <a:extLst>
                <a:ext uri="{63B3BB69-23CF-44E3-9099-C40C66FF867C}">
                  <a14:compatExt spid="_x0000_s66969"/>
                </a:ext>
                <a:ext uri="{FF2B5EF4-FFF2-40B4-BE49-F238E27FC236}">
                  <a16:creationId xmlns:a16="http://schemas.microsoft.com/office/drawing/2014/main" id="{00000000-0008-0000-3800-000099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BOB(S)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52</xdr:row>
          <xdr:rowOff>0</xdr:rowOff>
        </xdr:from>
        <xdr:to>
          <xdr:col>6</xdr:col>
          <xdr:colOff>0</xdr:colOff>
          <xdr:row>53</xdr:row>
          <xdr:rowOff>19050</xdr:rowOff>
        </xdr:to>
        <xdr:sp macro="" textlink="">
          <xdr:nvSpPr>
            <xdr:cNvPr id="66970" name="PNB_CheckBox" hidden="1">
              <a:extLst>
                <a:ext uri="{63B3BB69-23CF-44E3-9099-C40C66FF867C}">
                  <a14:compatExt spid="_x0000_s66970"/>
                </a:ext>
                <a:ext uri="{FF2B5EF4-FFF2-40B4-BE49-F238E27FC236}">
                  <a16:creationId xmlns:a16="http://schemas.microsoft.com/office/drawing/2014/main" id="{00000000-0008-0000-3800-00009A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PNB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53</xdr:row>
          <xdr:rowOff>0</xdr:rowOff>
        </xdr:from>
        <xdr:to>
          <xdr:col>6</xdr:col>
          <xdr:colOff>0</xdr:colOff>
          <xdr:row>54</xdr:row>
          <xdr:rowOff>19050</xdr:rowOff>
        </xdr:to>
        <xdr:sp macro="" textlink="">
          <xdr:nvSpPr>
            <xdr:cNvPr id="66971" name="PNB (2)_CheckBox" hidden="1">
              <a:extLst>
                <a:ext uri="{63B3BB69-23CF-44E3-9099-C40C66FF867C}">
                  <a14:compatExt spid="_x0000_s66971"/>
                </a:ext>
                <a:ext uri="{FF2B5EF4-FFF2-40B4-BE49-F238E27FC236}">
                  <a16:creationId xmlns:a16="http://schemas.microsoft.com/office/drawing/2014/main" id="{00000000-0008-0000-3800-00009B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PNB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54</xdr:row>
          <xdr:rowOff>0</xdr:rowOff>
        </xdr:from>
        <xdr:to>
          <xdr:col>6</xdr:col>
          <xdr:colOff>0</xdr:colOff>
          <xdr:row>55</xdr:row>
          <xdr:rowOff>19050</xdr:rowOff>
        </xdr:to>
        <xdr:sp macro="" textlink="">
          <xdr:nvSpPr>
            <xdr:cNvPr id="66972" name="RNSBE_CheckBox" hidden="1">
              <a:extLst>
                <a:ext uri="{63B3BB69-23CF-44E3-9099-C40C66FF867C}">
                  <a14:compatExt spid="_x0000_s66972"/>
                </a:ext>
                <a:ext uri="{FF2B5EF4-FFF2-40B4-BE49-F238E27FC236}">
                  <a16:creationId xmlns:a16="http://schemas.microsoft.com/office/drawing/2014/main" id="{00000000-0008-0000-3800-00009C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RNSBE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55</xdr:row>
          <xdr:rowOff>0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6973" name="Federal_CheckBox" hidden="1">
              <a:extLst>
                <a:ext uri="{63B3BB69-23CF-44E3-9099-C40C66FF867C}">
                  <a14:compatExt spid="_x0000_s66973"/>
                </a:ext>
                <a:ext uri="{FF2B5EF4-FFF2-40B4-BE49-F238E27FC236}">
                  <a16:creationId xmlns:a16="http://schemas.microsoft.com/office/drawing/2014/main" id="{00000000-0008-0000-3800-00009D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Federal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56</xdr:row>
          <xdr:rowOff>0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6974" name="Varachha_CheckBox" hidden="1">
              <a:extLst>
                <a:ext uri="{63B3BB69-23CF-44E3-9099-C40C66FF867C}">
                  <a14:compatExt spid="_x0000_s66974"/>
                </a:ext>
                <a:ext uri="{FF2B5EF4-FFF2-40B4-BE49-F238E27FC236}">
                  <a16:creationId xmlns:a16="http://schemas.microsoft.com/office/drawing/2014/main" id="{00000000-0008-0000-3800-00009E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Varachha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57</xdr:row>
          <xdr:rowOff>0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6975" name="SNCB_CheckBox" hidden="1">
              <a:extLst>
                <a:ext uri="{63B3BB69-23CF-44E3-9099-C40C66FF867C}">
                  <a14:compatExt spid="_x0000_s66975"/>
                </a:ext>
                <a:ext uri="{FF2B5EF4-FFF2-40B4-BE49-F238E27FC236}">
                  <a16:creationId xmlns:a16="http://schemas.microsoft.com/office/drawing/2014/main" id="{00000000-0008-0000-3800-00009F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SNCB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58</xdr:row>
          <xdr:rowOff>0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6976" name="SDCB_CheckBox" hidden="1">
              <a:extLst>
                <a:ext uri="{63B3BB69-23CF-44E3-9099-C40C66FF867C}">
                  <a14:compatExt spid="_x0000_s66976"/>
                </a:ext>
                <a:ext uri="{FF2B5EF4-FFF2-40B4-BE49-F238E27FC236}">
                  <a16:creationId xmlns:a16="http://schemas.microsoft.com/office/drawing/2014/main" id="{00000000-0008-0000-3800-0000A0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SDCB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59</xdr:row>
          <xdr:rowOff>0</xdr:rowOff>
        </xdr:from>
        <xdr:to>
          <xdr:col>6</xdr:col>
          <xdr:colOff>0</xdr:colOff>
          <xdr:row>60</xdr:row>
          <xdr:rowOff>19050</xdr:rowOff>
        </xdr:to>
        <xdr:sp macro="" textlink="">
          <xdr:nvSpPr>
            <xdr:cNvPr id="66977" name="AU_CheckBox" hidden="1">
              <a:extLst>
                <a:ext uri="{63B3BB69-23CF-44E3-9099-C40C66FF867C}">
                  <a14:compatExt spid="_x0000_s66977"/>
                </a:ext>
                <a:ext uri="{FF2B5EF4-FFF2-40B4-BE49-F238E27FC236}">
                  <a16:creationId xmlns:a16="http://schemas.microsoft.com/office/drawing/2014/main" id="{00000000-0008-0000-3800-0000A1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60</xdr:row>
          <xdr:rowOff>0</xdr:rowOff>
        </xdr:from>
        <xdr:to>
          <xdr:col>6</xdr:col>
          <xdr:colOff>0</xdr:colOff>
          <xdr:row>61</xdr:row>
          <xdr:rowOff>19050</xdr:rowOff>
        </xdr:to>
        <xdr:sp macro="" textlink="">
          <xdr:nvSpPr>
            <xdr:cNvPr id="66978" name="Prime_CheckBox" hidden="1">
              <a:extLst>
                <a:ext uri="{63B3BB69-23CF-44E3-9099-C40C66FF867C}">
                  <a14:compatExt spid="_x0000_s66978"/>
                </a:ext>
                <a:ext uri="{FF2B5EF4-FFF2-40B4-BE49-F238E27FC236}">
                  <a16:creationId xmlns:a16="http://schemas.microsoft.com/office/drawing/2014/main" id="{00000000-0008-0000-3800-0000A2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61</xdr:row>
          <xdr:rowOff>0</xdr:rowOff>
        </xdr:from>
        <xdr:to>
          <xdr:col>6</xdr:col>
          <xdr:colOff>0</xdr:colOff>
          <xdr:row>62</xdr:row>
          <xdr:rowOff>19050</xdr:rowOff>
        </xdr:to>
        <xdr:sp macro="" textlink="">
          <xdr:nvSpPr>
            <xdr:cNvPr id="66979" name="DCB_CheckBox" hidden="1">
              <a:extLst>
                <a:ext uri="{63B3BB69-23CF-44E3-9099-C40C66FF867C}">
                  <a14:compatExt spid="_x0000_s66979"/>
                </a:ext>
                <a:ext uri="{FF2B5EF4-FFF2-40B4-BE49-F238E27FC236}">
                  <a16:creationId xmlns:a16="http://schemas.microsoft.com/office/drawing/2014/main" id="{00000000-0008-0000-3800-0000A3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62</xdr:row>
          <xdr:rowOff>0</xdr:rowOff>
        </xdr:from>
        <xdr:to>
          <xdr:col>6</xdr:col>
          <xdr:colOff>0</xdr:colOff>
          <xdr:row>63</xdr:row>
          <xdr:rowOff>19050</xdr:rowOff>
        </xdr:to>
        <xdr:sp macro="" textlink="">
          <xdr:nvSpPr>
            <xdr:cNvPr id="66980" name="Saraswat_CheckBox" hidden="1">
              <a:extLst>
                <a:ext uri="{63B3BB69-23CF-44E3-9099-C40C66FF867C}">
                  <a14:compatExt spid="_x0000_s66980"/>
                </a:ext>
                <a:ext uri="{FF2B5EF4-FFF2-40B4-BE49-F238E27FC236}">
                  <a16:creationId xmlns:a16="http://schemas.microsoft.com/office/drawing/2014/main" id="{00000000-0008-0000-3800-0000A4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Saraswat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63</xdr:row>
          <xdr:rowOff>0</xdr:rowOff>
        </xdr:from>
        <xdr:to>
          <xdr:col>6</xdr:col>
          <xdr:colOff>0</xdr:colOff>
          <xdr:row>64</xdr:row>
          <xdr:rowOff>19050</xdr:rowOff>
        </xdr:to>
        <xdr:sp macro="" textlink="">
          <xdr:nvSpPr>
            <xdr:cNvPr id="66981" name="Equitas_CheckBox" hidden="1">
              <a:extLst>
                <a:ext uri="{63B3BB69-23CF-44E3-9099-C40C66FF867C}">
                  <a14:compatExt spid="_x0000_s66981"/>
                </a:ext>
                <a:ext uri="{FF2B5EF4-FFF2-40B4-BE49-F238E27FC236}">
                  <a16:creationId xmlns:a16="http://schemas.microsoft.com/office/drawing/2014/main" id="{00000000-0008-0000-3800-0000A5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Equitas</a:t>
              </a:r>
            </a:p>
          </xdr:txBody>
        </xdr:sp>
        <xdr:clientData/>
      </xdr:twoCellAnchor>
    </mc:Choice>
    <mc:Fallback/>
  </mc:AlternateContent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0</xdr:row>
      <xdr:rowOff>295276</xdr:rowOff>
    </xdr:from>
    <xdr:to>
      <xdr:col>0</xdr:col>
      <xdr:colOff>1590675</xdr:colOff>
      <xdr:row>2</xdr:row>
      <xdr:rowOff>85726</xdr:rowOff>
    </xdr:to>
    <xdr:sp macro="[0]!Master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SpPr/>
      </xdr:nvSpPr>
      <xdr:spPr>
        <a:xfrm>
          <a:off x="114299" y="295276"/>
          <a:ext cx="1476376" cy="45720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Combain</a:t>
          </a:r>
          <a:r>
            <a:rPr lang="en-US" sz="1100" baseline="0">
              <a:solidFill>
                <a:schemeClr val="bg1"/>
              </a:solidFill>
            </a:rPr>
            <a:t> All Bank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1371600</xdr:colOff>
      <xdr:row>0</xdr:row>
      <xdr:rowOff>314325</xdr:rowOff>
    </xdr:from>
    <xdr:to>
      <xdr:col>8</xdr:col>
      <xdr:colOff>2628899</xdr:colOff>
      <xdr:row>2</xdr:row>
      <xdr:rowOff>38101</xdr:rowOff>
    </xdr:to>
    <xdr:sp macro="[0]!clearwithourprotec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SpPr/>
      </xdr:nvSpPr>
      <xdr:spPr>
        <a:xfrm>
          <a:off x="12049125" y="314325"/>
          <a:ext cx="1257299" cy="390526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ysClr val="windowText" lastClr="000000"/>
              </a:solidFill>
            </a:rPr>
            <a:t>Clear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114300</xdr:colOff>
      <xdr:row>2</xdr:row>
      <xdr:rowOff>142875</xdr:rowOff>
    </xdr:from>
    <xdr:to>
      <xdr:col>0</xdr:col>
      <xdr:colOff>1590675</xdr:colOff>
      <xdr:row>3</xdr:row>
      <xdr:rowOff>228601</xdr:rowOff>
    </xdr:to>
    <xdr:sp macro="[0]!export_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SpPr/>
      </xdr:nvSpPr>
      <xdr:spPr>
        <a:xfrm>
          <a:off x="114300" y="809625"/>
          <a:ext cx="1476375" cy="419101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Export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1362075</xdr:colOff>
      <xdr:row>2</xdr:row>
      <xdr:rowOff>133350</xdr:rowOff>
    </xdr:from>
    <xdr:to>
      <xdr:col>8</xdr:col>
      <xdr:colOff>2638425</xdr:colOff>
      <xdr:row>3</xdr:row>
      <xdr:rowOff>190501</xdr:rowOff>
    </xdr:to>
    <xdr:sp macro="[0]!Clearall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400-000005000000}"/>
            </a:ext>
          </a:extLst>
        </xdr:cNvPr>
        <xdr:cNvSpPr/>
      </xdr:nvSpPr>
      <xdr:spPr>
        <a:xfrm>
          <a:off x="11649075" y="800100"/>
          <a:ext cx="1276350" cy="390526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ysClr val="windowText" lastClr="000000"/>
              </a:solidFill>
            </a:rPr>
            <a:t>All Data Clear 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114300</xdr:colOff>
      <xdr:row>0</xdr:row>
      <xdr:rowOff>219075</xdr:rowOff>
    </xdr:from>
    <xdr:to>
      <xdr:col>3</xdr:col>
      <xdr:colOff>38100</xdr:colOff>
      <xdr:row>1</xdr:row>
      <xdr:rowOff>266701</xdr:rowOff>
    </xdr:to>
    <xdr:sp macro="[0]!CompanyLis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B3416613-6FF6-4A82-B6E0-79A5D8647C7B}"/>
            </a:ext>
          </a:extLst>
        </xdr:cNvPr>
        <xdr:cNvSpPr/>
      </xdr:nvSpPr>
      <xdr:spPr>
        <a:xfrm>
          <a:off x="3076575" y="219075"/>
          <a:ext cx="1209675" cy="381001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Company List</a:t>
          </a:r>
        </a:p>
      </xdr:txBody>
    </xdr:sp>
    <xdr:clientData/>
  </xdr:twoCellAnchor>
  <xdr:twoCellAnchor>
    <xdr:from>
      <xdr:col>3</xdr:col>
      <xdr:colOff>304800</xdr:colOff>
      <xdr:row>0</xdr:row>
      <xdr:rowOff>219075</xdr:rowOff>
    </xdr:from>
    <xdr:to>
      <xdr:col>4</xdr:col>
      <xdr:colOff>228600</xdr:colOff>
      <xdr:row>1</xdr:row>
      <xdr:rowOff>266701</xdr:rowOff>
    </xdr:to>
    <xdr:sp macro="[0]!AccountMaping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FF5A451F-00D6-4204-A547-A0FCB6EDA7B4}"/>
            </a:ext>
          </a:extLst>
        </xdr:cNvPr>
        <xdr:cNvSpPr/>
      </xdr:nvSpPr>
      <xdr:spPr>
        <a:xfrm>
          <a:off x="4552950" y="219075"/>
          <a:ext cx="1209675" cy="381001"/>
        </a:xfrm>
        <a:prstGeom prst="roundRect">
          <a:avLst/>
        </a:prstGeom>
        <a:solidFill>
          <a:schemeClr val="accent1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Account Map</a:t>
          </a:r>
        </a:p>
      </xdr:txBody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15</xdr:row>
      <xdr:rowOff>28575</xdr:rowOff>
    </xdr:from>
    <xdr:to>
      <xdr:col>1</xdr:col>
      <xdr:colOff>933450</xdr:colOff>
      <xdr:row>16</xdr:row>
      <xdr:rowOff>162075</xdr:rowOff>
    </xdr:to>
    <xdr:sp macro="[0]!RegistrationForm" textlink="">
      <xdr:nvSpPr>
        <xdr:cNvPr id="2" name="Rounded Rectangle 1">
          <a:extLst>
            <a:ext uri="{FF2B5EF4-FFF2-40B4-BE49-F238E27FC236}">
              <a16:creationId xmlns:a16="http://schemas.microsoft.com/office/drawing/2014/main" id="{7E200943-3AF8-45BC-BC69-B280A8F639E3}"/>
            </a:ext>
          </a:extLst>
        </xdr:cNvPr>
        <xdr:cNvSpPr>
          <a:spLocks/>
        </xdr:cNvSpPr>
      </xdr:nvSpPr>
      <xdr:spPr>
        <a:xfrm>
          <a:off x="581025" y="2886075"/>
          <a:ext cx="1933575" cy="32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Registration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57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5" Type="http://schemas.openxmlformats.org/officeDocument/2006/relationships/ctrlProp" Target="../ctrlProps/ctrlProp2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57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4">
    <tabColor theme="8" tint="0.79998168889431442"/>
  </sheetPr>
  <dimension ref="A1:DZ4"/>
  <sheetViews>
    <sheetView showRuler="0" workbookViewId="0">
      <selection activeCell="F17" sqref="F17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107"/>
      <c r="B1" s="107"/>
      <c r="C1" s="107"/>
      <c r="D1" s="107"/>
      <c r="E1" s="96" t="s">
        <v>0</v>
      </c>
      <c r="F1" s="97" t="s">
        <v>1</v>
      </c>
      <c r="G1" s="98" t="s">
        <v>2</v>
      </c>
      <c r="H1" s="99" t="s">
        <v>3</v>
      </c>
      <c r="I1" s="100" t="s">
        <v>4</v>
      </c>
      <c r="J1" s="101" t="s">
        <v>6</v>
      </c>
      <c r="K1" s="101" t="s">
        <v>6</v>
      </c>
      <c r="L1" s="101" t="s">
        <v>6</v>
      </c>
      <c r="M1" s="101" t="s">
        <v>6</v>
      </c>
      <c r="N1" s="101" t="s">
        <v>6</v>
      </c>
      <c r="O1" s="101" t="s">
        <v>6</v>
      </c>
      <c r="P1" s="101" t="s">
        <v>6</v>
      </c>
      <c r="Q1" s="101" t="s">
        <v>6</v>
      </c>
      <c r="R1" s="101" t="s">
        <v>6</v>
      </c>
      <c r="S1" s="102" t="s">
        <v>168</v>
      </c>
      <c r="T1" s="102">
        <v>10</v>
      </c>
      <c r="U1" s="102" t="s">
        <v>171</v>
      </c>
      <c r="V1" s="102" t="s">
        <v>204</v>
      </c>
      <c r="W1" s="102" t="s">
        <v>226</v>
      </c>
      <c r="X1" s="109" t="s">
        <v>6</v>
      </c>
      <c r="Y1" s="109" t="s">
        <v>6</v>
      </c>
      <c r="Z1" s="10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03" t="s">
        <v>5</v>
      </c>
      <c r="B2" s="103" t="s">
        <v>6</v>
      </c>
      <c r="C2" s="103"/>
      <c r="D2" s="103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04" t="s">
        <v>60</v>
      </c>
      <c r="B3" s="105"/>
      <c r="C3" s="104"/>
      <c r="D3" s="104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55" t="str">
        <f>+$A$3</f>
        <v>ICICI Bank A/c.</v>
      </c>
      <c r="DB3" s="156">
        <f>VALUE(B3)</f>
        <v>0</v>
      </c>
      <c r="DC3" s="157" t="e">
        <f>+CONCATENATE(TEXT(DB3,"D"),"",TEXT(DB3,"MM"),"","/",SUBSTITUTE(DF3,",",""),"/",DK3)</f>
        <v>#VALUE!</v>
      </c>
      <c r="DD3" s="158">
        <f>IF(TRIM(J3)="",VALUE("0"),VALUE(SUBSTITUTE((TRIM(J3)),",","")))</f>
        <v>0</v>
      </c>
      <c r="DE3" s="158">
        <f>IF(TRIM(L3)="",VALUE("0"),VALUE(SUBSTITUTE((TRIM(L3)),",","")))</f>
        <v>0</v>
      </c>
      <c r="DF3" s="158">
        <f>IF(TRIM(N3)="", 0, VALUE(SUBSTITUTE(SUBSTITUTE(SUBSTITUTE(TRIM(N3), ",", ""), "Cr", ""), "Dr", "")))</f>
        <v>0</v>
      </c>
      <c r="DG3" s="159" t="str">
        <f ca="1">(SUBSTITUTE(TRIM(IF(LEFT(G3,3)="CLG"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6)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12))),".",""))</f>
        <v/>
      </c>
      <c r="DH3" s="16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I3" s="161" t="str">
        <f>+IF(DE3=0,"Suspance Payment","Suspance Receipt")</f>
        <v>Suspance Payment</v>
      </c>
      <c r="DJ3" s="162">
        <f>+C3</f>
        <v>0</v>
      </c>
      <c r="DK3" s="16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48" t="s">
        <v>39</v>
      </c>
      <c r="B4" s="106" t="s">
        <v>219</v>
      </c>
      <c r="C4" s="106" t="s">
        <v>220</v>
      </c>
      <c r="D4" s="106"/>
      <c r="E4" s="106"/>
      <c r="F4" s="106"/>
      <c r="G4" s="106" t="s">
        <v>221</v>
      </c>
      <c r="H4" s="106"/>
      <c r="I4" s="106" t="s">
        <v>222</v>
      </c>
      <c r="J4" s="106" t="s">
        <v>223</v>
      </c>
      <c r="K4" s="147"/>
      <c r="L4" s="147" t="s">
        <v>224</v>
      </c>
      <c r="M4" s="147"/>
      <c r="N4" s="147" t="s">
        <v>225</v>
      </c>
      <c r="U4" s="6" t="s">
        <v>179</v>
      </c>
      <c r="DA4" s="38" t="str">
        <f>+DA3</f>
        <v>ICICI Bank A/c.</v>
      </c>
    </row>
  </sheetData>
  <sheetProtection algorithmName="SHA-512" hashValue="ENsji1lfoSznxnq1OfinMTZkZKLfM6uusKrNXaTnYvsOwN0yv4EKkEf9RjhNOfE5HR+pBhLLEfbq6UlE9Z0FmQ==" saltValue="8Puu+N9BlCH6xybzvXdqj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phoneticPr fontId="44" type="noConversion"/>
  <conditionalFormatting sqref="E3 I1:I2">
    <cfRule type="cellIs" dxfId="605" priority="10" operator="equal">
      <formula>#N/A</formula>
    </cfRule>
  </conditionalFormatting>
  <conditionalFormatting sqref="H1">
    <cfRule type="cellIs" dxfId="604" priority="9" operator="equal">
      <formula>#N/A</formula>
    </cfRule>
  </conditionalFormatting>
  <conditionalFormatting sqref="E1">
    <cfRule type="cellIs" dxfId="603" priority="8" operator="equal">
      <formula>#N/A</formula>
    </cfRule>
  </conditionalFormatting>
  <conditionalFormatting sqref="I1">
    <cfRule type="containsText" dxfId="602" priority="6" operator="containsText" text="All Data Import Successfully">
      <formula>NOT(ISERROR(SEARCH("All Data Import Successfully",I1)))</formula>
    </cfRule>
    <cfRule type="containsText" dxfId="601" priority="7" operator="containsText" text="Difference Entry">
      <formula>NOT(ISERROR(SEARCH("Difference Entry",I1)))</formula>
    </cfRule>
  </conditionalFormatting>
  <conditionalFormatting sqref="DG2">
    <cfRule type="cellIs" dxfId="600" priority="5" operator="equal">
      <formula>#N/A</formula>
    </cfRule>
  </conditionalFormatting>
  <conditionalFormatting sqref="DH2:DI2">
    <cfRule type="cellIs" dxfId="599" priority="4" operator="equal">
      <formula>#N/A</formula>
    </cfRule>
  </conditionalFormatting>
  <conditionalFormatting sqref="E2:G2">
    <cfRule type="cellIs" dxfId="598" priority="3" operator="equal">
      <formula>#N/A</formula>
    </cfRule>
  </conditionalFormatting>
  <conditionalFormatting sqref="H2">
    <cfRule type="cellIs" dxfId="597" priority="2" operator="equal">
      <formula>#N/A</formula>
    </cfRule>
  </conditionalFormatting>
  <conditionalFormatting sqref="I2">
    <cfRule type="cellIs" dxfId="596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9">
    <tabColor theme="8" tint="0.79998168889431442"/>
  </sheetPr>
  <dimension ref="A1:DZ4"/>
  <sheetViews>
    <sheetView workbookViewId="0">
      <selection activeCell="E24" sqref="E24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107"/>
      <c r="B1" s="107"/>
      <c r="C1" s="107"/>
      <c r="D1" s="107"/>
      <c r="E1" s="96" t="s">
        <v>0</v>
      </c>
      <c r="F1" s="97" t="s">
        <v>1</v>
      </c>
      <c r="G1" s="98" t="s">
        <v>2</v>
      </c>
      <c r="H1" s="99" t="s">
        <v>3</v>
      </c>
      <c r="I1" s="100" t="s">
        <v>4</v>
      </c>
      <c r="J1" s="101" t="s">
        <v>6</v>
      </c>
      <c r="K1" s="101" t="s">
        <v>6</v>
      </c>
      <c r="L1" s="101" t="s">
        <v>6</v>
      </c>
      <c r="M1" s="101" t="s">
        <v>6</v>
      </c>
      <c r="N1" s="101" t="s">
        <v>6</v>
      </c>
      <c r="O1" s="101" t="s">
        <v>6</v>
      </c>
      <c r="P1" s="101" t="s">
        <v>6</v>
      </c>
      <c r="Q1" s="101" t="s">
        <v>6</v>
      </c>
      <c r="R1" s="101" t="s">
        <v>6</v>
      </c>
      <c r="S1" s="102" t="s">
        <v>168</v>
      </c>
      <c r="T1" s="102">
        <v>10</v>
      </c>
      <c r="U1" s="102" t="s">
        <v>171</v>
      </c>
      <c r="V1" s="102" t="s">
        <v>204</v>
      </c>
      <c r="W1" s="102" t="s">
        <v>226</v>
      </c>
      <c r="X1" s="109" t="s">
        <v>6</v>
      </c>
      <c r="Y1" s="109" t="s">
        <v>6</v>
      </c>
      <c r="Z1" s="10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03" t="s">
        <v>5</v>
      </c>
      <c r="B2" s="103" t="s">
        <v>6</v>
      </c>
      <c r="C2" s="103"/>
      <c r="D2" s="103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14" t="s">
        <v>60</v>
      </c>
      <c r="B3" s="215"/>
      <c r="C3" s="214"/>
      <c r="D3" s="214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ICICI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IF(TRIM(F3)="",VALUE("0"),VALUE(SUBSTITUTE((TRIM(F3)),",","")))</f>
        <v>0</v>
      </c>
      <c r="DE3" s="26">
        <f>IF(TRIM(H3)="",VALUE("0"),VALUE(SUBSTITUTE((TRIM(H3)),",","")))</f>
        <v>0</v>
      </c>
      <c r="DF3" s="26">
        <f>IFERROR(IF(TRIM(M3)="", 0, VALUE(SUBSTITUTE(SUBSTITUTE(SUBSTITUTE(TRIM(M3), ",", ""), "Cr", ""), "Dr", ""))),DF2+DE3-DD3)</f>
        <v>0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70" t="str">
        <f>+A3</f>
        <v>ICICI Bank A/c.</v>
      </c>
      <c r="DI3" s="28" t="str">
        <f>+IF(DE3=0,"Suspance Payment","Suspance Receipt")</f>
        <v>Suspance Payment</v>
      </c>
      <c r="DJ3" s="2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3.25" thickBot="1">
      <c r="A4" s="216" t="s">
        <v>32</v>
      </c>
      <c r="B4" s="217" t="s">
        <v>148</v>
      </c>
      <c r="C4" s="217"/>
      <c r="D4" s="217"/>
      <c r="E4" s="217" t="s">
        <v>303</v>
      </c>
      <c r="F4" s="217" t="s">
        <v>68</v>
      </c>
      <c r="G4" s="217"/>
      <c r="H4" s="217" t="s">
        <v>69</v>
      </c>
      <c r="I4" s="217"/>
      <c r="J4" s="217" t="s">
        <v>304</v>
      </c>
      <c r="K4" s="217" t="s">
        <v>305</v>
      </c>
      <c r="L4" s="217"/>
      <c r="M4" s="218" t="s">
        <v>108</v>
      </c>
      <c r="N4" s="147"/>
      <c r="U4" s="6" t="s">
        <v>179</v>
      </c>
      <c r="DA4" s="38" t="str">
        <f>+DA3</f>
        <v>ICICI Bank A/c.</v>
      </c>
    </row>
  </sheetData>
  <sheetProtection algorithmName="SHA-512" hashValue="GsVs+UUpq4qXkexVDtZX4bucg/ZWJ/enkiyYL65ni5pRAkiGeE35LBB8nVv9vH2836srPSr0fC2L6W7rJe9wfg==" saltValue="pj+t3mJp9mj600lRk0+G/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595" priority="10" operator="equal">
      <formula>#N/A</formula>
    </cfRule>
  </conditionalFormatting>
  <conditionalFormatting sqref="H1">
    <cfRule type="cellIs" dxfId="594" priority="9" operator="equal">
      <formula>#N/A</formula>
    </cfRule>
  </conditionalFormatting>
  <conditionalFormatting sqref="E1">
    <cfRule type="cellIs" dxfId="593" priority="8" operator="equal">
      <formula>#N/A</formula>
    </cfRule>
  </conditionalFormatting>
  <conditionalFormatting sqref="I1">
    <cfRule type="containsText" dxfId="592" priority="6" operator="containsText" text="All Data Import Successfully">
      <formula>NOT(ISERROR(SEARCH("All Data Import Successfully",I1)))</formula>
    </cfRule>
    <cfRule type="containsText" dxfId="591" priority="7" operator="containsText" text="Difference Entry">
      <formula>NOT(ISERROR(SEARCH("Difference Entry",I1)))</formula>
    </cfRule>
  </conditionalFormatting>
  <conditionalFormatting sqref="DG2">
    <cfRule type="cellIs" dxfId="590" priority="5" operator="equal">
      <formula>#N/A</formula>
    </cfRule>
  </conditionalFormatting>
  <conditionalFormatting sqref="DH2:DI2">
    <cfRule type="cellIs" dxfId="589" priority="4" operator="equal">
      <formula>#N/A</formula>
    </cfRule>
  </conditionalFormatting>
  <conditionalFormatting sqref="E2:G2">
    <cfRule type="cellIs" dxfId="588" priority="3" operator="equal">
      <formula>#N/A</formula>
    </cfRule>
  </conditionalFormatting>
  <conditionalFormatting sqref="H2">
    <cfRule type="cellIs" dxfId="587" priority="2" operator="equal">
      <formula>#N/A</formula>
    </cfRule>
  </conditionalFormatting>
  <conditionalFormatting sqref="I2">
    <cfRule type="cellIs" dxfId="586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3">
    <tabColor theme="8" tint="0.79998168889431442"/>
  </sheetPr>
  <dimension ref="A1:DZ4"/>
  <sheetViews>
    <sheetView showRuler="0" workbookViewId="0">
      <selection activeCell="E37" sqref="E37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107"/>
      <c r="B1" s="107"/>
      <c r="C1" s="107"/>
      <c r="D1" s="107"/>
      <c r="E1" s="96" t="s">
        <v>0</v>
      </c>
      <c r="F1" s="97" t="s">
        <v>1</v>
      </c>
      <c r="G1" s="98" t="s">
        <v>2</v>
      </c>
      <c r="H1" s="99" t="s">
        <v>3</v>
      </c>
      <c r="I1" s="100" t="s">
        <v>4</v>
      </c>
      <c r="J1" s="101" t="s">
        <v>6</v>
      </c>
      <c r="K1" s="101" t="s">
        <v>6</v>
      </c>
      <c r="L1" s="101" t="s">
        <v>6</v>
      </c>
      <c r="M1" s="101" t="s">
        <v>6</v>
      </c>
      <c r="N1" s="101" t="s">
        <v>6</v>
      </c>
      <c r="O1" s="101" t="s">
        <v>6</v>
      </c>
      <c r="P1" s="101" t="s">
        <v>6</v>
      </c>
      <c r="Q1" s="101" t="s">
        <v>6</v>
      </c>
      <c r="R1" s="101" t="s">
        <v>6</v>
      </c>
      <c r="S1" s="102" t="s">
        <v>168</v>
      </c>
      <c r="T1" s="102">
        <v>10</v>
      </c>
      <c r="U1" s="102" t="s">
        <v>169</v>
      </c>
      <c r="V1" s="102" t="s">
        <v>170</v>
      </c>
      <c r="W1" s="102" t="s">
        <v>171</v>
      </c>
      <c r="X1" s="109" t="s">
        <v>6</v>
      </c>
      <c r="Y1" s="109" t="s">
        <v>6</v>
      </c>
      <c r="Z1" s="10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03" t="s">
        <v>5</v>
      </c>
      <c r="B2" s="103" t="s">
        <v>6</v>
      </c>
      <c r="C2" s="103"/>
      <c r="D2" s="103" t="s">
        <v>172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14" t="s">
        <v>60</v>
      </c>
      <c r="B3" s="215"/>
      <c r="C3" s="214"/>
      <c r="D3" s="214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ICICI Bank A/c.</v>
      </c>
      <c r="DB3" s="24">
        <f>VALUE(E3)</f>
        <v>0</v>
      </c>
      <c r="DC3" s="25" t="e">
        <f>+CONCATENATE(TEXT(DB3,"D"),"",TEXT(DB3,"MM"),"","/",SUBSTITUTE(DF3,",",""),"/",DK3)</f>
        <v>#VALUE!</v>
      </c>
      <c r="DD3" s="26">
        <f>IF(H3="",VALUE("0"),VALUE(SUBSTITUTE(SUBSTITUTE((H3),",",""),"NA",0)))</f>
        <v>0</v>
      </c>
      <c r="DE3" s="26">
        <f>IF(J3="",VALUE("0"),VALUE(SUBSTITUTE(SUBSTITUTE((J3),",",""),"NA",0)))</f>
        <v>0</v>
      </c>
      <c r="DF3" s="26" t="str">
        <f>IF(K3="","",VALUE(SUBSTITUTE((K3),",","")))</f>
        <v/>
      </c>
      <c r="DG3" s="26" t="str">
        <f>IF(K3="","",VALUE(SUBSTITUTE((K3),",","")))</f>
        <v/>
      </c>
      <c r="DH3" s="28">
        <f>+DB3</f>
        <v>0</v>
      </c>
      <c r="DI3" s="28" t="str">
        <f>+IF(DE3=0,"Suspance Payment","Suspance Receipt")</f>
        <v>Suspance Payment</v>
      </c>
      <c r="DJ3" s="29">
        <f>+G3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29" t="s">
        <v>16</v>
      </c>
      <c r="B4" s="229" t="s">
        <v>327</v>
      </c>
      <c r="C4" s="229" t="s">
        <v>18</v>
      </c>
      <c r="D4" s="229"/>
      <c r="E4" s="229" t="s">
        <v>25</v>
      </c>
      <c r="F4" s="229" t="s">
        <v>328</v>
      </c>
      <c r="G4" s="229" t="s">
        <v>28</v>
      </c>
      <c r="H4" s="229" t="s">
        <v>329</v>
      </c>
      <c r="I4" s="229"/>
      <c r="J4" s="229" t="s">
        <v>330</v>
      </c>
      <c r="K4" s="230" t="s">
        <v>11</v>
      </c>
      <c r="U4" s="6" t="s">
        <v>179</v>
      </c>
      <c r="DA4" s="38" t="str">
        <f>+DA3</f>
        <v>ICICI Bank A/c.</v>
      </c>
    </row>
  </sheetData>
  <sheetProtection algorithmName="SHA-512" hashValue="/TxTNWcqg0ekW55AizqdL4By1Y0Sz/YqAan35ymYu5PKpeD5i8EfkCKyibZHuMoXmqq74UfRYtrXn6kvAPNQTg==" saltValue="L7g+5bTJNm6hoYmIuzz0v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G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585" priority="10" operator="equal">
      <formula>#N/A</formula>
    </cfRule>
  </conditionalFormatting>
  <conditionalFormatting sqref="H1">
    <cfRule type="cellIs" dxfId="584" priority="9" operator="equal">
      <formula>#N/A</formula>
    </cfRule>
  </conditionalFormatting>
  <conditionalFormatting sqref="E1">
    <cfRule type="cellIs" dxfId="583" priority="8" operator="equal">
      <formula>#N/A</formula>
    </cfRule>
  </conditionalFormatting>
  <conditionalFormatting sqref="I1">
    <cfRule type="containsText" dxfId="582" priority="6" operator="containsText" text="All Data Import Successfully">
      <formula>NOT(ISERROR(SEARCH("All Data Import Successfully",I1)))</formula>
    </cfRule>
    <cfRule type="containsText" dxfId="581" priority="7" operator="containsText" text="Difference Entry">
      <formula>NOT(ISERROR(SEARCH("Difference Entry",I1)))</formula>
    </cfRule>
  </conditionalFormatting>
  <conditionalFormatting sqref="DG2">
    <cfRule type="cellIs" dxfId="580" priority="5" operator="equal">
      <formula>#N/A</formula>
    </cfRule>
  </conditionalFormatting>
  <conditionalFormatting sqref="DH2:DI2">
    <cfRule type="cellIs" dxfId="579" priority="4" operator="equal">
      <formula>#N/A</formula>
    </cfRule>
  </conditionalFormatting>
  <conditionalFormatting sqref="E2:G2">
    <cfRule type="cellIs" dxfId="578" priority="3" operator="equal">
      <formula>#N/A</formula>
    </cfRule>
  </conditionalFormatting>
  <conditionalFormatting sqref="H2">
    <cfRule type="cellIs" dxfId="577" priority="2" operator="equal">
      <formula>#N/A</formula>
    </cfRule>
  </conditionalFormatting>
  <conditionalFormatting sqref="I2">
    <cfRule type="cellIs" dxfId="576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6">
    <tabColor theme="8" tint="0.79998168889431442"/>
  </sheetPr>
  <dimension ref="A1:DZ4"/>
  <sheetViews>
    <sheetView workbookViewId="0">
      <selection activeCell="C3" sqref="C3"/>
    </sheetView>
  </sheetViews>
  <sheetFormatPr defaultRowHeight="15"/>
  <cols>
    <col min="1" max="1" width="25.7109375" style="202" customWidth="1"/>
    <col min="2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7"/>
      <c r="B1" s="107"/>
      <c r="C1" s="107"/>
      <c r="D1" s="107"/>
      <c r="E1" s="96" t="s">
        <v>0</v>
      </c>
      <c r="F1" s="97" t="s">
        <v>1</v>
      </c>
      <c r="G1" s="98" t="s">
        <v>2</v>
      </c>
      <c r="H1" s="99" t="s">
        <v>3</v>
      </c>
      <c r="I1" s="100" t="s">
        <v>4</v>
      </c>
      <c r="J1" s="101" t="s">
        <v>6</v>
      </c>
      <c r="K1" s="101" t="s">
        <v>6</v>
      </c>
      <c r="L1" s="101" t="s">
        <v>6</v>
      </c>
      <c r="M1" s="101" t="s">
        <v>6</v>
      </c>
      <c r="N1" s="101" t="s">
        <v>6</v>
      </c>
      <c r="O1" s="101" t="s">
        <v>6</v>
      </c>
      <c r="P1" s="101" t="s">
        <v>6</v>
      </c>
      <c r="Q1" s="101" t="s">
        <v>6</v>
      </c>
      <c r="R1" s="101" t="s">
        <v>6</v>
      </c>
      <c r="S1" s="102" t="s">
        <v>181</v>
      </c>
      <c r="T1" s="102">
        <v>7</v>
      </c>
      <c r="U1" s="102" t="s">
        <v>182</v>
      </c>
      <c r="V1" s="102" t="s">
        <v>173</v>
      </c>
      <c r="W1" s="102" t="s">
        <v>174</v>
      </c>
      <c r="X1" s="109" t="s">
        <v>6</v>
      </c>
      <c r="Y1" s="109">
        <v>10</v>
      </c>
      <c r="Z1" s="102">
        <v>0</v>
      </c>
      <c r="AA1" s="102" t="s">
        <v>259</v>
      </c>
      <c r="AB1" s="102" t="s">
        <v>258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03" t="s">
        <v>5</v>
      </c>
      <c r="B2" s="103" t="s">
        <v>6</v>
      </c>
      <c r="C2" s="103"/>
      <c r="D2" s="103" t="s">
        <v>172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HDFC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64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HDFC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>
        <f>+C3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10" t="s">
        <v>32</v>
      </c>
      <c r="B4" s="111" t="s">
        <v>33</v>
      </c>
      <c r="C4" s="111" t="s">
        <v>34</v>
      </c>
      <c r="D4" s="111" t="s">
        <v>35</v>
      </c>
      <c r="E4" s="111" t="s">
        <v>36</v>
      </c>
      <c r="F4" s="111" t="s">
        <v>37</v>
      </c>
      <c r="G4" s="112" t="s">
        <v>38</v>
      </c>
      <c r="DA4" s="38" t="str">
        <f>+DA3</f>
        <v>HDFC Bank A/c.</v>
      </c>
    </row>
  </sheetData>
  <sheetProtection algorithmName="SHA-512" hashValue="bS3UiSNhUs79fBc4VlOBRUOK41xnW7NJomMylG28JYlOxM8tMoMcgi+ok6J8RB1AFu6nTcjZp9s0MPrW3ySzcA==" saltValue="dHBT87feQFFFkvPvkvS9e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575" priority="11" operator="equal">
      <formula>#N/A</formula>
    </cfRule>
  </conditionalFormatting>
  <conditionalFormatting sqref="DG2">
    <cfRule type="cellIs" dxfId="574" priority="10" operator="equal">
      <formula>#N/A</formula>
    </cfRule>
  </conditionalFormatting>
  <conditionalFormatting sqref="DH2:DI2">
    <cfRule type="cellIs" dxfId="573" priority="9" operator="equal">
      <formula>#N/A</formula>
    </cfRule>
  </conditionalFormatting>
  <conditionalFormatting sqref="I1:I2">
    <cfRule type="cellIs" dxfId="572" priority="8" operator="equal">
      <formula>#N/A</formula>
    </cfRule>
  </conditionalFormatting>
  <conditionalFormatting sqref="H1">
    <cfRule type="cellIs" dxfId="571" priority="7" operator="equal">
      <formula>#N/A</formula>
    </cfRule>
  </conditionalFormatting>
  <conditionalFormatting sqref="E1">
    <cfRule type="cellIs" dxfId="570" priority="6" operator="equal">
      <formula>#N/A</formula>
    </cfRule>
  </conditionalFormatting>
  <conditionalFormatting sqref="I1">
    <cfRule type="containsText" dxfId="569" priority="4" operator="containsText" text="All Data Import Successfully">
      <formula>NOT(ISERROR(SEARCH("All Data Import Successfully",I1)))</formula>
    </cfRule>
    <cfRule type="containsText" dxfId="568" priority="5" operator="containsText" text="Difference Entry">
      <formula>NOT(ISERROR(SEARCH("Difference Entry",I1)))</formula>
    </cfRule>
  </conditionalFormatting>
  <conditionalFormatting sqref="E2:G2">
    <cfRule type="cellIs" dxfId="567" priority="3" operator="equal">
      <formula>#N/A</formula>
    </cfRule>
  </conditionalFormatting>
  <conditionalFormatting sqref="H2">
    <cfRule type="cellIs" dxfId="566" priority="2" operator="equal">
      <formula>#N/A</formula>
    </cfRule>
  </conditionalFormatting>
  <conditionalFormatting sqref="I2">
    <cfRule type="cellIs" dxfId="565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5">
    <tabColor theme="8" tint="0.79998168889431442"/>
  </sheetPr>
  <dimension ref="A1:DZ4"/>
  <sheetViews>
    <sheetView workbookViewId="0">
      <selection activeCell="E23" sqref="E23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7"/>
      <c r="B1" s="107"/>
      <c r="C1" s="107"/>
      <c r="D1" s="107"/>
      <c r="E1" s="96" t="s">
        <v>0</v>
      </c>
      <c r="F1" s="97" t="s">
        <v>1</v>
      </c>
      <c r="G1" s="98" t="s">
        <v>2</v>
      </c>
      <c r="H1" s="99" t="s">
        <v>3</v>
      </c>
      <c r="I1" s="100" t="s">
        <v>4</v>
      </c>
      <c r="J1" s="101" t="s">
        <v>6</v>
      </c>
      <c r="K1" s="101" t="s">
        <v>6</v>
      </c>
      <c r="L1" s="101" t="s">
        <v>6</v>
      </c>
      <c r="M1" s="101" t="s">
        <v>6</v>
      </c>
      <c r="N1" s="101" t="s">
        <v>6</v>
      </c>
      <c r="O1" s="101" t="s">
        <v>6</v>
      </c>
      <c r="P1" s="101" t="s">
        <v>6</v>
      </c>
      <c r="Q1" s="101" t="s">
        <v>6</v>
      </c>
      <c r="R1" s="101" t="s">
        <v>6</v>
      </c>
      <c r="S1" s="102" t="s">
        <v>216</v>
      </c>
      <c r="T1" s="102">
        <v>7</v>
      </c>
      <c r="U1" s="102" t="s">
        <v>198</v>
      </c>
      <c r="V1" s="102" t="s">
        <v>182</v>
      </c>
      <c r="W1" s="102" t="s">
        <v>173</v>
      </c>
      <c r="X1" s="109" t="s">
        <v>6</v>
      </c>
      <c r="Y1" s="109" t="s">
        <v>6</v>
      </c>
      <c r="Z1" s="10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03" t="s">
        <v>5</v>
      </c>
      <c r="B2" s="103" t="s">
        <v>6</v>
      </c>
      <c r="C2" s="103"/>
      <c r="D2" s="103" t="s">
        <v>172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61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IF(OR(D3=" ", D3=""), 0, VALUE(SUBSTITUTE(D3, ",", "")))</f>
        <v>0</v>
      </c>
      <c r="DE3" s="26">
        <f>IF(OR(E3=" ", E3=""),VALUE("0"),VALUE(SUBSTITUTE((E3),",","")))</f>
        <v>0</v>
      </c>
      <c r="DF3" s="26" t="str">
        <f>IF(OR(F3=" ", F3=""),"",VALUE(SUBSTITUTE((F3),",","")))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10" t="s">
        <v>39</v>
      </c>
      <c r="B4" s="111" t="s">
        <v>40</v>
      </c>
      <c r="C4" s="111" t="s">
        <v>41</v>
      </c>
      <c r="D4" s="111" t="s">
        <v>42</v>
      </c>
      <c r="E4" s="111" t="s">
        <v>43</v>
      </c>
      <c r="F4" s="111" t="s">
        <v>44</v>
      </c>
      <c r="G4" s="112" t="s">
        <v>45</v>
      </c>
      <c r="DA4" s="38" t="str">
        <f>+DA3</f>
        <v>Axis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564" priority="11" operator="equal">
      <formula>#N/A</formula>
    </cfRule>
  </conditionalFormatting>
  <conditionalFormatting sqref="DG2">
    <cfRule type="cellIs" dxfId="563" priority="10" operator="equal">
      <formula>#N/A</formula>
    </cfRule>
  </conditionalFormatting>
  <conditionalFormatting sqref="DH2:DI2">
    <cfRule type="cellIs" dxfId="562" priority="9" operator="equal">
      <formula>#N/A</formula>
    </cfRule>
  </conditionalFormatting>
  <conditionalFormatting sqref="I1:I2">
    <cfRule type="cellIs" dxfId="561" priority="8" operator="equal">
      <formula>#N/A</formula>
    </cfRule>
  </conditionalFormatting>
  <conditionalFormatting sqref="H1">
    <cfRule type="cellIs" dxfId="560" priority="7" operator="equal">
      <formula>#N/A</formula>
    </cfRule>
  </conditionalFormatting>
  <conditionalFormatting sqref="E1">
    <cfRule type="cellIs" dxfId="559" priority="6" operator="equal">
      <formula>#N/A</formula>
    </cfRule>
  </conditionalFormatting>
  <conditionalFormatting sqref="I1">
    <cfRule type="containsText" dxfId="558" priority="4" operator="containsText" text="All Data Import Successfully">
      <formula>NOT(ISERROR(SEARCH("All Data Import Successfully",I1)))</formula>
    </cfRule>
    <cfRule type="containsText" dxfId="557" priority="5" operator="containsText" text="Difference Entry">
      <formula>NOT(ISERROR(SEARCH("Difference Entry",I1)))</formula>
    </cfRule>
  </conditionalFormatting>
  <conditionalFormatting sqref="E2:G2">
    <cfRule type="cellIs" dxfId="556" priority="3" operator="equal">
      <formula>#N/A</formula>
    </cfRule>
  </conditionalFormatting>
  <conditionalFormatting sqref="H2">
    <cfRule type="cellIs" dxfId="555" priority="2" operator="equal">
      <formula>#N/A</formula>
    </cfRule>
  </conditionalFormatting>
  <conditionalFormatting sqref="I2">
    <cfRule type="cellIs" dxfId="55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0">
    <tabColor theme="8" tint="0.79998168889431442"/>
  </sheetPr>
  <dimension ref="A1:DZ4"/>
  <sheetViews>
    <sheetView topLeftCell="CQ1" workbookViewId="0">
      <selection activeCell="DD3" sqref="DD3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7"/>
      <c r="B1" s="107"/>
      <c r="C1" s="107"/>
      <c r="D1" s="107"/>
      <c r="E1" s="96" t="s">
        <v>0</v>
      </c>
      <c r="F1" s="97" t="s">
        <v>1</v>
      </c>
      <c r="G1" s="98" t="s">
        <v>2</v>
      </c>
      <c r="H1" s="99" t="s">
        <v>3</v>
      </c>
      <c r="I1" s="100" t="s">
        <v>4</v>
      </c>
      <c r="J1" s="101" t="s">
        <v>6</v>
      </c>
      <c r="K1" s="101" t="s">
        <v>6</v>
      </c>
      <c r="L1" s="101" t="s">
        <v>6</v>
      </c>
      <c r="M1" s="101" t="s">
        <v>6</v>
      </c>
      <c r="N1" s="101" t="s">
        <v>6</v>
      </c>
      <c r="O1" s="101" t="s">
        <v>6</v>
      </c>
      <c r="P1" s="101" t="s">
        <v>6</v>
      </c>
      <c r="Q1" s="101" t="s">
        <v>6</v>
      </c>
      <c r="R1" s="101" t="s">
        <v>6</v>
      </c>
      <c r="S1" s="102" t="s">
        <v>194</v>
      </c>
      <c r="T1" s="102">
        <v>8</v>
      </c>
      <c r="U1" s="102" t="s">
        <v>182</v>
      </c>
      <c r="V1" s="102" t="s">
        <v>182</v>
      </c>
      <c r="W1" s="102" t="s">
        <v>174</v>
      </c>
      <c r="X1" s="109" t="s">
        <v>6</v>
      </c>
      <c r="Y1" s="109" t="s">
        <v>6</v>
      </c>
      <c r="Z1" s="102">
        <v>0</v>
      </c>
      <c r="AA1" s="102" t="s">
        <v>259</v>
      </c>
      <c r="AB1" s="102" t="s">
        <v>258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03" t="s">
        <v>5</v>
      </c>
      <c r="B2" s="103" t="s">
        <v>6</v>
      </c>
      <c r="C2" s="103"/>
      <c r="D2" s="103" t="s">
        <v>172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61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74" t="str">
        <f>+$A$3</f>
        <v>Axis Bank A/c.</v>
      </c>
      <c r="DB3" s="175" t="e">
        <f>VALUE(A3)</f>
        <v>#VALUE!</v>
      </c>
      <c r="DC3" s="176" t="e">
        <f>+CONCATENATE(TEXT(DB3,"D"),"",TEXT(DB3,"MM"),"","/",SUBSTITUTE(DF3,",",""),"/",DK3)</f>
        <v>#VALUE!</v>
      </c>
      <c r="DD3" s="141" t="e">
        <f>IF(H3="Cr",VALUE("0"),VALUE(SUBSTITUTE((TRIM(G3)),",","")))</f>
        <v>#VALUE!</v>
      </c>
      <c r="DE3" s="141" t="e">
        <f>IF(H3="Dr",VALUE("0"),VALUE(SUBSTITUTE((TRIM(G3)),",","")))</f>
        <v>#VALUE!</v>
      </c>
      <c r="DF3" s="140" t="str">
        <f>+TRIM(I3)</f>
        <v/>
      </c>
      <c r="DG3" s="17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78" t="e">
        <f>+DB3</f>
        <v>#VALUE!</v>
      </c>
      <c r="DI3" s="178" t="e">
        <f>+IF(DE3=0,"Suspance Payment","Suspance Receipt")</f>
        <v>#VALUE!</v>
      </c>
      <c r="DJ3" s="179">
        <f>+C3</f>
        <v>0</v>
      </c>
      <c r="DK3" s="18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19" t="s">
        <v>306</v>
      </c>
      <c r="B4" s="220" t="s">
        <v>307</v>
      </c>
      <c r="C4" s="309" t="s">
        <v>308</v>
      </c>
      <c r="D4" s="309"/>
      <c r="E4" s="309"/>
      <c r="F4" s="220" t="s">
        <v>309</v>
      </c>
      <c r="G4" s="220" t="s">
        <v>310</v>
      </c>
      <c r="H4" s="220" t="s">
        <v>311</v>
      </c>
      <c r="I4" s="220" t="s">
        <v>312</v>
      </c>
      <c r="J4" s="221" t="s">
        <v>313</v>
      </c>
      <c r="DA4" s="38" t="str">
        <f>+DA3</f>
        <v>Axis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mergeCells count="1">
    <mergeCell ref="C4:E4"/>
  </mergeCells>
  <conditionalFormatting sqref="E3">
    <cfRule type="cellIs" dxfId="553" priority="11" operator="equal">
      <formula>#N/A</formula>
    </cfRule>
  </conditionalFormatting>
  <conditionalFormatting sqref="DG2">
    <cfRule type="cellIs" dxfId="552" priority="10" operator="equal">
      <formula>#N/A</formula>
    </cfRule>
  </conditionalFormatting>
  <conditionalFormatting sqref="DH2:DI2">
    <cfRule type="cellIs" dxfId="551" priority="9" operator="equal">
      <formula>#N/A</formula>
    </cfRule>
  </conditionalFormatting>
  <conditionalFormatting sqref="I1:I2">
    <cfRule type="cellIs" dxfId="550" priority="8" operator="equal">
      <formula>#N/A</formula>
    </cfRule>
  </conditionalFormatting>
  <conditionalFormatting sqref="H1">
    <cfRule type="cellIs" dxfId="549" priority="7" operator="equal">
      <formula>#N/A</formula>
    </cfRule>
  </conditionalFormatting>
  <conditionalFormatting sqref="E1">
    <cfRule type="cellIs" dxfId="548" priority="6" operator="equal">
      <formula>#N/A</formula>
    </cfRule>
  </conditionalFormatting>
  <conditionalFormatting sqref="I1">
    <cfRule type="containsText" dxfId="547" priority="4" operator="containsText" text="All Data Import Successfully">
      <formula>NOT(ISERROR(SEARCH("All Data Import Successfully",I1)))</formula>
    </cfRule>
    <cfRule type="containsText" dxfId="546" priority="5" operator="containsText" text="Difference Entry">
      <formula>NOT(ISERROR(SEARCH("Difference Entry",I1)))</formula>
    </cfRule>
  </conditionalFormatting>
  <conditionalFormatting sqref="E2:G2">
    <cfRule type="cellIs" dxfId="545" priority="3" operator="equal">
      <formula>#N/A</formula>
    </cfRule>
  </conditionalFormatting>
  <conditionalFormatting sqref="H2">
    <cfRule type="cellIs" dxfId="544" priority="2" operator="equal">
      <formula>#N/A</formula>
    </cfRule>
  </conditionalFormatting>
  <conditionalFormatting sqref="I2">
    <cfRule type="cellIs" dxfId="54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7">
    <tabColor theme="8" tint="0.79998168889431442"/>
  </sheetPr>
  <dimension ref="A1:DZ4"/>
  <sheetViews>
    <sheetView zoomScaleNormal="100" workbookViewId="0">
      <selection activeCell="C14" sqref="C14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7"/>
      <c r="B1" s="107"/>
      <c r="C1" s="107"/>
      <c r="D1" s="107"/>
      <c r="E1" s="96" t="s">
        <v>0</v>
      </c>
      <c r="F1" s="97" t="s">
        <v>1</v>
      </c>
      <c r="G1" s="98" t="s">
        <v>2</v>
      </c>
      <c r="H1" s="99" t="s">
        <v>3</v>
      </c>
      <c r="I1" s="100" t="s">
        <v>4</v>
      </c>
      <c r="J1" s="101" t="s">
        <v>6</v>
      </c>
      <c r="K1" s="101" t="s">
        <v>6</v>
      </c>
      <c r="L1" s="101" t="s">
        <v>6</v>
      </c>
      <c r="M1" s="101" t="s">
        <v>6</v>
      </c>
      <c r="N1" s="101" t="s">
        <v>6</v>
      </c>
      <c r="O1" s="101" t="s">
        <v>6</v>
      </c>
      <c r="P1" s="101" t="s">
        <v>6</v>
      </c>
      <c r="Q1" s="101" t="s">
        <v>6</v>
      </c>
      <c r="R1" s="101" t="s">
        <v>6</v>
      </c>
      <c r="S1" s="102" t="s">
        <v>202</v>
      </c>
      <c r="T1" s="102">
        <v>9</v>
      </c>
      <c r="U1" s="102" t="s">
        <v>236</v>
      </c>
      <c r="V1" s="102" t="s">
        <v>236</v>
      </c>
      <c r="W1" s="102" t="s">
        <v>237</v>
      </c>
      <c r="X1" s="109" t="s">
        <v>6</v>
      </c>
      <c r="Y1" s="109" t="s">
        <v>6</v>
      </c>
      <c r="Z1" s="10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03" t="s">
        <v>5</v>
      </c>
      <c r="B2" s="103" t="s">
        <v>6</v>
      </c>
      <c r="C2" s="103"/>
      <c r="D2" s="103" t="s">
        <v>172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62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49" t="str">
        <f>+$A$3</f>
        <v>IDBI Bank A/c.</v>
      </c>
      <c r="DB3" s="150" t="e">
        <f>IF(MID(LEFT(B3, 10), 5, 1) = "-", TEXT(DATE(LEFT(LEFT(B3, 10), 4), MID(LEFT(B3, 10), 6, 2), MID(LEFT(B3, 10), 9, 2)), "dd/MM/yyyy"), TEXT(DATE(RIGHT(LEFT(B3, 10), 4), MID(LEFT(B3, 10), 4, 2), LEFT(LEFT(B3, 10), 2)), "dd/MM/yyyy"))</f>
        <v>#VALUE!</v>
      </c>
      <c r="DC3" s="151" t="e">
        <f>+CONCATENATE(TEXT(DB3,"D"),"",TEXT(DB3,"MM"),"","/",SUBSTITUTE(DF3,",",""),"/",DK3)</f>
        <v>#VALUE!</v>
      </c>
      <c r="DD3" s="53" t="e">
        <f>IF(TRIM(J3)="Cr.",VALUE("0"),VALUE(SUBSTITUTE((TRIM(L3)),",","")))</f>
        <v>#VALUE!</v>
      </c>
      <c r="DE3" s="53" t="e">
        <f>IF(TRIM(J3)="Dr.",VALUE("0"),VALUE(SUBSTITUTE((TRIM(L3)),",","")))</f>
        <v>#VALUE!</v>
      </c>
      <c r="DF3" s="53" t="str">
        <f>IF(TRIM(M3)="","",VALUE(SUBSTITUTE((TRIM(M3)),",","")))</f>
        <v/>
      </c>
      <c r="DG3" s="152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53" t="e">
        <f>+DB3</f>
        <v>#VALUE!</v>
      </c>
      <c r="DI3" s="153" t="e">
        <f>+IF(DE3=0,"Suspance Payment","Suspance Receipt")</f>
        <v>#VALUE!</v>
      </c>
      <c r="DJ3" s="165" t="str">
        <f>+TRIM(F3)</f>
        <v/>
      </c>
      <c r="DK3" s="154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13" t="s">
        <v>227</v>
      </c>
      <c r="B4" s="114" t="s">
        <v>228</v>
      </c>
      <c r="C4" s="114"/>
      <c r="D4" s="114" t="s">
        <v>229</v>
      </c>
      <c r="E4" s="114"/>
      <c r="F4" s="114" t="s">
        <v>230</v>
      </c>
      <c r="G4" s="114"/>
      <c r="H4" s="114"/>
      <c r="I4" s="114" t="s">
        <v>231</v>
      </c>
      <c r="J4" s="164" t="s">
        <v>232</v>
      </c>
      <c r="K4" s="111" t="s">
        <v>233</v>
      </c>
      <c r="L4" s="111" t="s">
        <v>234</v>
      </c>
      <c r="M4" s="112" t="s">
        <v>235</v>
      </c>
      <c r="N4" s="147"/>
      <c r="DA4" s="38" t="str">
        <f>+DA3</f>
        <v>IDBI Bank A/c.</v>
      </c>
    </row>
  </sheetData>
  <sheetProtection algorithmName="SHA-512" hashValue="0R3BEEJlpJEQBsvjLo/QQMK8CM3oc0+fsKog/4gDNCdeVIza1EAVEFmimfF19ERXbR6tFlftRHP7kMwZJ+Gjww==" saltValue="g01atvlJJfIBjqVqDAGpZ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542" priority="11" operator="equal">
      <formula>#N/A</formula>
    </cfRule>
  </conditionalFormatting>
  <conditionalFormatting sqref="DG2">
    <cfRule type="cellIs" dxfId="541" priority="10" operator="equal">
      <formula>#N/A</formula>
    </cfRule>
  </conditionalFormatting>
  <conditionalFormatting sqref="DH2:DI2">
    <cfRule type="cellIs" dxfId="540" priority="9" operator="equal">
      <formula>#N/A</formula>
    </cfRule>
  </conditionalFormatting>
  <conditionalFormatting sqref="I1:I2">
    <cfRule type="cellIs" dxfId="539" priority="8" operator="equal">
      <formula>#N/A</formula>
    </cfRule>
  </conditionalFormatting>
  <conditionalFormatting sqref="H1">
    <cfRule type="cellIs" dxfId="538" priority="7" operator="equal">
      <formula>#N/A</formula>
    </cfRule>
  </conditionalFormatting>
  <conditionalFormatting sqref="E1">
    <cfRule type="cellIs" dxfId="537" priority="6" operator="equal">
      <formula>#N/A</formula>
    </cfRule>
  </conditionalFormatting>
  <conditionalFormatting sqref="I1">
    <cfRule type="containsText" dxfId="536" priority="4" operator="containsText" text="All Data Import Successfully">
      <formula>NOT(ISERROR(SEARCH("All Data Import Successfully",I1)))</formula>
    </cfRule>
    <cfRule type="containsText" dxfId="535" priority="5" operator="containsText" text="Difference Entry">
      <formula>NOT(ISERROR(SEARCH("Difference Entry",I1)))</formula>
    </cfRule>
  </conditionalFormatting>
  <conditionalFormatting sqref="E2:G2">
    <cfRule type="cellIs" dxfId="534" priority="3" operator="equal">
      <formula>#N/A</formula>
    </cfRule>
  </conditionalFormatting>
  <conditionalFormatting sqref="H2">
    <cfRule type="cellIs" dxfId="533" priority="2" operator="equal">
      <formula>#N/A</formula>
    </cfRule>
  </conditionalFormatting>
  <conditionalFormatting sqref="I2">
    <cfRule type="cellIs" dxfId="53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4">
    <tabColor theme="8" tint="0.79998168889431442"/>
  </sheetPr>
  <dimension ref="A1:DZ4"/>
  <sheetViews>
    <sheetView showRuler="0" workbookViewId="0">
      <selection activeCell="D26" sqref="D26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7"/>
      <c r="B1" s="107"/>
      <c r="C1" s="107"/>
      <c r="D1" s="107"/>
      <c r="E1" s="96" t="s">
        <v>0</v>
      </c>
      <c r="F1" s="97" t="s">
        <v>1</v>
      </c>
      <c r="G1" s="98" t="s">
        <v>2</v>
      </c>
      <c r="H1" s="99" t="s">
        <v>3</v>
      </c>
      <c r="I1" s="100" t="s">
        <v>4</v>
      </c>
      <c r="J1" s="101" t="s">
        <v>6</v>
      </c>
      <c r="K1" s="101" t="s">
        <v>6</v>
      </c>
      <c r="L1" s="101" t="s">
        <v>6</v>
      </c>
      <c r="M1" s="101" t="s">
        <v>6</v>
      </c>
      <c r="N1" s="101" t="s">
        <v>6</v>
      </c>
      <c r="O1" s="101" t="s">
        <v>6</v>
      </c>
      <c r="P1" s="101" t="s">
        <v>6</v>
      </c>
      <c r="Q1" s="101" t="s">
        <v>6</v>
      </c>
      <c r="R1" s="101" t="s">
        <v>6</v>
      </c>
      <c r="S1" s="102" t="s">
        <v>181</v>
      </c>
      <c r="T1" s="102">
        <v>7</v>
      </c>
      <c r="U1" s="102" t="s">
        <v>182</v>
      </c>
      <c r="V1" s="102" t="s">
        <v>173</v>
      </c>
      <c r="W1" s="102" t="s">
        <v>174</v>
      </c>
      <c r="X1" s="109" t="s">
        <v>6</v>
      </c>
      <c r="Y1" s="109">
        <v>10</v>
      </c>
      <c r="Z1" s="102">
        <v>0</v>
      </c>
      <c r="AA1" s="102" t="s">
        <v>259</v>
      </c>
      <c r="AB1" s="102" t="s">
        <v>258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03" t="s">
        <v>5</v>
      </c>
      <c r="B2" s="103" t="s">
        <v>6</v>
      </c>
      <c r="C2" s="103"/>
      <c r="D2" s="103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IDBI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62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IDBI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IF(G3="",VALUE("0"),VALUE(SUBSTITUTE((TRIM(G3)),",","")))</f>
        <v>0</v>
      </c>
      <c r="DE3" s="26">
        <f>IF(H3="",VALUE("0"),VALUE(SUBSTITUTE((TRIM(H3)),",","")))</f>
        <v>0</v>
      </c>
      <c r="DF3" s="26" t="str">
        <f>IF(I3="","",VALUE(SUBSTITUTE((TRIM(I3)),",","")))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93" t="s">
        <v>267</v>
      </c>
      <c r="B4" s="193" t="s">
        <v>268</v>
      </c>
      <c r="C4" s="193" t="s">
        <v>269</v>
      </c>
      <c r="D4" s="310" t="s">
        <v>270</v>
      </c>
      <c r="E4" s="311"/>
      <c r="F4" s="194" t="s">
        <v>271</v>
      </c>
      <c r="G4" s="194" t="s">
        <v>272</v>
      </c>
      <c r="H4" s="195" t="s">
        <v>273</v>
      </c>
      <c r="I4" s="195" t="s">
        <v>274</v>
      </c>
      <c r="DA4" s="38" t="str">
        <f>+DA3</f>
        <v>IDBI Bank A/c.</v>
      </c>
    </row>
  </sheetData>
  <sheetProtection algorithmName="SHA-512" hashValue="Slqqchtzqkv3wORx8gyNdRqoCpIXh6yBztLLI7YXz0Pg4XAkwawtx3q/MCAnN1em6akh8bk84/GSkHckCKjyGA==" saltValue="kKF9omMUTcA7WKxGrlf5T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mergeCells count="1">
    <mergeCell ref="D4:E4"/>
  </mergeCells>
  <conditionalFormatting sqref="E3">
    <cfRule type="cellIs" dxfId="531" priority="11" operator="equal">
      <formula>#N/A</formula>
    </cfRule>
  </conditionalFormatting>
  <conditionalFormatting sqref="DG2">
    <cfRule type="cellIs" dxfId="530" priority="10" operator="equal">
      <formula>#N/A</formula>
    </cfRule>
  </conditionalFormatting>
  <conditionalFormatting sqref="DH2:DI2">
    <cfRule type="cellIs" dxfId="529" priority="9" operator="equal">
      <formula>#N/A</formula>
    </cfRule>
  </conditionalFormatting>
  <conditionalFormatting sqref="I1:I2">
    <cfRule type="cellIs" dxfId="528" priority="8" operator="equal">
      <formula>#N/A</formula>
    </cfRule>
  </conditionalFormatting>
  <conditionalFormatting sqref="H1">
    <cfRule type="cellIs" dxfId="527" priority="7" operator="equal">
      <formula>#N/A</formula>
    </cfRule>
  </conditionalFormatting>
  <conditionalFormatting sqref="E1">
    <cfRule type="cellIs" dxfId="526" priority="6" operator="equal">
      <formula>#N/A</formula>
    </cfRule>
  </conditionalFormatting>
  <conditionalFormatting sqref="I1">
    <cfRule type="containsText" dxfId="525" priority="4" operator="containsText" text="All Data Import Successfully">
      <formula>NOT(ISERROR(SEARCH("All Data Import Successfully",I1)))</formula>
    </cfRule>
    <cfRule type="containsText" dxfId="524" priority="5" operator="containsText" text="Difference Entry">
      <formula>NOT(ISERROR(SEARCH("Difference Entry",I1)))</formula>
    </cfRule>
  </conditionalFormatting>
  <conditionalFormatting sqref="E2:G2">
    <cfRule type="cellIs" dxfId="523" priority="3" operator="equal">
      <formula>#N/A</formula>
    </cfRule>
  </conditionalFormatting>
  <conditionalFormatting sqref="H2">
    <cfRule type="cellIs" dxfId="522" priority="2" operator="equal">
      <formula>#N/A</formula>
    </cfRule>
  </conditionalFormatting>
  <conditionalFormatting sqref="I2">
    <cfRule type="cellIs" dxfId="521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8">
    <tabColor theme="8" tint="0.79998168889431442"/>
  </sheetPr>
  <dimension ref="A1:DZ4"/>
  <sheetViews>
    <sheetView showRuler="0" workbookViewId="0">
      <selection activeCell="A2" sqref="A2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7"/>
      <c r="B1" s="107"/>
      <c r="C1" s="107"/>
      <c r="D1" s="107"/>
      <c r="E1" s="96" t="s">
        <v>0</v>
      </c>
      <c r="F1" s="97" t="s">
        <v>1</v>
      </c>
      <c r="G1" s="98" t="s">
        <v>2</v>
      </c>
      <c r="H1" s="99" t="s">
        <v>3</v>
      </c>
      <c r="I1" s="100" t="s">
        <v>4</v>
      </c>
      <c r="J1" s="101" t="s">
        <v>6</v>
      </c>
      <c r="K1" s="101" t="s">
        <v>6</v>
      </c>
      <c r="L1" s="101" t="s">
        <v>6</v>
      </c>
      <c r="M1" s="101" t="s">
        <v>6</v>
      </c>
      <c r="N1" s="101" t="s">
        <v>6</v>
      </c>
      <c r="O1" s="101" t="s">
        <v>6</v>
      </c>
      <c r="P1" s="101" t="s">
        <v>6</v>
      </c>
      <c r="Q1" s="101" t="s">
        <v>6</v>
      </c>
      <c r="R1" s="101" t="s">
        <v>6</v>
      </c>
      <c r="S1" s="102" t="s">
        <v>205</v>
      </c>
      <c r="T1" s="102">
        <v>7</v>
      </c>
      <c r="U1" s="102" t="s">
        <v>182</v>
      </c>
      <c r="V1" s="102" t="s">
        <v>173</v>
      </c>
      <c r="W1" s="102" t="s">
        <v>174</v>
      </c>
      <c r="X1" s="109" t="s">
        <v>6</v>
      </c>
      <c r="Y1" s="109">
        <v>3</v>
      </c>
      <c r="Z1" s="10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03" t="s">
        <v>5</v>
      </c>
      <c r="B2" s="103" t="s">
        <v>6</v>
      </c>
      <c r="C2" s="103"/>
      <c r="D2" s="103" t="s">
        <v>172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123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IDFC First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IF(TRIM(E3)="",VALUE("0"),VALUE(SUBSTITUTE((TRIM(E3)),",","")))</f>
        <v>0</v>
      </c>
      <c r="DE3" s="26">
        <f>IF(TRIM(F3)="",VALUE("0"),VALUE(SUBSTITUTE((TRIM(F3)),",","")))</f>
        <v>0</v>
      </c>
      <c r="DF3" s="57" t="e">
        <f>IF(TRIM(G3)=" ","",VALUE(SUBSTITUTE((TRIM(G3)),",","")))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10" t="s">
        <v>17</v>
      </c>
      <c r="B4" s="111" t="s">
        <v>18</v>
      </c>
      <c r="C4" s="111" t="s">
        <v>19</v>
      </c>
      <c r="D4" s="111" t="s">
        <v>20</v>
      </c>
      <c r="E4" s="111" t="s">
        <v>21</v>
      </c>
      <c r="F4" s="111" t="s">
        <v>22</v>
      </c>
      <c r="G4" s="112" t="s">
        <v>11</v>
      </c>
      <c r="DA4" s="38" t="str">
        <f>+DA3</f>
        <v>IDFC First</v>
      </c>
      <c r="DF4" s="26"/>
    </row>
  </sheetData>
  <sheetProtection algorithmName="SHA-512" hashValue="0lBKlW5CHUF9mUlfQmrQR6+Kff37BtOtmXqpGTTlLOwPZxyExJ8pu3JC44F/CQUTg0xNtN3cyQ0TYLJiOPgB6w==" saltValue="oMbH7AZANEPSP7I9SaimR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E3 DF4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F3" name="Range1_1_8_1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520" priority="11" operator="equal">
      <formula>#N/A</formula>
    </cfRule>
  </conditionalFormatting>
  <conditionalFormatting sqref="DG2">
    <cfRule type="cellIs" dxfId="519" priority="10" operator="equal">
      <formula>#N/A</formula>
    </cfRule>
  </conditionalFormatting>
  <conditionalFormatting sqref="DH2:DI2">
    <cfRule type="cellIs" dxfId="518" priority="9" operator="equal">
      <formula>#N/A</formula>
    </cfRule>
  </conditionalFormatting>
  <conditionalFormatting sqref="I1:I2">
    <cfRule type="cellIs" dxfId="517" priority="8" operator="equal">
      <formula>#N/A</formula>
    </cfRule>
  </conditionalFormatting>
  <conditionalFormatting sqref="H1">
    <cfRule type="cellIs" dxfId="516" priority="7" operator="equal">
      <formula>#N/A</formula>
    </cfRule>
  </conditionalFormatting>
  <conditionalFormatting sqref="E1">
    <cfRule type="cellIs" dxfId="515" priority="6" operator="equal">
      <formula>#N/A</formula>
    </cfRule>
  </conditionalFormatting>
  <conditionalFormatting sqref="I1">
    <cfRule type="containsText" dxfId="514" priority="4" operator="containsText" text="All Data Import Successfully">
      <formula>NOT(ISERROR(SEARCH("All Data Import Successfully",I1)))</formula>
    </cfRule>
    <cfRule type="containsText" dxfId="513" priority="5" operator="containsText" text="Difference Entry">
      <formula>NOT(ISERROR(SEARCH("Difference Entry",I1)))</formula>
    </cfRule>
  </conditionalFormatting>
  <conditionalFormatting sqref="E2:G2">
    <cfRule type="cellIs" dxfId="512" priority="3" operator="equal">
      <formula>#N/A</formula>
    </cfRule>
  </conditionalFormatting>
  <conditionalFormatting sqref="H2">
    <cfRule type="cellIs" dxfId="511" priority="2" operator="equal">
      <formula>#N/A</formula>
    </cfRule>
  </conditionalFormatting>
  <conditionalFormatting sqref="I2">
    <cfRule type="cellIs" dxfId="51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6">
    <tabColor theme="8" tint="0.79998168889431442"/>
  </sheetPr>
  <dimension ref="A1:DZ4"/>
  <sheetViews>
    <sheetView workbookViewId="0">
      <selection activeCell="C13" sqref="C13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44.85546875" style="6" customWidth="1"/>
    <col min="115" max="115" width="24.7109375" style="6" customWidth="1"/>
    <col min="116" max="16384" width="9.140625" style="6"/>
  </cols>
  <sheetData>
    <row r="1" spans="1:130" ht="45" customHeight="1">
      <c r="A1" s="107"/>
      <c r="B1" s="107"/>
      <c r="C1" s="107"/>
      <c r="D1" s="107"/>
      <c r="E1" s="96" t="s">
        <v>0</v>
      </c>
      <c r="F1" s="97" t="s">
        <v>1</v>
      </c>
      <c r="G1" s="98" t="s">
        <v>2</v>
      </c>
      <c r="H1" s="99" t="s">
        <v>3</v>
      </c>
      <c r="I1" s="100" t="s">
        <v>4</v>
      </c>
      <c r="J1" s="101" t="s">
        <v>6</v>
      </c>
      <c r="K1" s="101" t="s">
        <v>6</v>
      </c>
      <c r="L1" s="101" t="s">
        <v>6</v>
      </c>
      <c r="M1" s="101" t="s">
        <v>6</v>
      </c>
      <c r="N1" s="101" t="s">
        <v>6</v>
      </c>
      <c r="O1" s="101" t="s">
        <v>6</v>
      </c>
      <c r="P1" s="101" t="s">
        <v>6</v>
      </c>
      <c r="Q1" s="101" t="s">
        <v>6</v>
      </c>
      <c r="R1" s="101" t="s">
        <v>6</v>
      </c>
      <c r="S1" s="102" t="s">
        <v>205</v>
      </c>
      <c r="T1" s="102">
        <v>7</v>
      </c>
      <c r="U1" s="102" t="s">
        <v>182</v>
      </c>
      <c r="V1" s="102" t="s">
        <v>173</v>
      </c>
      <c r="W1" s="102" t="s">
        <v>174</v>
      </c>
      <c r="X1" s="109" t="s">
        <v>6</v>
      </c>
      <c r="Y1" s="109">
        <v>3</v>
      </c>
      <c r="Z1" s="102">
        <v>0</v>
      </c>
      <c r="AA1" s="102" t="s">
        <v>258</v>
      </c>
      <c r="AB1" s="102" t="s">
        <v>198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03" t="s">
        <v>5</v>
      </c>
      <c r="B2" s="103" t="s">
        <v>6</v>
      </c>
      <c r="C2" s="103"/>
      <c r="D2" s="103" t="s">
        <v>172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 xml:space="preserve">City Union Bank 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2795</v>
      </c>
      <c r="B3" s="59"/>
      <c r="C3" s="58"/>
      <c r="D3" s="58"/>
      <c r="E3" s="60"/>
      <c r="F3" s="58"/>
      <c r="G3" s="2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74" t="str">
        <f>+DA2</f>
        <v xml:space="preserve">City Union Bank </v>
      </c>
      <c r="DB3" s="175" t="e">
        <f>VALUE(A3)</f>
        <v>#VALUE!</v>
      </c>
      <c r="DC3" s="176" t="e">
        <f>+CONCATENATE(TEXT(DB3,"D"),"",TEXT(DB3,"MM"),"","/",ABS(SUBSTITUTE(DF3,",","")),"/",DK3)</f>
        <v>#VALUE!</v>
      </c>
      <c r="DD3" s="141">
        <f>IF(TRIM(D3)="",VALUE("0"),VALUE(SUBSTITUTE((TRIM(D3)),",","")))</f>
        <v>0</v>
      </c>
      <c r="DE3" s="141">
        <f>IF(E3="",VALUE("0"),VALUE(SUBSTITUTE((E3),",","")))</f>
        <v>0</v>
      </c>
      <c r="DF3" s="141" t="e">
        <f>IF(TRIM(F3)=" ","",VALUE(SUBSTITUTE((TRIM(F3)),",","")))</f>
        <v>#VALUE!</v>
      </c>
      <c r="DG3" s="17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78" t="e">
        <f>VALUE(A3)</f>
        <v>#VALUE!</v>
      </c>
      <c r="DI3" s="178" t="str">
        <f>+IF(DE3=0,"Suspance Payment","Suspance Receipt")</f>
        <v>Suspance Payment</v>
      </c>
      <c r="DJ3" s="183">
        <f>+B3</f>
        <v>0</v>
      </c>
      <c r="DK3" s="18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66" t="s">
        <v>32</v>
      </c>
      <c r="B4" s="167" t="s">
        <v>148</v>
      </c>
      <c r="C4" s="168" t="s">
        <v>34</v>
      </c>
      <c r="D4" s="168" t="s">
        <v>238</v>
      </c>
      <c r="E4" s="169" t="s">
        <v>156</v>
      </c>
      <c r="F4" s="169" t="s">
        <v>11</v>
      </c>
      <c r="DA4" s="38" t="str">
        <f>+DA3</f>
        <v xml:space="preserve">City Union Bank </v>
      </c>
    </row>
  </sheetData>
  <sheetProtection algorithmName="SHA-512" hashValue="8cLa5UNiSgatqHh2d/nmKSnzv3qC1ub298ncYtfiiHor0LaEplBZXG6L0iseIqdJa0xGlId80vW6IUlaqqPMbw==" saltValue="+uW6r/ybQR4Xa1dpVYM1J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">
    <cfRule type="cellIs" dxfId="509" priority="11" operator="equal">
      <formula>#N/A</formula>
    </cfRule>
  </conditionalFormatting>
  <conditionalFormatting sqref="DG2">
    <cfRule type="cellIs" dxfId="508" priority="10" operator="equal">
      <formula>#N/A</formula>
    </cfRule>
  </conditionalFormatting>
  <conditionalFormatting sqref="DH2:DI2">
    <cfRule type="cellIs" dxfId="507" priority="9" operator="equal">
      <formula>#N/A</formula>
    </cfRule>
  </conditionalFormatting>
  <conditionalFormatting sqref="I1:I2">
    <cfRule type="cellIs" dxfId="506" priority="8" operator="equal">
      <formula>#N/A</formula>
    </cfRule>
  </conditionalFormatting>
  <conditionalFormatting sqref="H1">
    <cfRule type="cellIs" dxfId="505" priority="7" operator="equal">
      <formula>#N/A</formula>
    </cfRule>
  </conditionalFormatting>
  <conditionalFormatting sqref="E1">
    <cfRule type="cellIs" dxfId="504" priority="6" operator="equal">
      <formula>#N/A</formula>
    </cfRule>
  </conditionalFormatting>
  <conditionalFormatting sqref="I1">
    <cfRule type="containsText" dxfId="503" priority="4" operator="containsText" text="All Data Import Successfully">
      <formula>NOT(ISERROR(SEARCH("All Data Import Successfully",I1)))</formula>
    </cfRule>
    <cfRule type="containsText" dxfId="502" priority="5" operator="containsText" text="Difference Entry">
      <formula>NOT(ISERROR(SEARCH("Difference Entry",I1)))</formula>
    </cfRule>
  </conditionalFormatting>
  <conditionalFormatting sqref="E2:G2">
    <cfRule type="cellIs" dxfId="501" priority="3" operator="equal">
      <formula>#N/A</formula>
    </cfRule>
  </conditionalFormatting>
  <conditionalFormatting sqref="H2">
    <cfRule type="cellIs" dxfId="500" priority="2" operator="equal">
      <formula>#N/A</formula>
    </cfRule>
  </conditionalFormatting>
  <conditionalFormatting sqref="I2">
    <cfRule type="cellIs" dxfId="49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9">
    <tabColor theme="8" tint="0.79998168889431442"/>
  </sheetPr>
  <dimension ref="A1:DZ5"/>
  <sheetViews>
    <sheetView workbookViewId="0">
      <selection activeCell="D34" sqref="D34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44.85546875" style="6" customWidth="1"/>
    <col min="115" max="115" width="24.7109375" style="6" customWidth="1"/>
    <col min="116" max="16384" width="9.140625" style="6"/>
  </cols>
  <sheetData>
    <row r="1" spans="1:130" ht="45" customHeight="1">
      <c r="A1" s="107"/>
      <c r="B1" s="107"/>
      <c r="C1" s="107"/>
      <c r="D1" s="107"/>
      <c r="E1" s="96" t="s">
        <v>0</v>
      </c>
      <c r="F1" s="97" t="s">
        <v>1</v>
      </c>
      <c r="G1" s="98" t="s">
        <v>2</v>
      </c>
      <c r="H1" s="99" t="s">
        <v>3</v>
      </c>
      <c r="I1" s="100" t="s">
        <v>4</v>
      </c>
      <c r="J1" s="101" t="s">
        <v>6</v>
      </c>
      <c r="K1" s="101" t="s">
        <v>6</v>
      </c>
      <c r="L1" s="101" t="s">
        <v>6</v>
      </c>
      <c r="M1" s="101" t="s">
        <v>6</v>
      </c>
      <c r="N1" s="101" t="s">
        <v>6</v>
      </c>
      <c r="O1" s="101" t="s">
        <v>6</v>
      </c>
      <c r="P1" s="101" t="s">
        <v>6</v>
      </c>
      <c r="Q1" s="101" t="s">
        <v>6</v>
      </c>
      <c r="R1" s="101" t="s">
        <v>6</v>
      </c>
      <c r="S1" s="102" t="s">
        <v>205</v>
      </c>
      <c r="T1" s="102">
        <v>7</v>
      </c>
      <c r="U1" s="102" t="s">
        <v>182</v>
      </c>
      <c r="V1" s="102" t="s">
        <v>173</v>
      </c>
      <c r="W1" s="102" t="s">
        <v>174</v>
      </c>
      <c r="X1" s="109" t="s">
        <v>6</v>
      </c>
      <c r="Y1" s="109">
        <v>3</v>
      </c>
      <c r="Z1" s="102">
        <v>0</v>
      </c>
      <c r="AA1" s="102" t="s">
        <v>258</v>
      </c>
      <c r="AB1" s="102" t="s">
        <v>198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03" t="s">
        <v>5</v>
      </c>
      <c r="B2" s="103" t="s">
        <v>6</v>
      </c>
      <c r="C2" s="103"/>
      <c r="D2" s="103" t="s">
        <v>172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Indusind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93</v>
      </c>
      <c r="B3" s="59"/>
      <c r="C3" s="58"/>
      <c r="D3" s="58"/>
      <c r="E3" s="60"/>
      <c r="F3" s="58"/>
      <c r="G3" s="2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74" t="str">
        <f>+DA2</f>
        <v>Indusind Bank</v>
      </c>
      <c r="DB3" s="175" t="e">
        <f>VALUE(A3)</f>
        <v>#VALUE!</v>
      </c>
      <c r="DC3" s="176" t="e">
        <f>+CONCATENATE(TEXT(DB3,"D"),"",TEXT(DB3,"MM"),"","/",SUBSTITUTE(DF3,",",""),"/",DK3)</f>
        <v>#VALUE!</v>
      </c>
      <c r="DD3" s="141">
        <f>IF(TRIM(D3)="",VALUE("0"),VALUE(SUBSTITUTE((TRIM(D3)),"-","")))</f>
        <v>0</v>
      </c>
      <c r="DE3" s="141">
        <f>IF(E3="",VALUE("0"),VALUE(SUBSTITUTE((E3),"-","")))</f>
        <v>0</v>
      </c>
      <c r="DF3" s="141" t="e">
        <f>IF(TRIM(F3)=" ","",VALUE(SUBSTITUTE((TRIM(F3)),",","")))</f>
        <v>#VALUE!</v>
      </c>
      <c r="DG3" s="17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78" t="e">
        <f>VALUE(A3)</f>
        <v>#VALUE!</v>
      </c>
      <c r="DI3" s="178" t="str">
        <f>+IF(DE3=0,"Suspance Payment","Suspance Receipt")</f>
        <v>Suspance Payment</v>
      </c>
      <c r="DJ3" s="183">
        <f>+B3</f>
        <v>0</v>
      </c>
      <c r="DK3" s="18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66" t="s">
        <v>32</v>
      </c>
      <c r="B4" s="167" t="s">
        <v>148</v>
      </c>
      <c r="C4" s="168" t="s">
        <v>34</v>
      </c>
      <c r="D4" s="168" t="s">
        <v>238</v>
      </c>
      <c r="E4" s="169" t="s">
        <v>156</v>
      </c>
      <c r="F4" s="169" t="s">
        <v>11</v>
      </c>
      <c r="DA4" s="38" t="str">
        <f>+DA3</f>
        <v>Indusind Bank</v>
      </c>
    </row>
    <row r="5" spans="1:130">
      <c r="A5" s="184"/>
      <c r="B5" s="184"/>
      <c r="C5" s="184"/>
      <c r="D5" s="184"/>
      <c r="E5" s="184"/>
    </row>
  </sheetData>
  <sheetProtection algorithmName="SHA-512" hashValue="qX3XUJA9j/c9ari497Xp5gMYG70liYHFL9fdUmTUy8OTJlUP6s1cdMb712hb+W2Boen5R8sEqkzaNaEvl5b20g==" saltValue="cYIquifPMOXkvqWfF0eb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">
    <cfRule type="cellIs" dxfId="498" priority="26" operator="equal">
      <formula>#N/A</formula>
    </cfRule>
  </conditionalFormatting>
  <conditionalFormatting sqref="DG2">
    <cfRule type="cellIs" dxfId="497" priority="21" operator="equal">
      <formula>#N/A</formula>
    </cfRule>
  </conditionalFormatting>
  <conditionalFormatting sqref="DH2:DI2">
    <cfRule type="cellIs" dxfId="496" priority="20" operator="equal">
      <formula>#N/A</formula>
    </cfRule>
  </conditionalFormatting>
  <conditionalFormatting sqref="I1:I2">
    <cfRule type="cellIs" dxfId="495" priority="8" operator="equal">
      <formula>#N/A</formula>
    </cfRule>
  </conditionalFormatting>
  <conditionalFormatting sqref="H1">
    <cfRule type="cellIs" dxfId="494" priority="7" operator="equal">
      <formula>#N/A</formula>
    </cfRule>
  </conditionalFormatting>
  <conditionalFormatting sqref="E1">
    <cfRule type="cellIs" dxfId="493" priority="6" operator="equal">
      <formula>#N/A</formula>
    </cfRule>
  </conditionalFormatting>
  <conditionalFormatting sqref="I1">
    <cfRule type="containsText" dxfId="492" priority="4" operator="containsText" text="All Data Import Successfully">
      <formula>NOT(ISERROR(SEARCH("All Data Import Successfully",I1)))</formula>
    </cfRule>
    <cfRule type="containsText" dxfId="491" priority="5" operator="containsText" text="Difference Entry">
      <formula>NOT(ISERROR(SEARCH("Difference Entry",I1)))</formula>
    </cfRule>
  </conditionalFormatting>
  <conditionalFormatting sqref="E2:G2">
    <cfRule type="cellIs" dxfId="490" priority="3" operator="equal">
      <formula>#N/A</formula>
    </cfRule>
  </conditionalFormatting>
  <conditionalFormatting sqref="H2">
    <cfRule type="cellIs" dxfId="489" priority="2" operator="equal">
      <formula>#N/A</formula>
    </cfRule>
  </conditionalFormatting>
  <conditionalFormatting sqref="I2">
    <cfRule type="cellIs" dxfId="488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2">
    <tabColor theme="8" tint="0.79998168889431442"/>
  </sheetPr>
  <dimension ref="A1:DZ4"/>
  <sheetViews>
    <sheetView workbookViewId="0"/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7"/>
      <c r="B1" s="107"/>
      <c r="C1" s="107"/>
      <c r="D1" s="107"/>
      <c r="E1" s="96" t="s">
        <v>0</v>
      </c>
      <c r="F1" s="97" t="s">
        <v>1</v>
      </c>
      <c r="G1" s="98" t="s">
        <v>2</v>
      </c>
      <c r="H1" s="99" t="s">
        <v>3</v>
      </c>
      <c r="I1" s="100" t="s">
        <v>4</v>
      </c>
      <c r="J1" s="101" t="s">
        <v>6</v>
      </c>
      <c r="K1" s="101" t="s">
        <v>6</v>
      </c>
      <c r="L1" s="101" t="s">
        <v>6</v>
      </c>
      <c r="M1" s="101" t="s">
        <v>6</v>
      </c>
      <c r="N1" s="101" t="s">
        <v>6</v>
      </c>
      <c r="O1" s="101" t="s">
        <v>6</v>
      </c>
      <c r="P1" s="101" t="s">
        <v>6</v>
      </c>
      <c r="Q1" s="101" t="s">
        <v>6</v>
      </c>
      <c r="R1" s="101" t="s">
        <v>6</v>
      </c>
      <c r="S1" s="102" t="s">
        <v>181</v>
      </c>
      <c r="T1" s="102">
        <v>7</v>
      </c>
      <c r="U1" s="102" t="s">
        <v>182</v>
      </c>
      <c r="V1" s="102" t="s">
        <v>173</v>
      </c>
      <c r="W1" s="102" t="s">
        <v>174</v>
      </c>
      <c r="X1" s="109" t="s">
        <v>6</v>
      </c>
      <c r="Y1" s="109">
        <v>10</v>
      </c>
      <c r="Z1" s="102">
        <v>0</v>
      </c>
      <c r="AA1" s="102" t="s">
        <v>258</v>
      </c>
      <c r="AB1" s="102" t="s">
        <v>198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03" t="s">
        <v>5</v>
      </c>
      <c r="B2" s="103" t="s">
        <v>6</v>
      </c>
      <c r="C2" s="103"/>
      <c r="D2" s="103" t="s">
        <v>172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HDFC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64</v>
      </c>
      <c r="B3" s="59"/>
      <c r="C3" s="58"/>
      <c r="D3" s="58" t="s">
        <v>183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HDFC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>
        <f>+C3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 t="str">
        <f>+D3</f>
        <v>C:\Users\ADITYA\Desktop\Ecomm\Bank Statement\HDFC BANK.xls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10" t="s">
        <v>252</v>
      </c>
      <c r="B4" s="111" t="s">
        <v>253</v>
      </c>
      <c r="C4" s="111" t="s">
        <v>254</v>
      </c>
      <c r="D4" s="111" t="s">
        <v>255</v>
      </c>
      <c r="E4" s="111" t="s">
        <v>256</v>
      </c>
      <c r="F4" s="111" t="s">
        <v>257</v>
      </c>
      <c r="G4" s="112" t="s">
        <v>243</v>
      </c>
      <c r="DA4" s="38" t="str">
        <f>+DA3</f>
        <v>HDFC Bank A/c.</v>
      </c>
    </row>
  </sheetData>
  <sheetProtection algorithmName="SHA-512" hashValue="aWLTkh1azkjbU3CSNCOZRf8IzAbI9voCV0aZBdoW+aP8eB6daxQbN/BofwjsI/LnI/NsfqzKucJoUoQa0eEOLQ==" saltValue="Wp7TC1yXN8BY66gLJsbOp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487" priority="11" operator="equal">
      <formula>#N/A</formula>
    </cfRule>
  </conditionalFormatting>
  <conditionalFormatting sqref="DG2">
    <cfRule type="cellIs" dxfId="486" priority="10" operator="equal">
      <formula>#N/A</formula>
    </cfRule>
  </conditionalFormatting>
  <conditionalFormatting sqref="DH2:DI2">
    <cfRule type="cellIs" dxfId="485" priority="9" operator="equal">
      <formula>#N/A</formula>
    </cfRule>
  </conditionalFormatting>
  <conditionalFormatting sqref="I1:I2">
    <cfRule type="cellIs" dxfId="484" priority="8" operator="equal">
      <formula>#N/A</formula>
    </cfRule>
  </conditionalFormatting>
  <conditionalFormatting sqref="H1">
    <cfRule type="cellIs" dxfId="483" priority="7" operator="equal">
      <formula>#N/A</formula>
    </cfRule>
  </conditionalFormatting>
  <conditionalFormatting sqref="E1">
    <cfRule type="cellIs" dxfId="482" priority="6" operator="equal">
      <formula>#N/A</formula>
    </cfRule>
  </conditionalFormatting>
  <conditionalFormatting sqref="I1">
    <cfRule type="containsText" dxfId="481" priority="4" operator="containsText" text="All Data Import Successfully">
      <formula>NOT(ISERROR(SEARCH("All Data Import Successfully",I1)))</formula>
    </cfRule>
    <cfRule type="containsText" dxfId="480" priority="5" operator="containsText" text="Difference Entry">
      <formula>NOT(ISERROR(SEARCH("Difference Entry",I1)))</formula>
    </cfRule>
  </conditionalFormatting>
  <conditionalFormatting sqref="E2:G2">
    <cfRule type="cellIs" dxfId="479" priority="3" operator="equal">
      <formula>#N/A</formula>
    </cfRule>
  </conditionalFormatting>
  <conditionalFormatting sqref="H2">
    <cfRule type="cellIs" dxfId="478" priority="2" operator="equal">
      <formula>#N/A</formula>
    </cfRule>
  </conditionalFormatting>
  <conditionalFormatting sqref="I2">
    <cfRule type="cellIs" dxfId="477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3">
    <tabColor theme="4" tint="0.79998168889431442"/>
  </sheetPr>
  <dimension ref="A1:DZ4"/>
  <sheetViews>
    <sheetView workbookViewId="0">
      <selection activeCell="C25" sqref="C25"/>
    </sheetView>
  </sheetViews>
  <sheetFormatPr defaultRowHeight="15"/>
  <cols>
    <col min="1" max="9" width="25.7109375" style="6" customWidth="1"/>
    <col min="10" max="10" width="12.5703125" style="6" customWidth="1"/>
    <col min="11" max="12" width="8" style="6" customWidth="1"/>
    <col min="13" max="13" width="22" style="6" customWidth="1"/>
    <col min="14" max="14" width="8" style="6" customWidth="1"/>
    <col min="15" max="15" width="11.28515625" style="6" customWidth="1"/>
    <col min="16" max="20" width="4" style="6" customWidth="1"/>
    <col min="21" max="22" width="8" style="6" customWidth="1"/>
    <col min="23" max="26" width="3.42578125" style="6" customWidth="1"/>
    <col min="27" max="27" width="14.42578125" style="6" customWidth="1"/>
    <col min="28" max="28" width="8" style="6" customWidth="1"/>
    <col min="29" max="104" width="9.140625" style="6"/>
    <col min="105" max="115" width="24.7109375" style="6" customWidth="1"/>
    <col min="116" max="16384" width="9.140625" style="6"/>
  </cols>
  <sheetData>
    <row r="1" spans="1:130" ht="45" customHeight="1">
      <c r="A1" s="107"/>
      <c r="B1" s="107"/>
      <c r="C1" s="107"/>
      <c r="D1" s="107"/>
      <c r="E1" s="96" t="s">
        <v>0</v>
      </c>
      <c r="F1" s="97" t="s">
        <v>1</v>
      </c>
      <c r="G1" s="98" t="s">
        <v>2</v>
      </c>
      <c r="H1" s="99" t="s">
        <v>3</v>
      </c>
      <c r="I1" s="100" t="s">
        <v>4</v>
      </c>
      <c r="J1" s="101" t="s">
        <v>6</v>
      </c>
      <c r="K1" s="101" t="s">
        <v>6</v>
      </c>
      <c r="L1" s="101" t="s">
        <v>6</v>
      </c>
      <c r="M1" s="101" t="s">
        <v>6</v>
      </c>
      <c r="N1" s="101" t="s">
        <v>6</v>
      </c>
      <c r="O1" s="101" t="s">
        <v>6</v>
      </c>
      <c r="P1" s="101" t="s">
        <v>6</v>
      </c>
      <c r="Q1" s="101" t="s">
        <v>6</v>
      </c>
      <c r="R1" s="101" t="s">
        <v>6</v>
      </c>
      <c r="S1" s="102" t="s">
        <v>181</v>
      </c>
      <c r="T1" s="102">
        <v>7</v>
      </c>
      <c r="U1" s="102" t="s">
        <v>182</v>
      </c>
      <c r="V1" s="102" t="s">
        <v>173</v>
      </c>
      <c r="W1" s="102" t="s">
        <v>174</v>
      </c>
      <c r="X1" s="109" t="s">
        <v>6</v>
      </c>
      <c r="Y1" s="109">
        <v>10</v>
      </c>
      <c r="Z1" s="102">
        <v>0</v>
      </c>
      <c r="AA1" s="102" t="s">
        <v>258</v>
      </c>
      <c r="AB1" s="102" t="s">
        <v>198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03" t="s">
        <v>5</v>
      </c>
      <c r="B2" s="103" t="s">
        <v>6</v>
      </c>
      <c r="C2" s="103"/>
      <c r="D2" s="103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AU SMALL FINANCE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163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AU SMALL FINANCE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IF(F3="-",VALUE("0"),VALUE(SUBSTITUTE((F3),",","")))</f>
        <v>#VALUE!</v>
      </c>
      <c r="DE3" s="26" t="e">
        <f>IF(G3="-",VALUE("0"),VALUE(SUBSTITUTE((G3),",","")))</f>
        <v>#VALUE!</v>
      </c>
      <c r="DF3" s="26" t="e">
        <f>IF(H3=" ","",VALUE(SUBSTITUTE((SUBSTITUTE((H3),"Cr","")),",","")))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e">
        <f>+IF(DE3=0,"Suspance Payment","Suspance Receipt")</f>
        <v>#VALUE!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customHeight="1">
      <c r="A4" s="186" t="s">
        <v>260</v>
      </c>
      <c r="B4" s="187" t="s">
        <v>261</v>
      </c>
      <c r="C4" s="188"/>
      <c r="D4" s="189" t="s">
        <v>262</v>
      </c>
      <c r="E4" s="190" t="s">
        <v>263</v>
      </c>
      <c r="F4" s="191" t="s">
        <v>264</v>
      </c>
      <c r="G4" s="191" t="s">
        <v>265</v>
      </c>
      <c r="H4" s="192" t="s">
        <v>266</v>
      </c>
      <c r="DA4" s="38" t="str">
        <f>+DA3</f>
        <v>AU SMALL FINANCE BANK</v>
      </c>
    </row>
  </sheetData>
  <sheetProtection algorithmName="SHA-512" hashValue="PAeQ79s/zIY0xcWssHpq36y7dnnGsJcoBf572CJI6BKCwUAB1VvdVxftMnR4E37wlSysUHi98S5HXvyrPYgK0A==" saltValue="bR21JtNUWZoZf4s6x1YjY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476" priority="22" operator="equal">
      <formula>#N/A</formula>
    </cfRule>
  </conditionalFormatting>
  <conditionalFormatting sqref="DG2">
    <cfRule type="cellIs" dxfId="475" priority="17" operator="equal">
      <formula>#N/A</formula>
    </cfRule>
  </conditionalFormatting>
  <conditionalFormatting sqref="DH2:DI2">
    <cfRule type="cellIs" dxfId="474" priority="16" operator="equal">
      <formula>#N/A</formula>
    </cfRule>
  </conditionalFormatting>
  <conditionalFormatting sqref="I1">
    <cfRule type="cellIs" dxfId="473" priority="12" operator="equal">
      <formula>#N/A</formula>
    </cfRule>
  </conditionalFormatting>
  <conditionalFormatting sqref="H1">
    <cfRule type="cellIs" dxfId="472" priority="11" operator="equal">
      <formula>#N/A</formula>
    </cfRule>
  </conditionalFormatting>
  <conditionalFormatting sqref="E1">
    <cfRule type="cellIs" dxfId="471" priority="10" operator="equal">
      <formula>#N/A</formula>
    </cfRule>
  </conditionalFormatting>
  <conditionalFormatting sqref="I1">
    <cfRule type="containsText" dxfId="470" priority="8" operator="containsText" text="All Data Import Successfully">
      <formula>NOT(ISERROR(SEARCH("All Data Import Successfully",I1)))</formula>
    </cfRule>
    <cfRule type="containsText" dxfId="469" priority="9" operator="containsText" text="Difference Entry">
      <formula>NOT(ISERROR(SEARCH("Difference Entry",I1)))</formula>
    </cfRule>
  </conditionalFormatting>
  <conditionalFormatting sqref="I2">
    <cfRule type="cellIs" dxfId="468" priority="4" operator="equal">
      <formula>#N/A</formula>
    </cfRule>
  </conditionalFormatting>
  <conditionalFormatting sqref="E2:G2">
    <cfRule type="cellIs" dxfId="467" priority="3" operator="equal">
      <formula>#N/A</formula>
    </cfRule>
  </conditionalFormatting>
  <conditionalFormatting sqref="H2">
    <cfRule type="cellIs" dxfId="466" priority="2" operator="equal">
      <formula>#N/A</formula>
    </cfRule>
  </conditionalFormatting>
  <conditionalFormatting sqref="I2">
    <cfRule type="cellIs" dxfId="465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1">
    <tabColor theme="8" tint="0.79998168889431442"/>
  </sheetPr>
  <dimension ref="A1:DZ4"/>
  <sheetViews>
    <sheetView showRuler="0" topLeftCell="DB1" workbookViewId="0">
      <selection activeCell="DG4" sqref="DG4"/>
    </sheetView>
  </sheetViews>
  <sheetFormatPr defaultRowHeight="15"/>
  <cols>
    <col min="1" max="9" width="25.7109375" style="6" customWidth="1"/>
    <col min="10" max="10" width="10.7109375" style="6" bestFit="1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7"/>
      <c r="B1" s="107"/>
      <c r="C1" s="107"/>
      <c r="D1" s="107"/>
      <c r="E1" s="96" t="s">
        <v>0</v>
      </c>
      <c r="F1" s="97" t="s">
        <v>1</v>
      </c>
      <c r="G1" s="98" t="s">
        <v>2</v>
      </c>
      <c r="H1" s="99" t="s">
        <v>3</v>
      </c>
      <c r="I1" s="100" t="s">
        <v>4</v>
      </c>
      <c r="J1" s="101" t="s">
        <v>6</v>
      </c>
      <c r="K1" s="101" t="s">
        <v>6</v>
      </c>
      <c r="L1" s="101" t="s">
        <v>6</v>
      </c>
      <c r="M1" s="101" t="s">
        <v>6</v>
      </c>
      <c r="N1" s="101" t="s">
        <v>6</v>
      </c>
      <c r="O1" s="101" t="s">
        <v>6</v>
      </c>
      <c r="P1" s="101" t="s">
        <v>6</v>
      </c>
      <c r="Q1" s="101" t="s">
        <v>6</v>
      </c>
      <c r="R1" s="101" t="s">
        <v>6</v>
      </c>
      <c r="S1" s="102" t="s">
        <v>201</v>
      </c>
      <c r="T1" s="102">
        <v>7</v>
      </c>
      <c r="U1" s="102" t="s">
        <v>182</v>
      </c>
      <c r="V1" s="102" t="s">
        <v>173</v>
      </c>
      <c r="W1" s="102" t="s">
        <v>174</v>
      </c>
      <c r="X1" s="109" t="s">
        <v>6</v>
      </c>
      <c r="Y1" s="109" t="s">
        <v>6</v>
      </c>
      <c r="Z1" s="10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03" t="s">
        <v>5</v>
      </c>
      <c r="B2" s="103" t="s">
        <v>6</v>
      </c>
      <c r="C2" s="103"/>
      <c r="D2" s="103" t="s">
        <v>172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63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74" t="str">
        <f>+$A$3</f>
        <v>SBI Bank A/c.</v>
      </c>
      <c r="DB3" s="175" t="e">
        <f>IF(ISBLANK(H3),TEXT(DATE(RIGHT(A3,4), MONTH(DATEVALUE(MID(A3,4,3) &amp; " 1")), LEFT(A3,2)), "dd/MM/yyyy"),VALUE(A3))</f>
        <v>#VALUE!</v>
      </c>
      <c r="DC3" s="176" t="e">
        <f>+CONCATENATE(TEXT(DB3,"D"),"",TEXT(DB3,"MM"),"","/",SUBSTITUTE(DF3,",",""),"/",DK3)</f>
        <v>#VALUE!</v>
      </c>
      <c r="DD3" s="141">
        <f>IF(ISBLANK(H3),IF(E3="",VALUE("0"),VALUE(SUBSTITUTE((TRIM(E3)),",",""))),IF(F3="",VALUE("0"),VALUE(SUBSTITUTE((TRIM(F3)),",",""))))</f>
        <v>0</v>
      </c>
      <c r="DE3" s="141">
        <f>IF(ISBLANK(H3),IF(F3="",VALUE("0"),VALUE(SUBSTITUTE((TRIM(F3)),",",""))),IF(G3="",VALUE("0"),VALUE(SUBSTITUTE((TRIM(G3)),",",""))))</f>
        <v>0</v>
      </c>
      <c r="DF3" s="141">
        <f>IF(ISBLANK(H3),IF(G3="",VALUE("0"),VALUE(SUBSTITUTE((TRIM(G3)),",",""))),IF(H3="",VALUE("0"),VALUE(SUBSTITUTE((TRIM(H3)),",",""))))</f>
        <v>0</v>
      </c>
      <c r="DG3" s="17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78" t="e">
        <f>IF(ISBLANK(H3),TEXT(DATE(RIGHT(A3,4), MONTH(DATEVALUE(MID(A3,4,3) &amp; " 1")), LEFT(A3,2)), "dd/MM/yyyy"),VALUE(A3))</f>
        <v>#VALUE!</v>
      </c>
      <c r="DI3" s="178" t="str">
        <f>+IF(DE3=0,"Suspance Payment","Suspance Receipt")</f>
        <v>Suspance Payment</v>
      </c>
      <c r="DJ3" s="183" t="str">
        <f>+CONCATENATE(C3," ", D3)</f>
        <v xml:space="preserve"> </v>
      </c>
      <c r="DK3" s="18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81" t="s">
        <v>244</v>
      </c>
      <c r="B4" s="182" t="s">
        <v>245</v>
      </c>
      <c r="C4" s="181" t="s">
        <v>246</v>
      </c>
      <c r="D4" s="181" t="s">
        <v>247</v>
      </c>
      <c r="E4" s="181" t="s">
        <v>248</v>
      </c>
      <c r="F4" s="182" t="s">
        <v>249</v>
      </c>
      <c r="G4" s="182" t="s">
        <v>250</v>
      </c>
      <c r="H4" s="182" t="s">
        <v>251</v>
      </c>
      <c r="DA4" s="38" t="str">
        <f>+DA3</f>
        <v>SBI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464" priority="11" operator="equal">
      <formula>#N/A</formula>
    </cfRule>
  </conditionalFormatting>
  <conditionalFormatting sqref="DG2">
    <cfRule type="cellIs" dxfId="463" priority="10" operator="equal">
      <formula>#N/A</formula>
    </cfRule>
  </conditionalFormatting>
  <conditionalFormatting sqref="DH2:DI2">
    <cfRule type="cellIs" dxfId="462" priority="9" operator="equal">
      <formula>#N/A</formula>
    </cfRule>
  </conditionalFormatting>
  <conditionalFormatting sqref="I1:I2">
    <cfRule type="cellIs" dxfId="461" priority="8" operator="equal">
      <formula>#N/A</formula>
    </cfRule>
  </conditionalFormatting>
  <conditionalFormatting sqref="H1">
    <cfRule type="cellIs" dxfId="460" priority="7" operator="equal">
      <formula>#N/A</formula>
    </cfRule>
  </conditionalFormatting>
  <conditionalFormatting sqref="E1">
    <cfRule type="cellIs" dxfId="459" priority="6" operator="equal">
      <formula>#N/A</formula>
    </cfRule>
  </conditionalFormatting>
  <conditionalFormatting sqref="I1">
    <cfRule type="containsText" dxfId="458" priority="4" operator="containsText" text="All Data Import Successfully">
      <formula>NOT(ISERROR(SEARCH("All Data Import Successfully",I1)))</formula>
    </cfRule>
    <cfRule type="containsText" dxfId="457" priority="5" operator="containsText" text="Difference Entry">
      <formula>NOT(ISERROR(SEARCH("Difference Entry",I1)))</formula>
    </cfRule>
  </conditionalFormatting>
  <conditionalFormatting sqref="E2:G2">
    <cfRule type="cellIs" dxfId="456" priority="3" operator="equal">
      <formula>#N/A</formula>
    </cfRule>
  </conditionalFormatting>
  <conditionalFormatting sqref="H2">
    <cfRule type="cellIs" dxfId="455" priority="2" operator="equal">
      <formula>#N/A</formula>
    </cfRule>
  </conditionalFormatting>
  <conditionalFormatting sqref="I2">
    <cfRule type="cellIs" dxfId="45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5">
    <tabColor theme="8" tint="0.79998168889431442"/>
  </sheetPr>
  <dimension ref="A1:DZ4"/>
  <sheetViews>
    <sheetView workbookViewId="0">
      <selection activeCell="D8" sqref="D8"/>
    </sheetView>
  </sheetViews>
  <sheetFormatPr defaultRowHeight="15"/>
  <cols>
    <col min="1" max="1" width="25.7109375" style="6" customWidth="1"/>
    <col min="2" max="2" width="25.7109375" style="202" customWidth="1"/>
    <col min="3" max="9" width="25.7109375" style="6" customWidth="1"/>
    <col min="10" max="10" width="21.4257812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7"/>
      <c r="B1" s="198"/>
      <c r="C1" s="107"/>
      <c r="D1" s="107"/>
      <c r="E1" s="96" t="s">
        <v>0</v>
      </c>
      <c r="F1" s="97" t="s">
        <v>1</v>
      </c>
      <c r="G1" s="98" t="s">
        <v>2</v>
      </c>
      <c r="H1" s="99" t="s">
        <v>3</v>
      </c>
      <c r="I1" s="100" t="s">
        <v>4</v>
      </c>
      <c r="J1" s="101" t="s">
        <v>6</v>
      </c>
      <c r="K1" s="101" t="s">
        <v>6</v>
      </c>
      <c r="L1" s="101" t="s">
        <v>6</v>
      </c>
      <c r="M1" s="101" t="s">
        <v>6</v>
      </c>
      <c r="N1" s="101" t="s">
        <v>6</v>
      </c>
      <c r="O1" s="101" t="s">
        <v>6</v>
      </c>
      <c r="P1" s="101" t="s">
        <v>6</v>
      </c>
      <c r="Q1" s="101" t="s">
        <v>6</v>
      </c>
      <c r="R1" s="101" t="s">
        <v>6</v>
      </c>
      <c r="S1" s="102" t="s">
        <v>194</v>
      </c>
      <c r="T1" s="102">
        <v>8</v>
      </c>
      <c r="U1" s="102" t="s">
        <v>182</v>
      </c>
      <c r="V1" s="102" t="s">
        <v>182</v>
      </c>
      <c r="W1" s="102" t="s">
        <v>174</v>
      </c>
      <c r="X1" s="109" t="s">
        <v>6</v>
      </c>
      <c r="Y1" s="109" t="s">
        <v>6</v>
      </c>
      <c r="Z1" s="102">
        <v>0</v>
      </c>
      <c r="AA1" s="102" t="s">
        <v>258</v>
      </c>
      <c r="AB1" s="102" t="s">
        <v>198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03" t="s">
        <v>5</v>
      </c>
      <c r="B2" s="199" t="s">
        <v>6</v>
      </c>
      <c r="C2" s="103"/>
      <c r="D2" s="103" t="s">
        <v>172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142</v>
      </c>
      <c r="B3" s="200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Union Bank of India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IF(H3="",VALUE("0"),VALUE(SUBSTITUTE((TRIM(H3)),",","")))</f>
        <v>0</v>
      </c>
      <c r="DE3" s="26">
        <f>IF(J3="",VALUE("0"),VALUE(SUBSTITUTE((TRIM(J3)),",","")))</f>
        <v>0</v>
      </c>
      <c r="DF3" s="26" t="str">
        <f>IF(L3="","",VALUE(SUBSTITUTE(SUBSTITUTE((L3),",",""),"Cr","")))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+DB3</f>
        <v>0</v>
      </c>
      <c r="DI3" s="28" t="str">
        <f>+IF(DE3=0,"Suspance Payment","Suspance Receipt")</f>
        <v>Suspance Payment</v>
      </c>
      <c r="DJ3" s="2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" customHeight="1">
      <c r="A4" s="196" t="s">
        <v>275</v>
      </c>
      <c r="B4" s="201" t="s">
        <v>276</v>
      </c>
      <c r="C4" s="197"/>
      <c r="D4" s="197" t="s">
        <v>277</v>
      </c>
      <c r="E4" s="197"/>
      <c r="F4" s="197" t="s">
        <v>278</v>
      </c>
      <c r="G4" s="197"/>
      <c r="H4" s="197" t="s">
        <v>279</v>
      </c>
      <c r="I4" s="197"/>
      <c r="J4" s="197" t="s">
        <v>280</v>
      </c>
      <c r="K4" s="197"/>
      <c r="L4" s="196" t="s">
        <v>281</v>
      </c>
      <c r="DA4" s="38" t="str">
        <f>+DA3</f>
        <v>Union Bank of India A/c.</v>
      </c>
    </row>
  </sheetData>
  <sheetProtection algorithmName="SHA-512" hashValue="bA1j0Z3wAZvcxR1aMp4Bj0ybcJ+cN+EgOEaJYCyZWVoVy4z+F4iei61odbeNUSx0+yXJUpodr8Y2jD8nVCr6+A==" saltValue="SQmmStMTB1QelTXOV3z8M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">
    <cfRule type="cellIs" dxfId="453" priority="18" operator="equal">
      <formula>#N/A</formula>
    </cfRule>
  </conditionalFormatting>
  <conditionalFormatting sqref="DG2">
    <cfRule type="cellIs" dxfId="452" priority="13" operator="equal">
      <formula>#N/A</formula>
    </cfRule>
  </conditionalFormatting>
  <conditionalFormatting sqref="DH2:DI2">
    <cfRule type="cellIs" dxfId="451" priority="12" operator="equal">
      <formula>#N/A</formula>
    </cfRule>
  </conditionalFormatting>
  <conditionalFormatting sqref="I1:I2">
    <cfRule type="cellIs" dxfId="450" priority="8" operator="equal">
      <formula>#N/A</formula>
    </cfRule>
  </conditionalFormatting>
  <conditionalFormatting sqref="H1">
    <cfRule type="cellIs" dxfId="449" priority="7" operator="equal">
      <formula>#N/A</formula>
    </cfRule>
  </conditionalFormatting>
  <conditionalFormatting sqref="E1">
    <cfRule type="cellIs" dxfId="448" priority="6" operator="equal">
      <formula>#N/A</formula>
    </cfRule>
  </conditionalFormatting>
  <conditionalFormatting sqref="I1">
    <cfRule type="containsText" dxfId="447" priority="4" operator="containsText" text="All Data Import Successfully">
      <formula>NOT(ISERROR(SEARCH("All Data Import Successfully",I1)))</formula>
    </cfRule>
    <cfRule type="containsText" dxfId="446" priority="5" operator="containsText" text="Difference Entry">
      <formula>NOT(ISERROR(SEARCH("Difference Entry",I1)))</formula>
    </cfRule>
  </conditionalFormatting>
  <conditionalFormatting sqref="E2:G2">
    <cfRule type="cellIs" dxfId="445" priority="3" operator="equal">
      <formula>#N/A</formula>
    </cfRule>
  </conditionalFormatting>
  <conditionalFormatting sqref="H2">
    <cfRule type="cellIs" dxfId="444" priority="2" operator="equal">
      <formula>#N/A</formula>
    </cfRule>
  </conditionalFormatting>
  <conditionalFormatting sqref="I2">
    <cfRule type="cellIs" dxfId="44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5">
    <tabColor theme="8" tint="0.79998168889431442"/>
  </sheetPr>
  <dimension ref="A1:DZ22"/>
  <sheetViews>
    <sheetView showRuler="0" workbookViewId="0">
      <selection activeCell="A3" sqref="A3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7"/>
      <c r="B1" s="107"/>
      <c r="C1" s="107"/>
      <c r="D1" s="107"/>
      <c r="E1" s="96" t="s">
        <v>0</v>
      </c>
      <c r="F1" s="97" t="s">
        <v>1</v>
      </c>
      <c r="G1" s="98" t="s">
        <v>2</v>
      </c>
      <c r="H1" s="99" t="s">
        <v>3</v>
      </c>
      <c r="I1" s="100" t="s">
        <v>4</v>
      </c>
      <c r="J1" s="101" t="s">
        <v>6</v>
      </c>
      <c r="K1" s="101" t="s">
        <v>6</v>
      </c>
      <c r="L1" s="101" t="s">
        <v>6</v>
      </c>
      <c r="M1" s="101" t="s">
        <v>6</v>
      </c>
      <c r="N1" s="101" t="s">
        <v>6</v>
      </c>
      <c r="O1" s="101" t="s">
        <v>6</v>
      </c>
      <c r="P1" s="101" t="s">
        <v>6</v>
      </c>
      <c r="Q1" s="101" t="s">
        <v>6</v>
      </c>
      <c r="R1" s="101" t="s">
        <v>6</v>
      </c>
      <c r="S1" s="102" t="s">
        <v>194</v>
      </c>
      <c r="T1" s="102">
        <v>8</v>
      </c>
      <c r="U1" s="102" t="s">
        <v>182</v>
      </c>
      <c r="V1" s="102" t="s">
        <v>182</v>
      </c>
      <c r="W1" s="102" t="s">
        <v>174</v>
      </c>
      <c r="X1" s="109" t="s">
        <v>6</v>
      </c>
      <c r="Y1" s="109" t="s">
        <v>6</v>
      </c>
      <c r="Z1" s="102">
        <v>0</v>
      </c>
      <c r="AA1" s="102" t="s">
        <v>259</v>
      </c>
      <c r="AB1" s="102" t="s">
        <v>258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03" t="s">
        <v>5</v>
      </c>
      <c r="B2" s="103" t="s">
        <v>6</v>
      </c>
      <c r="C2" s="103"/>
      <c r="D2" s="103" t="s">
        <v>172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283</v>
      </c>
      <c r="B3" s="59"/>
      <c r="C3" s="58"/>
      <c r="D3" s="58"/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74" t="str">
        <f>+$A$3</f>
        <v xml:space="preserve">Union Bank </v>
      </c>
      <c r="DB3" s="175">
        <f>VALUE(B3)</f>
        <v>0</v>
      </c>
      <c r="DC3" s="176" t="e">
        <f>+CONCATENATE(TEXT(DB3,"D"),"",TEXT(DB3,"MM"),"","/",SUBSTITUTE(DF3,",",""),"/",DK3)</f>
        <v>#VALUE!</v>
      </c>
      <c r="DD3" s="141" t="e">
        <f>IF(RIGHT(E3,4)="(Cr)",VALUE("0"),VALUE(SUBSTITUTE(SUBSTITUTE((TRIM(E3)),",",""),"(Dr)","")))</f>
        <v>#VALUE!</v>
      </c>
      <c r="DE3" s="141" t="e">
        <f>IF(RIGHT(E3,4)="(Dr)",VALUE("0"),VALUE(SUBSTITUTE(SUBSTITUTE((E3),",",""),"(Cr)","")))</f>
        <v>#VALUE!</v>
      </c>
      <c r="DF3" s="140" t="e">
        <f>+IF(RIGHT(F3,4)="(Dr)",VALUE(SUBSTITUTE(SUBSTITUTE(SUBSTITUTE((F3),",",""),"(Cr)",""),"(Dr)",""))*-1,VALUE(SUBSTITUTE(SUBSTITUTE(SUBSTITUTE((F3),",",""),"(Cr)",""),"(Dr)","")))</f>
        <v>#VALUE!</v>
      </c>
      <c r="DG3" s="17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78">
        <f>+DB3</f>
        <v>0</v>
      </c>
      <c r="DI3" s="178" t="e">
        <f>+IF(DE3=0,"Suspance Payment","Suspance Receipt")</f>
        <v>#VALUE!</v>
      </c>
      <c r="DJ3" s="179">
        <f>+D3</f>
        <v>0</v>
      </c>
      <c r="DK3" s="18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03" t="s">
        <v>282</v>
      </c>
      <c r="B4" s="203" t="s">
        <v>239</v>
      </c>
      <c r="C4" s="171" t="s">
        <v>241</v>
      </c>
      <c r="D4" s="171" t="s">
        <v>240</v>
      </c>
      <c r="E4" s="171" t="s">
        <v>242</v>
      </c>
      <c r="F4" s="204" t="s">
        <v>243</v>
      </c>
      <c r="DA4" s="38" t="str">
        <f>+DA3</f>
        <v xml:space="preserve">Union Bank </v>
      </c>
    </row>
    <row r="22" ht="15" customHeight="1"/>
  </sheetData>
  <sheetProtection algorithmName="SHA-512" hashValue="xBj+I+lv1LCNpLdoJJgWJJASiW08UYc2dfusMa/VQgewxrF1x+cUGQKo4kw15kL+FR3CM4guH6Z+NHVLUN+ZxQ==" saltValue="28jhKHbA1TlX6cNVoCFz5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442" priority="11" operator="equal">
      <formula>#N/A</formula>
    </cfRule>
  </conditionalFormatting>
  <conditionalFormatting sqref="DG2">
    <cfRule type="cellIs" dxfId="441" priority="10" operator="equal">
      <formula>#N/A</formula>
    </cfRule>
  </conditionalFormatting>
  <conditionalFormatting sqref="DH2:DI2">
    <cfRule type="cellIs" dxfId="440" priority="9" operator="equal">
      <formula>#N/A</formula>
    </cfRule>
  </conditionalFormatting>
  <conditionalFormatting sqref="I1:I2">
    <cfRule type="cellIs" dxfId="439" priority="8" operator="equal">
      <formula>#N/A</formula>
    </cfRule>
  </conditionalFormatting>
  <conditionalFormatting sqref="H1">
    <cfRule type="cellIs" dxfId="438" priority="7" operator="equal">
      <formula>#N/A</formula>
    </cfRule>
  </conditionalFormatting>
  <conditionalFormatting sqref="E1">
    <cfRule type="cellIs" dxfId="437" priority="6" operator="equal">
      <formula>#N/A</formula>
    </cfRule>
  </conditionalFormatting>
  <conditionalFormatting sqref="I1">
    <cfRule type="containsText" dxfId="436" priority="4" operator="containsText" text="All Data Import Successfully">
      <formula>NOT(ISERROR(SEARCH("All Data Import Successfully",I1)))</formula>
    </cfRule>
    <cfRule type="containsText" dxfId="435" priority="5" operator="containsText" text="Difference Entry">
      <formula>NOT(ISERROR(SEARCH("Difference Entry",I1)))</formula>
    </cfRule>
  </conditionalFormatting>
  <conditionalFormatting sqref="E2:G2">
    <cfRule type="cellIs" dxfId="434" priority="3" operator="equal">
      <formula>#N/A</formula>
    </cfRule>
  </conditionalFormatting>
  <conditionalFormatting sqref="H2">
    <cfRule type="cellIs" dxfId="433" priority="2" operator="equal">
      <formula>#N/A</formula>
    </cfRule>
  </conditionalFormatting>
  <conditionalFormatting sqref="I2">
    <cfRule type="cellIs" dxfId="43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>
    <tabColor theme="8" tint="0.79998168889431442"/>
  </sheetPr>
  <dimension ref="A1:DZ21"/>
  <sheetViews>
    <sheetView showRuler="0" workbookViewId="0">
      <selection activeCell="E17" sqref="E17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7"/>
      <c r="B1" s="107"/>
      <c r="C1" s="107"/>
      <c r="D1" s="107"/>
      <c r="E1" s="96" t="s">
        <v>0</v>
      </c>
      <c r="F1" s="97" t="s">
        <v>1</v>
      </c>
      <c r="G1" s="98" t="s">
        <v>2</v>
      </c>
      <c r="H1" s="99" t="s">
        <v>3</v>
      </c>
      <c r="I1" s="100" t="s">
        <v>4</v>
      </c>
      <c r="J1" s="101" t="s">
        <v>6</v>
      </c>
      <c r="K1" s="101" t="s">
        <v>6</v>
      </c>
      <c r="L1" s="101" t="s">
        <v>6</v>
      </c>
      <c r="M1" s="101" t="s">
        <v>6</v>
      </c>
      <c r="N1" s="101" t="s">
        <v>6</v>
      </c>
      <c r="O1" s="101" t="s">
        <v>6</v>
      </c>
      <c r="P1" s="101" t="s">
        <v>6</v>
      </c>
      <c r="Q1" s="101" t="s">
        <v>6</v>
      </c>
      <c r="R1" s="101" t="s">
        <v>6</v>
      </c>
      <c r="S1" s="102" t="s">
        <v>194</v>
      </c>
      <c r="T1" s="102">
        <v>8</v>
      </c>
      <c r="U1" s="102" t="s">
        <v>182</v>
      </c>
      <c r="V1" s="102" t="s">
        <v>182</v>
      </c>
      <c r="W1" s="102" t="s">
        <v>174</v>
      </c>
      <c r="X1" s="109" t="s">
        <v>6</v>
      </c>
      <c r="Y1" s="109" t="s">
        <v>6</v>
      </c>
      <c r="Z1" s="102">
        <v>0</v>
      </c>
      <c r="AA1" s="102" t="s">
        <v>259</v>
      </c>
      <c r="AB1" s="102" t="s">
        <v>258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03" t="s">
        <v>5</v>
      </c>
      <c r="B2" s="103" t="s">
        <v>6</v>
      </c>
      <c r="C2" s="103"/>
      <c r="D2" s="103" t="s">
        <v>172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65</v>
      </c>
      <c r="B3" s="59"/>
      <c r="C3" s="58"/>
      <c r="D3" s="58"/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74" t="str">
        <f>+$A$3</f>
        <v>Kotak Bank A/c.</v>
      </c>
      <c r="DB3" s="175" t="e">
        <f>VALUE(A3)</f>
        <v>#VALUE!</v>
      </c>
      <c r="DC3" s="176" t="e">
        <f>+CONCATENATE(TEXT(DB3,"D"),"",TEXT(DB3,"MM"),"","/",SUBSTITUTE(DF3,",",""),"/",DK3)</f>
        <v>#VALUE!</v>
      </c>
      <c r="DD3" s="141" t="e">
        <f>IF(RIGHT(D3,4)="(Cr)",VALUE("0"),VALUE(SUBSTITUTE(SUBSTITUTE((D3),",",""),"(Dr)","")))</f>
        <v>#VALUE!</v>
      </c>
      <c r="DE3" s="141" t="e">
        <f>IF(RIGHT(D3,4)="(Dr)",VALUE("0"),VALUE(SUBSTITUTE(SUBSTITUTE((D3),",",""),"(Cr)","")))</f>
        <v>#VALUE!</v>
      </c>
      <c r="DF3" s="140" t="e">
        <f>+IF(RIGHT(E3,4)="(Dr)",VALUE(SUBSTITUTE(SUBSTITUTE(SUBSTITUTE((E3),",",""),"(Cr)",""),"(Dr)",""))*-1,VALUE(SUBSTITUTE(SUBSTITUTE(SUBSTITUTE((E3),",",""),"(Cr)",""),"(Dr)","")))</f>
        <v>#VALUE!</v>
      </c>
      <c r="DG3" s="17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78" t="e">
        <f>+DB3</f>
        <v>#VALUE!</v>
      </c>
      <c r="DI3" s="178" t="e">
        <f>+IF(DE3=0,"Suspance Payment","Suspance Receipt")</f>
        <v>#VALUE!</v>
      </c>
      <c r="DJ3" s="179" t="str">
        <f>+TRIM(B3)</f>
        <v/>
      </c>
      <c r="DK3" s="18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70" t="s">
        <v>239</v>
      </c>
      <c r="B4" s="171" t="s">
        <v>240</v>
      </c>
      <c r="C4" s="172" t="s">
        <v>241</v>
      </c>
      <c r="D4" s="172" t="s">
        <v>242</v>
      </c>
      <c r="E4" s="173" t="s">
        <v>243</v>
      </c>
      <c r="DA4" s="38" t="str">
        <f>+DA3</f>
        <v>Kotak Bank A/c.</v>
      </c>
    </row>
    <row r="21" ht="15" customHeight="1"/>
  </sheetData>
  <sheetProtection algorithmName="SHA-512" hashValue="5CNZXa2dZGBDnlklihUNesqeeyt2YpqHy6ZUDvb+n3CUJmAEPzCT0QXifxgLVe9FlYEY52XwIRuGGd672rJHZg==" saltValue="dlO1aoGp0b6zrJRRpTZoW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431" priority="11" operator="equal">
      <formula>#N/A</formula>
    </cfRule>
  </conditionalFormatting>
  <conditionalFormatting sqref="DG2">
    <cfRule type="cellIs" dxfId="430" priority="10" operator="equal">
      <formula>#N/A</formula>
    </cfRule>
  </conditionalFormatting>
  <conditionalFormatting sqref="DH2:DI2">
    <cfRule type="cellIs" dxfId="429" priority="9" operator="equal">
      <formula>#N/A</formula>
    </cfRule>
  </conditionalFormatting>
  <conditionalFormatting sqref="I1:I2">
    <cfRule type="cellIs" dxfId="428" priority="8" operator="equal">
      <formula>#N/A</formula>
    </cfRule>
  </conditionalFormatting>
  <conditionalFormatting sqref="H1">
    <cfRule type="cellIs" dxfId="427" priority="7" operator="equal">
      <formula>#N/A</formula>
    </cfRule>
  </conditionalFormatting>
  <conditionalFormatting sqref="E1">
    <cfRule type="cellIs" dxfId="426" priority="6" operator="equal">
      <formula>#N/A</formula>
    </cfRule>
  </conditionalFormatting>
  <conditionalFormatting sqref="I1">
    <cfRule type="containsText" dxfId="425" priority="4" operator="containsText" text="All Data Import Successfully">
      <formula>NOT(ISERROR(SEARCH("All Data Import Successfully",I1)))</formula>
    </cfRule>
    <cfRule type="containsText" dxfId="424" priority="5" operator="containsText" text="Difference Entry">
      <formula>NOT(ISERROR(SEARCH("Difference Entry",I1)))</formula>
    </cfRule>
  </conditionalFormatting>
  <conditionalFormatting sqref="E2:G2">
    <cfRule type="cellIs" dxfId="423" priority="3" operator="equal">
      <formula>#N/A</formula>
    </cfRule>
  </conditionalFormatting>
  <conditionalFormatting sqref="H2">
    <cfRule type="cellIs" dxfId="422" priority="2" operator="equal">
      <formula>#N/A</formula>
    </cfRule>
  </conditionalFormatting>
  <conditionalFormatting sqref="I2">
    <cfRule type="cellIs" dxfId="42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8">
    <tabColor theme="8" tint="0.79998168889431442"/>
  </sheetPr>
  <dimension ref="A1:DZ4"/>
  <sheetViews>
    <sheetView workbookViewId="0"/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7"/>
      <c r="B1" s="107"/>
      <c r="C1" s="107"/>
      <c r="D1" s="107"/>
      <c r="E1" s="96" t="s">
        <v>0</v>
      </c>
      <c r="F1" s="97" t="s">
        <v>1</v>
      </c>
      <c r="G1" s="98" t="s">
        <v>2</v>
      </c>
      <c r="H1" s="99" t="s">
        <v>3</v>
      </c>
      <c r="I1" s="100" t="s">
        <v>4</v>
      </c>
      <c r="J1" s="101" t="s">
        <v>6</v>
      </c>
      <c r="K1" s="101" t="s">
        <v>6</v>
      </c>
      <c r="L1" s="101" t="s">
        <v>6</v>
      </c>
      <c r="M1" s="101" t="s">
        <v>6</v>
      </c>
      <c r="N1" s="101" t="s">
        <v>6</v>
      </c>
      <c r="O1" s="101" t="s">
        <v>6</v>
      </c>
      <c r="P1" s="101" t="s">
        <v>6</v>
      </c>
      <c r="Q1" s="101" t="s">
        <v>6</v>
      </c>
      <c r="R1" s="101" t="s">
        <v>6</v>
      </c>
      <c r="S1" s="102" t="s">
        <v>194</v>
      </c>
      <c r="T1" s="102">
        <v>8</v>
      </c>
      <c r="U1" s="102" t="s">
        <v>182</v>
      </c>
      <c r="V1" s="102" t="s">
        <v>182</v>
      </c>
      <c r="W1" s="102" t="s">
        <v>174</v>
      </c>
      <c r="X1" s="109" t="s">
        <v>6</v>
      </c>
      <c r="Y1" s="109" t="s">
        <v>6</v>
      </c>
      <c r="Z1" s="102">
        <v>0</v>
      </c>
      <c r="AA1" s="102" t="s">
        <v>258</v>
      </c>
      <c r="AB1" s="102" t="s">
        <v>185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03" t="s">
        <v>5</v>
      </c>
      <c r="B2" s="103" t="s">
        <v>6</v>
      </c>
      <c r="C2" s="103"/>
      <c r="D2" s="103" t="s">
        <v>172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65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Kotak Bank A/c.</v>
      </c>
      <c r="DB3" s="24" t="e">
        <f>+VALUE(LEFT(B3,11))</f>
        <v>#VALUE!</v>
      </c>
      <c r="DC3" s="25" t="e">
        <f>+CONCATENATE(TEXT(DB3,"D"),"",TEXT(DB3,"MM"),"","/",SUBSTITUTE(DF3,",",""),"/",DK3)</f>
        <v>#VALUE!</v>
      </c>
      <c r="DD3" s="26">
        <f>+IF(OR(G3=" ",G3=""),0,VALUE(SUBSTITUTE(SUBSTITUTE((TRIM(G3)),",",""),"-","")))</f>
        <v>0</v>
      </c>
      <c r="DE3" s="26">
        <f>+IF(OR(H3="",H3=" "),0,VALUE(SUBSTITUTE(SUBSTITUTE((TRIM(H3)),",",""),"+","")))</f>
        <v>0</v>
      </c>
      <c r="DF3" s="26" t="e">
        <f>+VALUE(SUBSTITUTE(SUBSTITUTE((TRIM(I3)),",",""),"+",""))</f>
        <v>#VALUE!</v>
      </c>
      <c r="DG3" s="27" t="str">
        <f>+TRIM(E3)</f>
        <v/>
      </c>
      <c r="DH3" s="28" t="e">
        <f>+DB3</f>
        <v>#VALUE!</v>
      </c>
      <c r="DI3" s="28" t="str">
        <f>+IF(DE3=0,"Suspance Payment","Suspance Receipt")</f>
        <v>Suspance Payment</v>
      </c>
      <c r="DJ3" s="39" t="str">
        <f>+TRIM(C3)</f>
        <v/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09" t="s">
        <v>302</v>
      </c>
      <c r="B4" s="210" t="s">
        <v>296</v>
      </c>
      <c r="C4" s="312" t="s">
        <v>297</v>
      </c>
      <c r="D4" s="312"/>
      <c r="E4" s="313" t="s">
        <v>298</v>
      </c>
      <c r="F4" s="313"/>
      <c r="G4" s="211" t="s">
        <v>299</v>
      </c>
      <c r="H4" s="212" t="s">
        <v>300</v>
      </c>
      <c r="I4" s="213" t="s">
        <v>301</v>
      </c>
      <c r="DA4" s="38" t="str">
        <f>+DA3</f>
        <v>Kotak Bank A/c.</v>
      </c>
    </row>
  </sheetData>
  <sheetProtection algorithmName="SHA-512" hashValue="UjnUyCGJgn93vWEQlq1BkRgBbInDTzBbJ8smoNl1nZjdxenYkpplPJnS04cjmuTghCEtKOc0yuHx5/x0GcdnmA==" saltValue="pw1fsLgQHToj8u4o4AP19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mergeCells count="2">
    <mergeCell ref="C4:D4"/>
    <mergeCell ref="E4:F4"/>
  </mergeCells>
  <conditionalFormatting sqref="E3">
    <cfRule type="cellIs" dxfId="420" priority="11" operator="equal">
      <formula>#N/A</formula>
    </cfRule>
  </conditionalFormatting>
  <conditionalFormatting sqref="DG2">
    <cfRule type="cellIs" dxfId="419" priority="10" operator="equal">
      <formula>#N/A</formula>
    </cfRule>
  </conditionalFormatting>
  <conditionalFormatting sqref="DH2:DI2">
    <cfRule type="cellIs" dxfId="418" priority="9" operator="equal">
      <formula>#N/A</formula>
    </cfRule>
  </conditionalFormatting>
  <conditionalFormatting sqref="I1:I2">
    <cfRule type="cellIs" dxfId="417" priority="8" operator="equal">
      <formula>#N/A</formula>
    </cfRule>
  </conditionalFormatting>
  <conditionalFormatting sqref="H1">
    <cfRule type="cellIs" dxfId="416" priority="7" operator="equal">
      <formula>#N/A</formula>
    </cfRule>
  </conditionalFormatting>
  <conditionalFormatting sqref="E1">
    <cfRule type="cellIs" dxfId="415" priority="6" operator="equal">
      <formula>#N/A</formula>
    </cfRule>
  </conditionalFormatting>
  <conditionalFormatting sqref="I1">
    <cfRule type="containsText" dxfId="414" priority="4" operator="containsText" text="All Data Import Successfully">
      <formula>NOT(ISERROR(SEARCH("All Data Import Successfully",I1)))</formula>
    </cfRule>
    <cfRule type="containsText" dxfId="413" priority="5" operator="containsText" text="Difference Entry">
      <formula>NOT(ISERROR(SEARCH("Difference Entry",I1)))</formula>
    </cfRule>
  </conditionalFormatting>
  <conditionalFormatting sqref="E2:G2">
    <cfRule type="cellIs" dxfId="412" priority="3" operator="equal">
      <formula>#N/A</formula>
    </cfRule>
  </conditionalFormatting>
  <conditionalFormatting sqref="H2">
    <cfRule type="cellIs" dxfId="411" priority="2" operator="equal">
      <formula>#N/A</formula>
    </cfRule>
  </conditionalFormatting>
  <conditionalFormatting sqref="I2">
    <cfRule type="cellIs" dxfId="41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52">
    <tabColor theme="8" tint="0.79998168889431442"/>
  </sheetPr>
  <dimension ref="A1:DZ4"/>
  <sheetViews>
    <sheetView showRuler="0" workbookViewId="0">
      <selection activeCell="F30" sqref="F30"/>
    </sheetView>
  </sheetViews>
  <sheetFormatPr defaultRowHeight="15"/>
  <cols>
    <col min="1" max="9" width="25.7109375" style="6" customWidth="1"/>
    <col min="10" max="10" width="10.7109375" style="6" bestFit="1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7"/>
      <c r="B1" s="107"/>
      <c r="C1" s="107"/>
      <c r="D1" s="107"/>
      <c r="E1" s="96" t="s">
        <v>0</v>
      </c>
      <c r="F1" s="97" t="s">
        <v>1</v>
      </c>
      <c r="G1" s="98" t="s">
        <v>2</v>
      </c>
      <c r="H1" s="99" t="s">
        <v>3</v>
      </c>
      <c r="I1" s="100" t="s">
        <v>4</v>
      </c>
      <c r="J1" s="101" t="s">
        <v>6</v>
      </c>
      <c r="K1" s="101" t="s">
        <v>6</v>
      </c>
      <c r="L1" s="101" t="s">
        <v>6</v>
      </c>
      <c r="M1" s="101" t="s">
        <v>6</v>
      </c>
      <c r="N1" s="101" t="s">
        <v>6</v>
      </c>
      <c r="O1" s="101" t="s">
        <v>6</v>
      </c>
      <c r="P1" s="101" t="s">
        <v>6</v>
      </c>
      <c r="Q1" s="101" t="s">
        <v>6</v>
      </c>
      <c r="R1" s="101" t="s">
        <v>6</v>
      </c>
      <c r="S1" s="102" t="s">
        <v>194</v>
      </c>
      <c r="T1" s="102">
        <v>8</v>
      </c>
      <c r="U1" s="102" t="s">
        <v>182</v>
      </c>
      <c r="V1" s="102" t="s">
        <v>182</v>
      </c>
      <c r="W1" s="102" t="s">
        <v>174</v>
      </c>
      <c r="X1" s="109" t="s">
        <v>6</v>
      </c>
      <c r="Y1" s="109" t="s">
        <v>6</v>
      </c>
      <c r="Z1" s="102">
        <v>0</v>
      </c>
      <c r="AA1" s="102" t="s">
        <v>259</v>
      </c>
      <c r="AB1" s="102" t="s">
        <v>185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03" t="s">
        <v>5</v>
      </c>
      <c r="B2" s="103" t="s">
        <v>6</v>
      </c>
      <c r="C2" s="103"/>
      <c r="D2" s="103" t="s">
        <v>172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65</v>
      </c>
      <c r="B3" s="59"/>
      <c r="C3" s="58"/>
      <c r="D3" s="58"/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Kotak Bank A/c.</v>
      </c>
      <c r="DB3" s="24" t="e">
        <f>+VALUE(A3)</f>
        <v>#VALUE!</v>
      </c>
      <c r="DC3" s="25" t="e">
        <f>+CONCATENATE(TEXT(DB3,"D"),"",TEXT(DB3,"MM"),"","/",SUBSTITUTE(DF3,",",""),"/",DK3)</f>
        <v>#VALUE!</v>
      </c>
      <c r="DD3" s="26">
        <f>+IF(OR(F3="",F3=" "),VALUE("0"),VALUE(SUBSTITUTE((TRIM(F3)),",","")))</f>
        <v>0</v>
      </c>
      <c r="DE3" s="26">
        <f>+IF(OR(G3="",G3=" "),VALUE("0"),VALUE(SUBSTITUTE((TRIM(G3)),",","")))</f>
        <v>0</v>
      </c>
      <c r="DF3" s="26">
        <f>+IF(OR(H3="",H3=" "),VALUE("0"),VALUE(SUBSTITUTE(SUBSTITUTE(SUBSTITUTE((TRIM(H3)),",",""),"(Cr)",""),"(Dr)","")))</f>
        <v>0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26" t="s">
        <v>32</v>
      </c>
      <c r="B4" s="227"/>
      <c r="C4" s="227" t="s">
        <v>323</v>
      </c>
      <c r="D4" s="227" t="s">
        <v>324</v>
      </c>
      <c r="E4" s="227"/>
      <c r="F4" s="227" t="s">
        <v>325</v>
      </c>
      <c r="G4" s="227" t="s">
        <v>326</v>
      </c>
      <c r="H4" s="228" t="s">
        <v>251</v>
      </c>
      <c r="DA4" s="38" t="str">
        <f>+DA3</f>
        <v>Kotak Bank A/c.</v>
      </c>
    </row>
  </sheetData>
  <sheetProtection algorithmName="SHA-512" hashValue="qn3BBlbUOKWs7TKLEPsJjsFv/J81BL82onk+JRl+7TA1D4E/bg3OmjNSGJSx+ykmqOXPwUnGjDyYnTQSpwBGtQ==" saltValue="haqFUhLjrKRSz/1E95Kxg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409" priority="11" operator="equal">
      <formula>#N/A</formula>
    </cfRule>
  </conditionalFormatting>
  <conditionalFormatting sqref="DG2">
    <cfRule type="cellIs" dxfId="408" priority="10" operator="equal">
      <formula>#N/A</formula>
    </cfRule>
  </conditionalFormatting>
  <conditionalFormatting sqref="DH2:DI2">
    <cfRule type="cellIs" dxfId="407" priority="9" operator="equal">
      <formula>#N/A</formula>
    </cfRule>
  </conditionalFormatting>
  <conditionalFormatting sqref="I1:I2">
    <cfRule type="cellIs" dxfId="406" priority="8" operator="equal">
      <formula>#N/A</formula>
    </cfRule>
  </conditionalFormatting>
  <conditionalFormatting sqref="H1">
    <cfRule type="cellIs" dxfId="405" priority="7" operator="equal">
      <formula>#N/A</formula>
    </cfRule>
  </conditionalFormatting>
  <conditionalFormatting sqref="E1">
    <cfRule type="cellIs" dxfId="404" priority="6" operator="equal">
      <formula>#N/A</formula>
    </cfRule>
  </conditionalFormatting>
  <conditionalFormatting sqref="I1">
    <cfRule type="containsText" dxfId="403" priority="4" operator="containsText" text="All Data Import Successfully">
      <formula>NOT(ISERROR(SEARCH("All Data Import Successfully",I1)))</formula>
    </cfRule>
    <cfRule type="containsText" dxfId="402" priority="5" operator="containsText" text="Difference Entry">
      <formula>NOT(ISERROR(SEARCH("Difference Entry",I1)))</formula>
    </cfRule>
  </conditionalFormatting>
  <conditionalFormatting sqref="E2:G2">
    <cfRule type="cellIs" dxfId="401" priority="3" operator="equal">
      <formula>#N/A</formula>
    </cfRule>
  </conditionalFormatting>
  <conditionalFormatting sqref="H2">
    <cfRule type="cellIs" dxfId="400" priority="2" operator="equal">
      <formula>#N/A</formula>
    </cfRule>
  </conditionalFormatting>
  <conditionalFormatting sqref="I2">
    <cfRule type="cellIs" dxfId="399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51">
    <tabColor theme="8" tint="0.79998168889431442"/>
  </sheetPr>
  <dimension ref="A1:DZ4"/>
  <sheetViews>
    <sheetView showRuler="0" workbookViewId="0">
      <selection activeCell="D18" sqref="D18"/>
    </sheetView>
  </sheetViews>
  <sheetFormatPr defaultRowHeight="15"/>
  <cols>
    <col min="1" max="9" width="25.7109375" style="6" customWidth="1"/>
    <col min="10" max="10" width="10.7109375" style="6" bestFit="1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7"/>
      <c r="B1" s="107"/>
      <c r="C1" s="107"/>
      <c r="D1" s="107"/>
      <c r="E1" s="96" t="s">
        <v>0</v>
      </c>
      <c r="F1" s="97" t="s">
        <v>1</v>
      </c>
      <c r="G1" s="98" t="s">
        <v>2</v>
      </c>
      <c r="H1" s="99" t="s">
        <v>3</v>
      </c>
      <c r="I1" s="100" t="s">
        <v>4</v>
      </c>
      <c r="J1" s="101" t="s">
        <v>6</v>
      </c>
      <c r="K1" s="101" t="s">
        <v>6</v>
      </c>
      <c r="L1" s="101" t="s">
        <v>6</v>
      </c>
      <c r="M1" s="101" t="s">
        <v>6</v>
      </c>
      <c r="N1" s="101" t="s">
        <v>6</v>
      </c>
      <c r="O1" s="101" t="s">
        <v>6</v>
      </c>
      <c r="P1" s="101" t="s">
        <v>6</v>
      </c>
      <c r="Q1" s="101" t="s">
        <v>6</v>
      </c>
      <c r="R1" s="101" t="s">
        <v>6</v>
      </c>
      <c r="S1" s="102" t="s">
        <v>201</v>
      </c>
      <c r="T1" s="102">
        <v>7</v>
      </c>
      <c r="U1" s="102" t="s">
        <v>182</v>
      </c>
      <c r="V1" s="102" t="s">
        <v>173</v>
      </c>
      <c r="W1" s="102" t="s">
        <v>174</v>
      </c>
      <c r="X1" s="109" t="s">
        <v>6</v>
      </c>
      <c r="Y1" s="109" t="s">
        <v>6</v>
      </c>
      <c r="Z1" s="10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03" t="s">
        <v>5</v>
      </c>
      <c r="B2" s="103" t="s">
        <v>6</v>
      </c>
      <c r="C2" s="103"/>
      <c r="D2" s="103" t="s">
        <v>172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314</v>
      </c>
      <c r="B3" s="59"/>
      <c r="C3" s="58"/>
      <c r="D3" s="58"/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CENTRAL BANK OF INDIA</v>
      </c>
      <c r="DB3" s="24" t="e">
        <f>+VALUE(A3)</f>
        <v>#VALUE!</v>
      </c>
      <c r="DC3" s="25" t="e">
        <f>+CONCATENATE(TEXT(DB3,"D"),"",TEXT(DB3,"MM"),"","/",SUBSTITUTE(DF3,",",""),"/",DK3)</f>
        <v>#VALUE!</v>
      </c>
      <c r="DD3" s="26">
        <f>+IF(OR(F3="",F3=" "),VALUE("0"),VALUE(SUBSTITUTE((TRIM(F3)),",","")))</f>
        <v>0</v>
      </c>
      <c r="DE3" s="26">
        <f>+IF(OR(G3="",G3=" "),VALUE("0"),VALUE(SUBSTITUTE((TRIM(G3)),",","")))</f>
        <v>0</v>
      </c>
      <c r="DF3" s="26">
        <f>+IF(OR(H3="",H3=" "),VALUE("0"),VALUE(SUBSTITUTE(SUBSTITUTE((TRIM(H3)),",",""),"CR","")))</f>
        <v>0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22" t="s">
        <v>315</v>
      </c>
      <c r="B4" s="223" t="s">
        <v>316</v>
      </c>
      <c r="C4" s="223" t="s">
        <v>317</v>
      </c>
      <c r="D4" s="223" t="s">
        <v>318</v>
      </c>
      <c r="E4" s="223" t="s">
        <v>319</v>
      </c>
      <c r="F4" s="224" t="s">
        <v>320</v>
      </c>
      <c r="G4" s="223" t="s">
        <v>321</v>
      </c>
      <c r="H4" s="225" t="s">
        <v>322</v>
      </c>
      <c r="DA4" s="38" t="str">
        <f>+DA3</f>
        <v>CENTRAL BANK OF INDIA</v>
      </c>
    </row>
  </sheetData>
  <sheetProtection algorithmName="SHA-512" hashValue="Xq848Y8JaOoECmUojvs3nF9wmoqKZsAF3RFvMNfnpRmtXXrv0nRyD0JSk9b2CcjJUs26jXnArEYgt1W2LQyr1Q==" saltValue="fv3hN+1P92u5HfP4fiUId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398" priority="11" operator="equal">
      <formula>#N/A</formula>
    </cfRule>
  </conditionalFormatting>
  <conditionalFormatting sqref="DG2">
    <cfRule type="cellIs" dxfId="397" priority="10" operator="equal">
      <formula>#N/A</formula>
    </cfRule>
  </conditionalFormatting>
  <conditionalFormatting sqref="DH2:DI2">
    <cfRule type="cellIs" dxfId="396" priority="9" operator="equal">
      <formula>#N/A</formula>
    </cfRule>
  </conditionalFormatting>
  <conditionalFormatting sqref="I1:I2">
    <cfRule type="cellIs" dxfId="395" priority="8" operator="equal">
      <formula>#N/A</formula>
    </cfRule>
  </conditionalFormatting>
  <conditionalFormatting sqref="H1">
    <cfRule type="cellIs" dxfId="394" priority="7" operator="equal">
      <formula>#N/A</formula>
    </cfRule>
  </conditionalFormatting>
  <conditionalFormatting sqref="E1">
    <cfRule type="cellIs" dxfId="393" priority="6" operator="equal">
      <formula>#N/A</formula>
    </cfRule>
  </conditionalFormatting>
  <conditionalFormatting sqref="I1">
    <cfRule type="containsText" dxfId="392" priority="4" operator="containsText" text="All Data Import Successfully">
      <formula>NOT(ISERROR(SEARCH("All Data Import Successfully",I1)))</formula>
    </cfRule>
    <cfRule type="containsText" dxfId="391" priority="5" operator="containsText" text="Difference Entry">
      <formula>NOT(ISERROR(SEARCH("Difference Entry",I1)))</formula>
    </cfRule>
  </conditionalFormatting>
  <conditionalFormatting sqref="E2:G2">
    <cfRule type="cellIs" dxfId="390" priority="3" operator="equal">
      <formula>#N/A</formula>
    </cfRule>
  </conditionalFormatting>
  <conditionalFormatting sqref="H2">
    <cfRule type="cellIs" dxfId="389" priority="2" operator="equal">
      <formula>#N/A</formula>
    </cfRule>
  </conditionalFormatting>
  <conditionalFormatting sqref="I2">
    <cfRule type="cellIs" dxfId="38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7">
    <tabColor theme="8" tint="0.79998168889431442"/>
  </sheetPr>
  <dimension ref="A1:DZ4"/>
  <sheetViews>
    <sheetView showRuler="0" workbookViewId="0">
      <selection activeCell="E17" sqref="E17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7"/>
      <c r="B1" s="107"/>
      <c r="C1" s="107"/>
      <c r="D1" s="107"/>
      <c r="E1" s="96" t="s">
        <v>0</v>
      </c>
      <c r="F1" s="97" t="s">
        <v>1</v>
      </c>
      <c r="G1" s="98" t="s">
        <v>2</v>
      </c>
      <c r="H1" s="99" t="s">
        <v>3</v>
      </c>
      <c r="I1" s="100" t="s">
        <v>4</v>
      </c>
      <c r="J1" s="101" t="s">
        <v>6</v>
      </c>
      <c r="K1" s="101" t="s">
        <v>6</v>
      </c>
      <c r="L1" s="101" t="s">
        <v>6</v>
      </c>
      <c r="M1" s="101" t="s">
        <v>6</v>
      </c>
      <c r="N1" s="101" t="s">
        <v>6</v>
      </c>
      <c r="O1" s="101" t="s">
        <v>6</v>
      </c>
      <c r="P1" s="101" t="s">
        <v>6</v>
      </c>
      <c r="Q1" s="101" t="s">
        <v>6</v>
      </c>
      <c r="R1" s="101" t="s">
        <v>6</v>
      </c>
      <c r="S1" s="102" t="s">
        <v>216</v>
      </c>
      <c r="T1" s="102">
        <v>7</v>
      </c>
      <c r="U1" s="102" t="s">
        <v>198</v>
      </c>
      <c r="V1" s="102" t="s">
        <v>182</v>
      </c>
      <c r="W1" s="102" t="s">
        <v>173</v>
      </c>
      <c r="X1" s="109" t="s">
        <v>6</v>
      </c>
      <c r="Y1" s="109" t="s">
        <v>6</v>
      </c>
      <c r="Z1" s="10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03" t="s">
        <v>5</v>
      </c>
      <c r="B2" s="103" t="s">
        <v>6</v>
      </c>
      <c r="C2" s="103"/>
      <c r="D2" s="103" t="s">
        <v>172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290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 xml:space="preserve">The Varachha Co.Op. Bank 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IF(D3="",VALUE("0"),VALUE(SUBSTITUTE((D3),",","")))</f>
        <v>0</v>
      </c>
      <c r="DE3" s="26">
        <f>IF(E3="",VALUE("0"),VALUE(SUBSTITUTE((E3),",","")))</f>
        <v>0</v>
      </c>
      <c r="DF3" s="26" t="str">
        <f>IF(F3="","",VALUE(SUBSTITUTE(SUBSTITUTE((F3),",",""),"CR","")))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05" t="s">
        <v>284</v>
      </c>
      <c r="B4" s="206" t="s">
        <v>285</v>
      </c>
      <c r="C4" s="206" t="s">
        <v>286</v>
      </c>
      <c r="D4" s="206" t="s">
        <v>287</v>
      </c>
      <c r="E4" s="206" t="s">
        <v>288</v>
      </c>
      <c r="F4" s="206" t="s">
        <v>289</v>
      </c>
      <c r="DA4" s="38" t="str">
        <f>+DA3</f>
        <v xml:space="preserve">The Varachha Co.Op. Bank </v>
      </c>
    </row>
  </sheetData>
  <sheetProtection password="C282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387" priority="11" operator="equal">
      <formula>#N/A</formula>
    </cfRule>
  </conditionalFormatting>
  <conditionalFormatting sqref="DG2">
    <cfRule type="cellIs" dxfId="386" priority="10" operator="equal">
      <formula>#N/A</formula>
    </cfRule>
  </conditionalFormatting>
  <conditionalFormatting sqref="DH2:DI2">
    <cfRule type="cellIs" dxfId="385" priority="9" operator="equal">
      <formula>#N/A</formula>
    </cfRule>
  </conditionalFormatting>
  <conditionalFormatting sqref="I1:I2">
    <cfRule type="cellIs" dxfId="384" priority="8" operator="equal">
      <formula>#N/A</formula>
    </cfRule>
  </conditionalFormatting>
  <conditionalFormatting sqref="H1">
    <cfRule type="cellIs" dxfId="383" priority="7" operator="equal">
      <formula>#N/A</formula>
    </cfRule>
  </conditionalFormatting>
  <conditionalFormatting sqref="E1">
    <cfRule type="cellIs" dxfId="382" priority="6" operator="equal">
      <formula>#N/A</formula>
    </cfRule>
  </conditionalFormatting>
  <conditionalFormatting sqref="I1">
    <cfRule type="containsText" dxfId="381" priority="4" operator="containsText" text="All Data Import Successfully">
      <formula>NOT(ISERROR(SEARCH("All Data Import Successfully",I1)))</formula>
    </cfRule>
    <cfRule type="containsText" dxfId="380" priority="5" operator="containsText" text="Difference Entry">
      <formula>NOT(ISERROR(SEARCH("Difference Entry",I1)))</formula>
    </cfRule>
  </conditionalFormatting>
  <conditionalFormatting sqref="E2:G2">
    <cfRule type="cellIs" dxfId="379" priority="3" operator="equal">
      <formula>#N/A</formula>
    </cfRule>
  </conditionalFormatting>
  <conditionalFormatting sqref="H2">
    <cfRule type="cellIs" dxfId="378" priority="2" operator="equal">
      <formula>#N/A</formula>
    </cfRule>
  </conditionalFormatting>
  <conditionalFormatting sqref="I2">
    <cfRule type="cellIs" dxfId="37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D1B86-1B6F-4311-A5E9-2697BC56C6E8}">
  <sheetPr codeName="Sheet59">
    <tabColor theme="8" tint="0.79998168889431442"/>
  </sheetPr>
  <dimension ref="A1:DZ4"/>
  <sheetViews>
    <sheetView showRuler="0" workbookViewId="0">
      <selection activeCell="B37" sqref="B37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135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+$DA$2</f>
        <v>Bank Name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IF(G3="",VALUE("0"),VALUE(SUBSTITUTE((G3),",","")))</f>
        <v>0</v>
      </c>
      <c r="DE3" s="26">
        <f>IF(H3="",VALUE("0"),VALUE(SUBSTITUTE((H3),",","")))</f>
        <v>0</v>
      </c>
      <c r="DF3" s="26" t="e">
        <f>+VALUE(SUBSTITUTE((SUBSTITUTE((I3),"Cr","")),",",""))</f>
        <v>#VALUE!</v>
      </c>
      <c r="DG3" s="26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VALUE(B3)</f>
        <v>0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295" t="s">
        <v>3171</v>
      </c>
      <c r="B4" s="295" t="s">
        <v>245</v>
      </c>
      <c r="C4" s="296" t="s">
        <v>323</v>
      </c>
      <c r="D4" s="297"/>
      <c r="E4" s="296" t="s">
        <v>3172</v>
      </c>
      <c r="F4" s="297"/>
      <c r="G4" s="295" t="s">
        <v>249</v>
      </c>
      <c r="H4" s="295" t="s">
        <v>250</v>
      </c>
      <c r="I4" s="296" t="s">
        <v>251</v>
      </c>
      <c r="DA4" s="38" t="str">
        <f>+DA3</f>
        <v>Bank Name</v>
      </c>
    </row>
  </sheetData>
  <sheetProtection algorithmName="SHA-512" hashValue="KcqYo92kl+fnTnFq5lFoDEWYDh5ogG6ixMe1/OirR7Zi6VL0LJuyAoF6mD/ROFZbMvbGTL326Er5JabcCxGLAQ==" saltValue="4GNpRm1qfkxVbkLWFFBf1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 DA5:DC728 DH5:DH728 DJ5:DJ728" name="Range1_6"/>
    <protectedRange algorithmName="SHA-512" hashValue="FeHjunJeBmEIe1Z+x4LSLD0xeXKoeHqEB4mLNgYC3pUDxBFAiT2e1scH7F48tQXpPGOh+9Z9iw2K5jb0kUxFkQ==" saltValue="Arxg+XESKZddo6Y2q+NDbg==" spinCount="100000" sqref="DD5:DF728 DD3:DG3" name="Range1_1_3"/>
    <protectedRange algorithmName="SHA-512" hashValue="FeHjunJeBmEIe1Z+x4LSLD0xeXKoeHqEB4mLNgYC3pUDxBFAiT2e1scH7F48tQXpPGOh+9Z9iw2K5jb0kUxFkQ==" saltValue="Arxg+XESKZddo6Y2q+NDbg==" spinCount="100000" sqref="DI3 DI5:DI728" name="Range1_2_3"/>
    <protectedRange algorithmName="SHA-512" hashValue="FeHjunJeBmEIe1Z+x4LSLD0xeXKoeHqEB4mLNgYC3pUDxBFAiT2e1scH7F48tQXpPGOh+9Z9iw2K5jb0kUxFkQ==" saltValue="Arxg+XESKZddo6Y2q+NDbg==" spinCount="100000" sqref="DK3 DK5:DK728" name="Range1_3_3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376" priority="10" operator="equal">
      <formula>#N/A</formula>
    </cfRule>
  </conditionalFormatting>
  <conditionalFormatting sqref="H1">
    <cfRule type="cellIs" dxfId="375" priority="9" operator="equal">
      <formula>#N/A</formula>
    </cfRule>
  </conditionalFormatting>
  <conditionalFormatting sqref="E1">
    <cfRule type="cellIs" dxfId="374" priority="8" operator="equal">
      <formula>#N/A</formula>
    </cfRule>
  </conditionalFormatting>
  <conditionalFormatting sqref="I1">
    <cfRule type="containsText" dxfId="373" priority="6" operator="containsText" text="All Data Import Successfully">
      <formula>NOT(ISERROR(SEARCH("All Data Import Successfully",I1)))</formula>
    </cfRule>
    <cfRule type="containsText" dxfId="372" priority="7" operator="containsText" text="Difference Entry">
      <formula>NOT(ISERROR(SEARCH("Difference Entry",I1)))</formula>
    </cfRule>
  </conditionalFormatting>
  <conditionalFormatting sqref="DG2">
    <cfRule type="cellIs" dxfId="371" priority="5" operator="equal">
      <formula>#N/A</formula>
    </cfRule>
  </conditionalFormatting>
  <conditionalFormatting sqref="DH2:DI2">
    <cfRule type="cellIs" dxfId="370" priority="4" operator="equal">
      <formula>#N/A</formula>
    </cfRule>
  </conditionalFormatting>
  <conditionalFormatting sqref="E2:G2">
    <cfRule type="cellIs" dxfId="369" priority="3" operator="equal">
      <formula>#N/A</formula>
    </cfRule>
  </conditionalFormatting>
  <conditionalFormatting sqref="H2">
    <cfRule type="cellIs" dxfId="368" priority="2" operator="equal">
      <formula>#N/A</formula>
    </cfRule>
  </conditionalFormatting>
  <conditionalFormatting sqref="I2">
    <cfRule type="cellIs" dxfId="367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"/>
  <dimension ref="A1:DZ4"/>
  <sheetViews>
    <sheetView workbookViewId="0">
      <selection activeCell="A5" sqref="A5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107"/>
      <c r="B1" s="107"/>
      <c r="C1" s="107"/>
      <c r="D1" s="107"/>
      <c r="E1" s="96" t="s">
        <v>0</v>
      </c>
      <c r="F1" s="97" t="s">
        <v>1</v>
      </c>
      <c r="G1" s="98" t="s">
        <v>2</v>
      </c>
      <c r="H1" s="99" t="s">
        <v>3</v>
      </c>
      <c r="I1" s="100" t="s">
        <v>4</v>
      </c>
      <c r="J1" s="101" t="s">
        <v>6</v>
      </c>
      <c r="K1" s="101" t="s">
        <v>6</v>
      </c>
      <c r="L1" s="101" t="s">
        <v>6</v>
      </c>
      <c r="M1" s="101" t="s">
        <v>6</v>
      </c>
      <c r="N1" s="101" t="s">
        <v>6</v>
      </c>
      <c r="O1" s="101" t="s">
        <v>6</v>
      </c>
      <c r="P1" s="101" t="s">
        <v>6</v>
      </c>
      <c r="Q1" s="101" t="s">
        <v>6</v>
      </c>
      <c r="R1" s="101" t="s">
        <v>6</v>
      </c>
      <c r="S1" s="102" t="s">
        <v>168</v>
      </c>
      <c r="T1" s="102">
        <v>10</v>
      </c>
      <c r="U1" s="102" t="s">
        <v>169</v>
      </c>
      <c r="V1" s="102" t="s">
        <v>170</v>
      </c>
      <c r="W1" s="102" t="s">
        <v>171</v>
      </c>
      <c r="X1" s="109" t="s">
        <v>6</v>
      </c>
      <c r="Y1" s="109" t="s">
        <v>6</v>
      </c>
      <c r="Z1" s="10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03" t="s">
        <v>5</v>
      </c>
      <c r="B2" s="103" t="s">
        <v>6</v>
      </c>
      <c r="C2" s="103"/>
      <c r="D2" s="103" t="s">
        <v>172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04" t="s">
        <v>60</v>
      </c>
      <c r="B3" s="105"/>
      <c r="C3" s="104"/>
      <c r="D3" s="104" t="s">
        <v>212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ICICI Bank A/c.</v>
      </c>
      <c r="DB3" s="24">
        <f>VALUE(C3)</f>
        <v>0</v>
      </c>
      <c r="DC3" s="25" t="e">
        <f>+CONCATENATE(TEXT(DB3,"D"),"",TEXT(DB3,"MM"),"","/",SUBSTITUTE(DF3,",",""),"/",DK3)</f>
        <v>#VALUE!</v>
      </c>
      <c r="DD3" s="26">
        <f>IF(H3="",VALUE("0"),VALUE(SUBSTITUTE((H3),",","")))</f>
        <v>0</v>
      </c>
      <c r="DE3" s="26">
        <f>IF(I3="",VALUE("0"),VALUE(SUBSTITUTE((I3),",","")))</f>
        <v>0</v>
      </c>
      <c r="DF3" s="26" t="str">
        <f>IF(J3="","",VALUE(SUBSTITUTE((J3),",","")))</f>
        <v/>
      </c>
      <c r="DG3" s="27" t="str">
        <f ca="1">(SUBSTITUTE(TRIM(IF(LEFT(G3,3)="CLG"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6)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12))),".",""))</f>
        <v/>
      </c>
      <c r="DH3" s="28">
        <f>VALUE(C3)</f>
        <v>0</v>
      </c>
      <c r="DI3" s="28" t="str">
        <f>+IF(DE3=0,"Suspance Payment","Suspance Receipt")</f>
        <v>Suspance Payment</v>
      </c>
      <c r="DJ3" s="29">
        <f>+G3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6" t="s">
        <v>23</v>
      </c>
      <c r="B4" s="106" t="s">
        <v>24</v>
      </c>
      <c r="C4" s="106" t="s">
        <v>18</v>
      </c>
      <c r="D4" s="106" t="s">
        <v>25</v>
      </c>
      <c r="E4" s="106" t="s">
        <v>26</v>
      </c>
      <c r="F4" s="106" t="s">
        <v>27</v>
      </c>
      <c r="G4" s="106" t="s">
        <v>28</v>
      </c>
      <c r="H4" s="106" t="s">
        <v>29</v>
      </c>
      <c r="I4" s="106" t="s">
        <v>30</v>
      </c>
      <c r="J4" s="106" t="s">
        <v>31</v>
      </c>
      <c r="U4" s="6" t="s">
        <v>179</v>
      </c>
      <c r="DA4" s="38" t="str">
        <f>+DA3</f>
        <v>ICICI Bank A/c.</v>
      </c>
    </row>
  </sheetData>
  <sheetProtection algorithmName="SHA-512" hashValue="CqZI+hFqcgfvW29FHMdXrAmQfyLYMWUfKTOZ5uem7EVtRnZF2FEiK5ntdmJcp+IQDDZ1AXS4p80v0xBRlOFt+A==" saltValue="MoqsFKjhppC99enmm27oB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phoneticPr fontId="44" type="noConversion"/>
  <conditionalFormatting sqref="E3 I1:I2">
    <cfRule type="cellIs" dxfId="366" priority="10" operator="equal">
      <formula>#N/A</formula>
    </cfRule>
  </conditionalFormatting>
  <conditionalFormatting sqref="H1">
    <cfRule type="cellIs" dxfId="365" priority="9" operator="equal">
      <formula>#N/A</formula>
    </cfRule>
  </conditionalFormatting>
  <conditionalFormatting sqref="E1">
    <cfRule type="cellIs" dxfId="364" priority="8" operator="equal">
      <formula>#N/A</formula>
    </cfRule>
  </conditionalFormatting>
  <conditionalFormatting sqref="I1">
    <cfRule type="containsText" dxfId="363" priority="6" operator="containsText" text="All Data Import Successfully">
      <formula>NOT(ISERROR(SEARCH("All Data Import Successfully",I1)))</formula>
    </cfRule>
    <cfRule type="containsText" dxfId="362" priority="7" operator="containsText" text="Difference Entry">
      <formula>NOT(ISERROR(SEARCH("Difference Entry",I1)))</formula>
    </cfRule>
  </conditionalFormatting>
  <conditionalFormatting sqref="DG2">
    <cfRule type="cellIs" dxfId="361" priority="5" operator="equal">
      <formula>#N/A</formula>
    </cfRule>
  </conditionalFormatting>
  <conditionalFormatting sqref="DH2:DI2">
    <cfRule type="cellIs" dxfId="360" priority="4" operator="equal">
      <formula>#N/A</formula>
    </cfRule>
  </conditionalFormatting>
  <conditionalFormatting sqref="E2:G2">
    <cfRule type="cellIs" dxfId="359" priority="3" operator="equal">
      <formula>#N/A</formula>
    </cfRule>
  </conditionalFormatting>
  <conditionalFormatting sqref="H2">
    <cfRule type="cellIs" dxfId="358" priority="2" operator="equal">
      <formula>#N/A</formula>
    </cfRule>
  </conditionalFormatting>
  <conditionalFormatting sqref="I2">
    <cfRule type="cellIs" dxfId="35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/>
  <dimension ref="A1:DZ4"/>
  <sheetViews>
    <sheetView showRuler="0" workbookViewId="0">
      <selection activeCell="D20" sqref="D20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ICICI Bank A/c. (Saving)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7" t="s">
        <v>141</v>
      </c>
      <c r="B3" s="18"/>
      <c r="C3" s="17"/>
      <c r="D3" s="17"/>
      <c r="E3" s="19"/>
      <c r="F3" s="17"/>
      <c r="G3" s="20"/>
      <c r="H3" s="21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ICICI Bank A/c. (Saving)</v>
      </c>
      <c r="DB3" s="24">
        <f>VALUE(C3)</f>
        <v>0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IF(H3="","",VALUE(SUBSTITUTE((H3),",","")))</f>
        <v/>
      </c>
      <c r="DG3" s="27" t="str">
        <f ca="1">(SUBSTITUTE(TRIM(IF(LEFT(E3,3)="CLG"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6)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12))),".",""))</f>
        <v/>
      </c>
      <c r="DH3" s="28">
        <f>VALUE(C3)</f>
        <v>0</v>
      </c>
      <c r="DI3" s="28" t="str">
        <f>+IF(DE3=0,"Suspance Payment","Suspance Receipt")</f>
        <v>Suspance Payment</v>
      </c>
      <c r="DJ3" s="2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66" t="s">
        <v>136</v>
      </c>
      <c r="B4" s="66" t="s">
        <v>18</v>
      </c>
      <c r="C4" s="66" t="s">
        <v>25</v>
      </c>
      <c r="D4" s="66" t="s">
        <v>137</v>
      </c>
      <c r="E4" s="66" t="s">
        <v>28</v>
      </c>
      <c r="F4" s="66" t="s">
        <v>138</v>
      </c>
      <c r="G4" s="66" t="s">
        <v>139</v>
      </c>
      <c r="H4" s="66" t="s">
        <v>140</v>
      </c>
      <c r="I4" s="1"/>
      <c r="J4" s="1"/>
      <c r="DA4" s="38" t="str">
        <f>+DA3</f>
        <v>ICICI Bank A/c. (Saving)</v>
      </c>
    </row>
  </sheetData>
  <sheetProtection algorithmName="SHA-512" hashValue="IXnRLeTgSbLED52RuYzvBJNMLHzV2nKSrPXMjtrN1p3Wk5zskYsHlykDcMMWa20hfvwAl9uNHWeeDSfC+0/q3Q==" saltValue="tuln4wAvrdz8mK+QU6xV+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</protectedRanges>
  <conditionalFormatting sqref="E3 I1:I2">
    <cfRule type="cellIs" dxfId="356" priority="10" operator="equal">
      <formula>#N/A</formula>
    </cfRule>
  </conditionalFormatting>
  <conditionalFormatting sqref="H1">
    <cfRule type="cellIs" dxfId="355" priority="9" operator="equal">
      <formula>#N/A</formula>
    </cfRule>
  </conditionalFormatting>
  <conditionalFormatting sqref="E1">
    <cfRule type="cellIs" dxfId="354" priority="8" operator="equal">
      <formula>#N/A</formula>
    </cfRule>
  </conditionalFormatting>
  <conditionalFormatting sqref="I1">
    <cfRule type="containsText" dxfId="353" priority="6" operator="containsText" text="All Data Import Successfully">
      <formula>NOT(ISERROR(SEARCH("All Data Import Successfully",I1)))</formula>
    </cfRule>
    <cfRule type="containsText" dxfId="352" priority="7" operator="containsText" text="Difference Entry">
      <formula>NOT(ISERROR(SEARCH("Difference Entry",I1)))</formula>
    </cfRule>
  </conditionalFormatting>
  <conditionalFormatting sqref="DG2">
    <cfRule type="cellIs" dxfId="351" priority="5" operator="equal">
      <formula>#N/A</formula>
    </cfRule>
  </conditionalFormatting>
  <conditionalFormatting sqref="DH2:DI2">
    <cfRule type="cellIs" dxfId="350" priority="4" operator="equal">
      <formula>#N/A</formula>
    </cfRule>
  </conditionalFormatting>
  <conditionalFormatting sqref="E2:G2">
    <cfRule type="cellIs" dxfId="349" priority="3" operator="equal">
      <formula>#N/A</formula>
    </cfRule>
  </conditionalFormatting>
  <conditionalFormatting sqref="H2">
    <cfRule type="cellIs" dxfId="348" priority="2" operator="equal">
      <formula>#N/A</formula>
    </cfRule>
  </conditionalFormatting>
  <conditionalFormatting sqref="I2">
    <cfRule type="cellIs" dxfId="34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7"/>
      <c r="B1" s="107"/>
      <c r="C1" s="107"/>
      <c r="D1" s="107"/>
      <c r="E1" s="96" t="s">
        <v>0</v>
      </c>
      <c r="F1" s="97" t="s">
        <v>1</v>
      </c>
      <c r="G1" s="98" t="s">
        <v>2</v>
      </c>
      <c r="H1" s="99" t="s">
        <v>3</v>
      </c>
      <c r="I1" s="100" t="s">
        <v>4</v>
      </c>
      <c r="J1" s="101" t="s">
        <v>6</v>
      </c>
      <c r="K1" s="101" t="s">
        <v>6</v>
      </c>
      <c r="L1" s="101" t="s">
        <v>6</v>
      </c>
      <c r="M1" s="101" t="s">
        <v>6</v>
      </c>
      <c r="N1" s="101" t="s">
        <v>6</v>
      </c>
      <c r="O1" s="101" t="s">
        <v>6</v>
      </c>
      <c r="P1" s="101" t="s">
        <v>6</v>
      </c>
      <c r="Q1" s="101" t="s">
        <v>6</v>
      </c>
      <c r="R1" s="101" t="s">
        <v>6</v>
      </c>
      <c r="S1" s="102" t="s">
        <v>181</v>
      </c>
      <c r="T1" s="102">
        <v>7</v>
      </c>
      <c r="U1" s="102" t="s">
        <v>182</v>
      </c>
      <c r="V1" s="102" t="s">
        <v>173</v>
      </c>
      <c r="W1" s="102" t="s">
        <v>174</v>
      </c>
      <c r="X1" s="109" t="s">
        <v>6</v>
      </c>
      <c r="Y1" s="109">
        <v>10</v>
      </c>
      <c r="Z1" s="10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03" t="s">
        <v>5</v>
      </c>
      <c r="B2" s="103" t="s">
        <v>6</v>
      </c>
      <c r="C2" s="103"/>
      <c r="D2" s="103" t="s">
        <v>172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HDFC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64</v>
      </c>
      <c r="B3" s="59"/>
      <c r="C3" s="58"/>
      <c r="D3" s="58" t="s">
        <v>183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HDFC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>
        <f>+C3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10" t="s">
        <v>32</v>
      </c>
      <c r="B4" s="111" t="s">
        <v>33</v>
      </c>
      <c r="C4" s="111" t="s">
        <v>34</v>
      </c>
      <c r="D4" s="111" t="s">
        <v>35</v>
      </c>
      <c r="E4" s="111" t="s">
        <v>36</v>
      </c>
      <c r="F4" s="111" t="s">
        <v>37</v>
      </c>
      <c r="G4" s="112" t="s">
        <v>38</v>
      </c>
      <c r="DA4" s="38" t="str">
        <f>+DA3</f>
        <v>HDFC Bank A/c.</v>
      </c>
    </row>
  </sheetData>
  <sheetProtection algorithmName="SHA-512" hashValue="vBpMGl8DQLEIEOycR5ybohKGfl33jYM9riKNXN0gqDcTfQxk/MuNU4K+KPOOXois5r8U2awNIImhv5Uyv4vIgQ==" saltValue="Xfi3TvnmCifdGiIqXyiuk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346" priority="18" operator="equal">
      <formula>#N/A</formula>
    </cfRule>
  </conditionalFormatting>
  <conditionalFormatting sqref="DG2">
    <cfRule type="cellIs" dxfId="345" priority="13" operator="equal">
      <formula>#N/A</formula>
    </cfRule>
  </conditionalFormatting>
  <conditionalFormatting sqref="DH2:DI2">
    <cfRule type="cellIs" dxfId="344" priority="12" operator="equal">
      <formula>#N/A</formula>
    </cfRule>
  </conditionalFormatting>
  <conditionalFormatting sqref="I1:I2">
    <cfRule type="cellIs" dxfId="343" priority="8" operator="equal">
      <formula>#N/A</formula>
    </cfRule>
  </conditionalFormatting>
  <conditionalFormatting sqref="H1">
    <cfRule type="cellIs" dxfId="342" priority="7" operator="equal">
      <formula>#N/A</formula>
    </cfRule>
  </conditionalFormatting>
  <conditionalFormatting sqref="E1">
    <cfRule type="cellIs" dxfId="341" priority="6" operator="equal">
      <formula>#N/A</formula>
    </cfRule>
  </conditionalFormatting>
  <conditionalFormatting sqref="I1">
    <cfRule type="containsText" dxfId="340" priority="4" operator="containsText" text="All Data Import Successfully">
      <formula>NOT(ISERROR(SEARCH("All Data Import Successfully",I1)))</formula>
    </cfRule>
    <cfRule type="containsText" dxfId="339" priority="5" operator="containsText" text="Difference Entry">
      <formula>NOT(ISERROR(SEARCH("Difference Entry",I1)))</formula>
    </cfRule>
  </conditionalFormatting>
  <conditionalFormatting sqref="E2:G2">
    <cfRule type="cellIs" dxfId="338" priority="3" operator="equal">
      <formula>#N/A</formula>
    </cfRule>
  </conditionalFormatting>
  <conditionalFormatting sqref="H2">
    <cfRule type="cellIs" dxfId="337" priority="2" operator="equal">
      <formula>#N/A</formula>
    </cfRule>
  </conditionalFormatting>
  <conditionalFormatting sqref="I2">
    <cfRule type="cellIs" dxfId="336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6"/>
  <dimension ref="A1:DZ4"/>
  <sheetViews>
    <sheetView showRuler="0" workbookViewId="0">
      <selection activeCell="E26" sqref="E26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7"/>
      <c r="B1" s="107"/>
      <c r="C1" s="107"/>
      <c r="D1" s="107"/>
      <c r="E1" s="96" t="s">
        <v>0</v>
      </c>
      <c r="F1" s="97" t="s">
        <v>1</v>
      </c>
      <c r="G1" s="98" t="s">
        <v>2</v>
      </c>
      <c r="H1" s="99" t="s">
        <v>3</v>
      </c>
      <c r="I1" s="100" t="s">
        <v>4</v>
      </c>
      <c r="J1" s="101" t="s">
        <v>6</v>
      </c>
      <c r="K1" s="101" t="s">
        <v>6</v>
      </c>
      <c r="L1" s="101" t="s">
        <v>6</v>
      </c>
      <c r="M1" s="101" t="s">
        <v>6</v>
      </c>
      <c r="N1" s="101" t="s">
        <v>6</v>
      </c>
      <c r="O1" s="101" t="s">
        <v>6</v>
      </c>
      <c r="P1" s="101" t="s">
        <v>6</v>
      </c>
      <c r="Q1" s="101" t="s">
        <v>6</v>
      </c>
      <c r="R1" s="101" t="s">
        <v>6</v>
      </c>
      <c r="S1" s="102" t="s">
        <v>194</v>
      </c>
      <c r="T1" s="102">
        <v>8</v>
      </c>
      <c r="U1" s="102" t="s">
        <v>182</v>
      </c>
      <c r="V1" s="102" t="s">
        <v>182</v>
      </c>
      <c r="W1" s="102" t="s">
        <v>174</v>
      </c>
      <c r="X1" s="109" t="s">
        <v>6</v>
      </c>
      <c r="Y1" s="109" t="s">
        <v>6</v>
      </c>
      <c r="Z1" s="10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03" t="s">
        <v>5</v>
      </c>
      <c r="B2" s="103" t="s">
        <v>6</v>
      </c>
      <c r="C2" s="103"/>
      <c r="D2" s="103" t="s">
        <v>172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65</v>
      </c>
      <c r="B3" s="59"/>
      <c r="C3" s="58"/>
      <c r="D3" s="58" t="s">
        <v>217</v>
      </c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Kotak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 t="e">
        <f>IF(F3="CR",VALUE("0"),VALUE(SUBSTITUTE((E3),",","")))</f>
        <v>#VALUE!</v>
      </c>
      <c r="DE3" s="26" t="e">
        <f>IF(F3="DR",VALUE("0"),VALUE(SUBSTITUTE((E3),",","")))</f>
        <v>#VALUE!</v>
      </c>
      <c r="DF3" s="26" t="str">
        <f>IF(G3="","",VALUE(SUBSTITUTE((G3),",","")))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>202406171904</v>
      </c>
      <c r="DH3" s="28">
        <f>VALUE(B3)</f>
        <v>0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10" t="s">
        <v>78</v>
      </c>
      <c r="B4" s="111" t="s">
        <v>32</v>
      </c>
      <c r="C4" s="111" t="s">
        <v>19</v>
      </c>
      <c r="D4" s="111" t="s">
        <v>79</v>
      </c>
      <c r="E4" s="111" t="s">
        <v>80</v>
      </c>
      <c r="F4" s="111" t="s">
        <v>81</v>
      </c>
      <c r="G4" s="111" t="s">
        <v>11</v>
      </c>
      <c r="H4" s="112" t="s">
        <v>81</v>
      </c>
      <c r="DA4" s="38" t="str">
        <f>+DA3</f>
        <v>Kotak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335" priority="18" operator="equal">
      <formula>#N/A</formula>
    </cfRule>
  </conditionalFormatting>
  <conditionalFormatting sqref="DG2">
    <cfRule type="cellIs" dxfId="334" priority="13" operator="equal">
      <formula>#N/A</formula>
    </cfRule>
  </conditionalFormatting>
  <conditionalFormatting sqref="DH2:DI2">
    <cfRule type="cellIs" dxfId="333" priority="12" operator="equal">
      <formula>#N/A</formula>
    </cfRule>
  </conditionalFormatting>
  <conditionalFormatting sqref="I1:I2">
    <cfRule type="cellIs" dxfId="332" priority="8" operator="equal">
      <formula>#N/A</formula>
    </cfRule>
  </conditionalFormatting>
  <conditionalFormatting sqref="H1">
    <cfRule type="cellIs" dxfId="331" priority="7" operator="equal">
      <formula>#N/A</formula>
    </cfRule>
  </conditionalFormatting>
  <conditionalFormatting sqref="E1">
    <cfRule type="cellIs" dxfId="330" priority="6" operator="equal">
      <formula>#N/A</formula>
    </cfRule>
  </conditionalFormatting>
  <conditionalFormatting sqref="I1">
    <cfRule type="containsText" dxfId="329" priority="4" operator="containsText" text="All Data Import Successfully">
      <formula>NOT(ISERROR(SEARCH("All Data Import Successfully",I1)))</formula>
    </cfRule>
    <cfRule type="containsText" dxfId="328" priority="5" operator="containsText" text="Difference Entry">
      <formula>NOT(ISERROR(SEARCH("Difference Entry",I1)))</formula>
    </cfRule>
  </conditionalFormatting>
  <conditionalFormatting sqref="E2:G2">
    <cfRule type="cellIs" dxfId="327" priority="3" operator="equal">
      <formula>#N/A</formula>
    </cfRule>
  </conditionalFormatting>
  <conditionalFormatting sqref="H2">
    <cfRule type="cellIs" dxfId="326" priority="2" operator="equal">
      <formula>#N/A</formula>
    </cfRule>
  </conditionalFormatting>
  <conditionalFormatting sqref="I2">
    <cfRule type="cellIs" dxfId="325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0"/>
  <dimension ref="A1:DZ4"/>
  <sheetViews>
    <sheetView workbookViewId="0">
      <selection activeCell="B19" sqref="B19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16" width="9.5703125" style="6" bestFit="1" customWidth="1"/>
    <col min="117" max="16384" width="9.140625" style="6"/>
  </cols>
  <sheetData>
    <row r="1" spans="1:130" ht="45" customHeight="1">
      <c r="A1" s="107"/>
      <c r="B1" s="107"/>
      <c r="C1" s="107"/>
      <c r="D1" s="107"/>
      <c r="E1" s="96" t="s">
        <v>0</v>
      </c>
      <c r="F1" s="97" t="s">
        <v>1</v>
      </c>
      <c r="G1" s="98" t="s">
        <v>2</v>
      </c>
      <c r="H1" s="99" t="s">
        <v>3</v>
      </c>
      <c r="I1" s="100" t="s">
        <v>4</v>
      </c>
      <c r="J1" s="101" t="s">
        <v>6</v>
      </c>
      <c r="K1" s="101" t="s">
        <v>6</v>
      </c>
      <c r="L1" s="101" t="s">
        <v>6</v>
      </c>
      <c r="M1" s="101" t="s">
        <v>6</v>
      </c>
      <c r="N1" s="101" t="s">
        <v>6</v>
      </c>
      <c r="O1" s="101" t="s">
        <v>6</v>
      </c>
      <c r="P1" s="101" t="s">
        <v>6</v>
      </c>
      <c r="Q1" s="101" t="s">
        <v>6</v>
      </c>
      <c r="R1" s="101" t="s">
        <v>6</v>
      </c>
      <c r="S1" s="102" t="s">
        <v>194</v>
      </c>
      <c r="T1" s="102">
        <v>9</v>
      </c>
      <c r="U1" s="102" t="s">
        <v>182</v>
      </c>
      <c r="V1" s="102" t="s">
        <v>182</v>
      </c>
      <c r="W1" s="102" t="s">
        <v>174</v>
      </c>
      <c r="X1" s="109" t="s">
        <v>6</v>
      </c>
      <c r="Y1" s="109" t="s">
        <v>6</v>
      </c>
      <c r="Z1" s="10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03" t="s">
        <v>5</v>
      </c>
      <c r="B2" s="103" t="s">
        <v>6</v>
      </c>
      <c r="C2" s="103"/>
      <c r="D2" s="103" t="s">
        <v>172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Kotak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65</v>
      </c>
      <c r="B3" s="59"/>
      <c r="C3" s="58"/>
      <c r="D3" s="58" t="s">
        <v>217</v>
      </c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Kotak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IF(F3="",VALUE("0"),VALUE(SUBSTITUTE((TRIM(F3)),",","")))</f>
        <v>0</v>
      </c>
      <c r="DE3" s="26">
        <f>IF(G3="",VALUE("0"),VALUE(SUBSTITUTE((TRIM(G3)),",","")))</f>
        <v>0</v>
      </c>
      <c r="DF3" s="26" t="str">
        <f>IF(H3="","",VALUE(SUBSTITUTE((H3),",","")))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>202406171904</v>
      </c>
      <c r="DH3" s="28">
        <f>+DB3</f>
        <v>0</v>
      </c>
      <c r="DI3" s="28" t="str">
        <f>+IF(DE3=0,"Suspance Payment","Suspance Receipt")</f>
        <v>Suspance Payment</v>
      </c>
      <c r="DJ3" s="39" t="str">
        <f>+D3</f>
        <v>\\ADITYA-TECH\All Sharing\A Party Backup\PATIDAR\Report-20240617190457.xlsx</v>
      </c>
      <c r="DK3" s="30" t="e">
        <f>+DK2+1</f>
        <v>#VALUE!</v>
      </c>
      <c r="DL3" s="55"/>
      <c r="DM3" s="31"/>
      <c r="DN3" s="56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54" t="s">
        <v>78</v>
      </c>
      <c r="B4" s="54" t="s">
        <v>25</v>
      </c>
      <c r="C4" s="54" t="s">
        <v>18</v>
      </c>
      <c r="D4" s="54" t="s">
        <v>19</v>
      </c>
      <c r="E4" s="54" t="s">
        <v>122</v>
      </c>
      <c r="F4" s="54" t="s">
        <v>100</v>
      </c>
      <c r="G4" s="54" t="s">
        <v>22</v>
      </c>
      <c r="H4" s="54" t="s">
        <v>11</v>
      </c>
      <c r="I4" s="54" t="s">
        <v>81</v>
      </c>
      <c r="DA4" s="38" t="str">
        <f>+DA3</f>
        <v>Kotak Bank A/c.</v>
      </c>
      <c r="DL4" s="55">
        <f>+DD4+DE4</f>
        <v>0</v>
      </c>
    </row>
  </sheetData>
  <sheetProtection algorithmName="SHA-512" hashValue="2tjccffiKkbzTCdCOeCTdkkzIacNxhwIew0X7D8KAdbhb4A8MQObPtKi+81TMzPXDSuoSo02LZj3TQK3a+pF5Q==" saltValue="7nBZ4y4W5ArlCV7aWMF0s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D3:DE3" name="Range1_1_2"/>
  </protectedRanges>
  <conditionalFormatting sqref="DG2">
    <cfRule type="cellIs" dxfId="324" priority="22" operator="equal">
      <formula>#N/A</formula>
    </cfRule>
  </conditionalFormatting>
  <conditionalFormatting sqref="DH2:DI2">
    <cfRule type="cellIs" dxfId="323" priority="21" operator="equal">
      <formula>#N/A</formula>
    </cfRule>
  </conditionalFormatting>
  <conditionalFormatting sqref="E3">
    <cfRule type="cellIs" dxfId="322" priority="17" operator="equal">
      <formula>#N/A</formula>
    </cfRule>
  </conditionalFormatting>
  <conditionalFormatting sqref="I1:I2">
    <cfRule type="cellIs" dxfId="321" priority="8" operator="equal">
      <formula>#N/A</formula>
    </cfRule>
  </conditionalFormatting>
  <conditionalFormatting sqref="H1">
    <cfRule type="cellIs" dxfId="320" priority="7" operator="equal">
      <formula>#N/A</formula>
    </cfRule>
  </conditionalFormatting>
  <conditionalFormatting sqref="E1">
    <cfRule type="cellIs" dxfId="319" priority="6" operator="equal">
      <formula>#N/A</formula>
    </cfRule>
  </conditionalFormatting>
  <conditionalFormatting sqref="I1">
    <cfRule type="containsText" dxfId="318" priority="4" operator="containsText" text="All Data Import Successfully">
      <formula>NOT(ISERROR(SEARCH("All Data Import Successfully",I1)))</formula>
    </cfRule>
    <cfRule type="containsText" dxfId="317" priority="5" operator="containsText" text="Difference Entry">
      <formula>NOT(ISERROR(SEARCH("Difference Entry",I1)))</formula>
    </cfRule>
  </conditionalFormatting>
  <conditionalFormatting sqref="E2:G2">
    <cfRule type="cellIs" dxfId="316" priority="3" operator="equal">
      <formula>#N/A</formula>
    </cfRule>
  </conditionalFormatting>
  <conditionalFormatting sqref="H2">
    <cfRule type="cellIs" dxfId="315" priority="2" operator="equal">
      <formula>#N/A</formula>
    </cfRule>
  </conditionalFormatting>
  <conditionalFormatting sqref="I2">
    <cfRule type="cellIs" dxfId="314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/>
  <dimension ref="A1:DZ834"/>
  <sheetViews>
    <sheetView workbookViewId="0">
      <selection activeCell="E26" sqref="E26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7"/>
      <c r="B1" s="107"/>
      <c r="C1" s="107"/>
      <c r="D1" s="107"/>
      <c r="E1" s="96" t="s">
        <v>0</v>
      </c>
      <c r="F1" s="97" t="s">
        <v>1</v>
      </c>
      <c r="G1" s="98" t="s">
        <v>2</v>
      </c>
      <c r="H1" s="99" t="s">
        <v>3</v>
      </c>
      <c r="I1" s="100" t="s">
        <v>4</v>
      </c>
      <c r="J1" s="101" t="s">
        <v>6</v>
      </c>
      <c r="K1" s="101" t="s">
        <v>6</v>
      </c>
      <c r="L1" s="101" t="s">
        <v>6</v>
      </c>
      <c r="M1" s="101" t="s">
        <v>6</v>
      </c>
      <c r="N1" s="101" t="s">
        <v>6</v>
      </c>
      <c r="O1" s="101" t="s">
        <v>6</v>
      </c>
      <c r="P1" s="101" t="s">
        <v>6</v>
      </c>
      <c r="Q1" s="101" t="s">
        <v>6</v>
      </c>
      <c r="R1" s="101" t="s">
        <v>6</v>
      </c>
      <c r="S1" s="102" t="s">
        <v>216</v>
      </c>
      <c r="T1" s="102">
        <v>7</v>
      </c>
      <c r="U1" s="102" t="s">
        <v>198</v>
      </c>
      <c r="V1" s="102" t="s">
        <v>182</v>
      </c>
      <c r="W1" s="102" t="s">
        <v>173</v>
      </c>
      <c r="X1" s="109" t="s">
        <v>6</v>
      </c>
      <c r="Y1" s="109" t="s">
        <v>6</v>
      </c>
      <c r="Z1" s="10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03" t="s">
        <v>5</v>
      </c>
      <c r="B2" s="103" t="s">
        <v>6</v>
      </c>
      <c r="C2" s="103"/>
      <c r="D2" s="103" t="s">
        <v>172</v>
      </c>
      <c r="E2" s="10">
        <f>+COUNTA(A:A)-3</f>
        <v>830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830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61</v>
      </c>
      <c r="B3" s="59"/>
      <c r="C3" s="58"/>
      <c r="D3" s="58" t="s">
        <v>215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 ",VALUE("0"),VALUE(SUBSTITUTE((D3),",","")))</f>
        <v>#VALUE!</v>
      </c>
      <c r="DE3" s="26" t="e">
        <f>IF(E3=" ",VALUE("0"),VALUE(SUBSTITUTE((E3),",","")))</f>
        <v>#VALUE!</v>
      </c>
      <c r="DF3" s="26" t="e">
        <f>IF(F3=" ","",VALUE(SUBSTITUTE((F3),",","")))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10" t="s">
        <v>39</v>
      </c>
      <c r="B4" s="111" t="s">
        <v>40</v>
      </c>
      <c r="C4" s="111" t="s">
        <v>41</v>
      </c>
      <c r="D4" s="111" t="s">
        <v>42</v>
      </c>
      <c r="E4" s="111" t="s">
        <v>43</v>
      </c>
      <c r="F4" s="111" t="s">
        <v>44</v>
      </c>
      <c r="G4" s="112" t="s">
        <v>45</v>
      </c>
      <c r="DA4" s="38" t="str">
        <f>+DA3</f>
        <v>Axis Bank A/c.</v>
      </c>
    </row>
    <row r="5" spans="1:130">
      <c r="A5" s="6">
        <v>1</v>
      </c>
      <c r="B5" s="6" t="s">
        <v>335</v>
      </c>
      <c r="C5" s="6" t="s">
        <v>336</v>
      </c>
      <c r="D5" s="6" t="s">
        <v>337</v>
      </c>
      <c r="E5" s="6" t="s">
        <v>338</v>
      </c>
      <c r="F5" s="6" t="s">
        <v>339</v>
      </c>
      <c r="G5" s="6" t="s">
        <v>340</v>
      </c>
      <c r="H5" s="6" t="s">
        <v>341</v>
      </c>
    </row>
    <row r="6" spans="1:130">
      <c r="A6" s="6">
        <v>2</v>
      </c>
      <c r="B6" s="6" t="s">
        <v>335</v>
      </c>
      <c r="C6" s="6" t="s">
        <v>336</v>
      </c>
      <c r="D6" s="6" t="s">
        <v>342</v>
      </c>
      <c r="E6" s="6" t="s">
        <v>343</v>
      </c>
      <c r="F6" s="6" t="s">
        <v>339</v>
      </c>
      <c r="G6" s="6" t="s">
        <v>344</v>
      </c>
      <c r="H6" s="6" t="s">
        <v>341</v>
      </c>
    </row>
    <row r="7" spans="1:130">
      <c r="A7" s="6">
        <v>3</v>
      </c>
      <c r="B7" s="6" t="s">
        <v>335</v>
      </c>
      <c r="C7" s="6" t="s">
        <v>336</v>
      </c>
      <c r="D7" s="6" t="s">
        <v>345</v>
      </c>
      <c r="E7" s="6" t="s">
        <v>346</v>
      </c>
      <c r="F7" s="6" t="s">
        <v>339</v>
      </c>
      <c r="G7" s="6" t="s">
        <v>347</v>
      </c>
      <c r="H7" s="6" t="s">
        <v>341</v>
      </c>
    </row>
    <row r="8" spans="1:130">
      <c r="A8" s="6">
        <v>4</v>
      </c>
      <c r="B8" s="6" t="s">
        <v>335</v>
      </c>
      <c r="C8" s="6" t="s">
        <v>336</v>
      </c>
      <c r="D8" s="6" t="s">
        <v>348</v>
      </c>
      <c r="E8" s="6" t="s">
        <v>349</v>
      </c>
      <c r="F8" s="6" t="s">
        <v>339</v>
      </c>
      <c r="G8" s="6" t="s">
        <v>350</v>
      </c>
      <c r="H8" s="6" t="s">
        <v>341</v>
      </c>
    </row>
    <row r="9" spans="1:130">
      <c r="A9" s="6">
        <v>5</v>
      </c>
      <c r="B9" s="6" t="s">
        <v>351</v>
      </c>
      <c r="C9" s="6" t="s">
        <v>336</v>
      </c>
      <c r="D9" s="6" t="s">
        <v>352</v>
      </c>
      <c r="E9" s="6" t="s">
        <v>353</v>
      </c>
      <c r="F9" s="6" t="s">
        <v>339</v>
      </c>
      <c r="G9" s="6" t="s">
        <v>354</v>
      </c>
      <c r="H9" s="6" t="s">
        <v>341</v>
      </c>
    </row>
    <row r="10" spans="1:130">
      <c r="A10" s="6">
        <v>6</v>
      </c>
      <c r="B10" s="6" t="s">
        <v>355</v>
      </c>
      <c r="C10" s="6" t="s">
        <v>336</v>
      </c>
      <c r="D10" s="6" t="s">
        <v>356</v>
      </c>
      <c r="E10" s="6" t="s">
        <v>357</v>
      </c>
      <c r="F10" s="6" t="s">
        <v>339</v>
      </c>
      <c r="G10" s="6" t="s">
        <v>358</v>
      </c>
      <c r="H10" s="6" t="s">
        <v>341</v>
      </c>
    </row>
    <row r="11" spans="1:130">
      <c r="A11" s="6">
        <v>7</v>
      </c>
      <c r="B11" s="6" t="s">
        <v>355</v>
      </c>
      <c r="C11" s="6" t="s">
        <v>336</v>
      </c>
      <c r="D11" s="6" t="s">
        <v>359</v>
      </c>
      <c r="E11" s="6" t="s">
        <v>360</v>
      </c>
      <c r="F11" s="6" t="s">
        <v>339</v>
      </c>
      <c r="G11" s="6" t="s">
        <v>361</v>
      </c>
      <c r="H11" s="6" t="s">
        <v>341</v>
      </c>
    </row>
    <row r="12" spans="1:130">
      <c r="A12" s="6">
        <v>8</v>
      </c>
      <c r="B12" s="6" t="s">
        <v>362</v>
      </c>
      <c r="C12" s="6" t="s">
        <v>336</v>
      </c>
      <c r="D12" s="6" t="s">
        <v>363</v>
      </c>
      <c r="E12" s="6" t="s">
        <v>364</v>
      </c>
      <c r="F12" s="6" t="s">
        <v>339</v>
      </c>
      <c r="G12" s="6" t="s">
        <v>365</v>
      </c>
      <c r="H12" s="6" t="s">
        <v>341</v>
      </c>
    </row>
    <row r="13" spans="1:130">
      <c r="A13" s="6">
        <v>9</v>
      </c>
      <c r="B13" s="6" t="s">
        <v>362</v>
      </c>
      <c r="C13" s="6" t="s">
        <v>336</v>
      </c>
      <c r="D13" s="6" t="s">
        <v>366</v>
      </c>
      <c r="E13" s="6" t="s">
        <v>360</v>
      </c>
      <c r="F13" s="6" t="s">
        <v>339</v>
      </c>
      <c r="G13" s="6" t="s">
        <v>367</v>
      </c>
      <c r="H13" s="6" t="s">
        <v>341</v>
      </c>
    </row>
    <row r="14" spans="1:130">
      <c r="A14" s="6">
        <v>10</v>
      </c>
      <c r="B14" s="6" t="s">
        <v>362</v>
      </c>
      <c r="C14" s="6" t="s">
        <v>336</v>
      </c>
      <c r="D14" s="6" t="s">
        <v>368</v>
      </c>
      <c r="E14" s="6" t="s">
        <v>369</v>
      </c>
      <c r="F14" s="6" t="s">
        <v>339</v>
      </c>
      <c r="G14" s="6" t="s">
        <v>370</v>
      </c>
      <c r="H14" s="6" t="s">
        <v>341</v>
      </c>
    </row>
    <row r="15" spans="1:130">
      <c r="A15" s="6">
        <v>11</v>
      </c>
      <c r="B15" s="6" t="s">
        <v>362</v>
      </c>
      <c r="C15" s="6" t="s">
        <v>336</v>
      </c>
      <c r="D15" s="6" t="s">
        <v>371</v>
      </c>
      <c r="E15" s="6" t="s">
        <v>372</v>
      </c>
      <c r="F15" s="6" t="s">
        <v>339</v>
      </c>
      <c r="G15" s="6" t="s">
        <v>373</v>
      </c>
      <c r="H15" s="6" t="s">
        <v>341</v>
      </c>
    </row>
    <row r="16" spans="1:130">
      <c r="A16" s="6">
        <v>12</v>
      </c>
      <c r="B16" s="6" t="s">
        <v>362</v>
      </c>
      <c r="C16" s="6" t="s">
        <v>336</v>
      </c>
      <c r="D16" s="6" t="s">
        <v>374</v>
      </c>
      <c r="E16" s="6" t="s">
        <v>375</v>
      </c>
      <c r="F16" s="6" t="s">
        <v>339</v>
      </c>
      <c r="G16" s="6" t="s">
        <v>376</v>
      </c>
      <c r="H16" s="6" t="s">
        <v>341</v>
      </c>
    </row>
    <row r="17" spans="1:8">
      <c r="A17" s="6">
        <v>13</v>
      </c>
      <c r="B17" s="6" t="s">
        <v>377</v>
      </c>
      <c r="C17" s="6" t="s">
        <v>336</v>
      </c>
      <c r="D17" s="6" t="s">
        <v>378</v>
      </c>
      <c r="E17" s="6" t="s">
        <v>379</v>
      </c>
      <c r="F17" s="6" t="s">
        <v>339</v>
      </c>
      <c r="G17" s="6" t="s">
        <v>380</v>
      </c>
      <c r="H17" s="6" t="s">
        <v>341</v>
      </c>
    </row>
    <row r="18" spans="1:8">
      <c r="A18" s="6">
        <v>14</v>
      </c>
      <c r="B18" s="6" t="s">
        <v>381</v>
      </c>
      <c r="C18" s="6" t="s">
        <v>336</v>
      </c>
      <c r="D18" s="6" t="s">
        <v>382</v>
      </c>
      <c r="E18" s="6" t="s">
        <v>383</v>
      </c>
      <c r="F18" s="6" t="s">
        <v>339</v>
      </c>
      <c r="G18" s="6" t="s">
        <v>384</v>
      </c>
      <c r="H18" s="6" t="s">
        <v>341</v>
      </c>
    </row>
    <row r="19" spans="1:8">
      <c r="A19" s="6">
        <v>15</v>
      </c>
      <c r="B19" s="6" t="s">
        <v>381</v>
      </c>
      <c r="C19" s="6" t="s">
        <v>336</v>
      </c>
      <c r="D19" s="6" t="s">
        <v>385</v>
      </c>
      <c r="E19" s="6" t="s">
        <v>339</v>
      </c>
      <c r="F19" s="6" t="s">
        <v>386</v>
      </c>
      <c r="G19" s="6" t="s">
        <v>387</v>
      </c>
      <c r="H19" s="6" t="s">
        <v>388</v>
      </c>
    </row>
    <row r="20" spans="1:8">
      <c r="A20" s="6">
        <v>16</v>
      </c>
      <c r="B20" s="6" t="s">
        <v>381</v>
      </c>
      <c r="C20" s="6" t="s">
        <v>336</v>
      </c>
      <c r="D20" s="6" t="s">
        <v>389</v>
      </c>
      <c r="E20" s="6" t="s">
        <v>390</v>
      </c>
      <c r="F20" s="6" t="s">
        <v>339</v>
      </c>
      <c r="G20" s="6" t="s">
        <v>391</v>
      </c>
      <c r="H20" s="6" t="s">
        <v>341</v>
      </c>
    </row>
    <row r="21" spans="1:8">
      <c r="A21" s="6">
        <v>17</v>
      </c>
      <c r="B21" s="6" t="s">
        <v>392</v>
      </c>
      <c r="C21" s="6" t="s">
        <v>336</v>
      </c>
      <c r="D21" s="6" t="s">
        <v>393</v>
      </c>
      <c r="E21" s="6" t="s">
        <v>394</v>
      </c>
      <c r="F21" s="6" t="s">
        <v>339</v>
      </c>
      <c r="G21" s="6" t="s">
        <v>395</v>
      </c>
      <c r="H21" s="6" t="s">
        <v>341</v>
      </c>
    </row>
    <row r="22" spans="1:8">
      <c r="A22" s="6">
        <v>18</v>
      </c>
      <c r="B22" s="6" t="s">
        <v>392</v>
      </c>
      <c r="C22" s="6" t="s">
        <v>336</v>
      </c>
      <c r="D22" s="6" t="s">
        <v>396</v>
      </c>
      <c r="E22" s="6" t="s">
        <v>397</v>
      </c>
      <c r="F22" s="6" t="s">
        <v>339</v>
      </c>
      <c r="G22" s="6" t="s">
        <v>398</v>
      </c>
      <c r="H22" s="6" t="s">
        <v>341</v>
      </c>
    </row>
    <row r="23" spans="1:8">
      <c r="A23" s="6">
        <v>19</v>
      </c>
      <c r="B23" s="6" t="s">
        <v>392</v>
      </c>
      <c r="C23" s="6" t="s">
        <v>336</v>
      </c>
      <c r="D23" s="6" t="s">
        <v>399</v>
      </c>
      <c r="E23" s="6" t="s">
        <v>400</v>
      </c>
      <c r="F23" s="6" t="s">
        <v>339</v>
      </c>
      <c r="G23" s="6" t="s">
        <v>401</v>
      </c>
      <c r="H23" s="6" t="s">
        <v>341</v>
      </c>
    </row>
    <row r="24" spans="1:8">
      <c r="A24" s="6">
        <v>20</v>
      </c>
      <c r="B24" s="6" t="s">
        <v>402</v>
      </c>
      <c r="C24" s="6" t="s">
        <v>336</v>
      </c>
      <c r="D24" s="6" t="s">
        <v>403</v>
      </c>
      <c r="E24" s="6" t="s">
        <v>404</v>
      </c>
      <c r="F24" s="6" t="s">
        <v>339</v>
      </c>
      <c r="G24" s="6" t="s">
        <v>405</v>
      </c>
      <c r="H24" s="6" t="s">
        <v>341</v>
      </c>
    </row>
    <row r="25" spans="1:8">
      <c r="A25" s="6">
        <v>21</v>
      </c>
      <c r="B25" s="6" t="s">
        <v>402</v>
      </c>
      <c r="C25" s="6" t="s">
        <v>336</v>
      </c>
      <c r="D25" s="6" t="s">
        <v>406</v>
      </c>
      <c r="E25" s="6" t="s">
        <v>349</v>
      </c>
      <c r="F25" s="6" t="s">
        <v>339</v>
      </c>
      <c r="G25" s="6" t="s">
        <v>407</v>
      </c>
      <c r="H25" s="6" t="s">
        <v>341</v>
      </c>
    </row>
    <row r="26" spans="1:8">
      <c r="A26" s="6">
        <v>22</v>
      </c>
      <c r="B26" s="6" t="s">
        <v>402</v>
      </c>
      <c r="C26" s="6" t="s">
        <v>336</v>
      </c>
      <c r="D26" s="6" t="s">
        <v>408</v>
      </c>
      <c r="E26" s="6" t="s">
        <v>409</v>
      </c>
      <c r="F26" s="6" t="s">
        <v>339</v>
      </c>
      <c r="G26" s="6" t="s">
        <v>410</v>
      </c>
      <c r="H26" s="6" t="s">
        <v>341</v>
      </c>
    </row>
    <row r="27" spans="1:8">
      <c r="A27" s="6">
        <v>23</v>
      </c>
      <c r="B27" s="6" t="s">
        <v>411</v>
      </c>
      <c r="C27" s="6" t="s">
        <v>336</v>
      </c>
      <c r="D27" s="6" t="s">
        <v>412</v>
      </c>
      <c r="E27" s="6" t="s">
        <v>413</v>
      </c>
      <c r="F27" s="6" t="s">
        <v>339</v>
      </c>
      <c r="G27" s="6" t="s">
        <v>414</v>
      </c>
      <c r="H27" s="6" t="s">
        <v>341</v>
      </c>
    </row>
    <row r="28" spans="1:8">
      <c r="A28" s="6">
        <v>24</v>
      </c>
      <c r="B28" s="6" t="s">
        <v>411</v>
      </c>
      <c r="C28" s="6" t="s">
        <v>336</v>
      </c>
      <c r="D28" s="6" t="s">
        <v>415</v>
      </c>
      <c r="E28" s="6" t="s">
        <v>416</v>
      </c>
      <c r="F28" s="6" t="s">
        <v>339</v>
      </c>
      <c r="G28" s="6" t="s">
        <v>417</v>
      </c>
      <c r="H28" s="6" t="s">
        <v>341</v>
      </c>
    </row>
    <row r="29" spans="1:8">
      <c r="A29" s="6">
        <v>25</v>
      </c>
      <c r="B29" s="6" t="s">
        <v>411</v>
      </c>
      <c r="C29" s="6" t="s">
        <v>336</v>
      </c>
      <c r="D29" s="6" t="s">
        <v>418</v>
      </c>
      <c r="E29" s="6" t="s">
        <v>419</v>
      </c>
      <c r="F29" s="6" t="s">
        <v>339</v>
      </c>
      <c r="G29" s="6" t="s">
        <v>420</v>
      </c>
      <c r="H29" s="6" t="s">
        <v>341</v>
      </c>
    </row>
    <row r="30" spans="1:8">
      <c r="A30" s="6">
        <v>26</v>
      </c>
      <c r="B30" s="6" t="s">
        <v>411</v>
      </c>
      <c r="C30" s="6" t="s">
        <v>336</v>
      </c>
      <c r="D30" s="6" t="s">
        <v>421</v>
      </c>
      <c r="E30" s="6" t="s">
        <v>422</v>
      </c>
      <c r="F30" s="6" t="s">
        <v>339</v>
      </c>
      <c r="G30" s="6" t="s">
        <v>423</v>
      </c>
      <c r="H30" s="6" t="s">
        <v>341</v>
      </c>
    </row>
    <row r="31" spans="1:8">
      <c r="A31" s="6">
        <v>27</v>
      </c>
      <c r="B31" s="6" t="s">
        <v>411</v>
      </c>
      <c r="C31" s="6" t="s">
        <v>336</v>
      </c>
      <c r="D31" s="6" t="s">
        <v>424</v>
      </c>
      <c r="E31" s="6" t="s">
        <v>425</v>
      </c>
      <c r="F31" s="6" t="s">
        <v>339</v>
      </c>
      <c r="G31" s="6" t="s">
        <v>426</v>
      </c>
      <c r="H31" s="6" t="s">
        <v>341</v>
      </c>
    </row>
    <row r="32" spans="1:8">
      <c r="A32" s="6">
        <v>28</v>
      </c>
      <c r="B32" s="6" t="s">
        <v>411</v>
      </c>
      <c r="C32" s="6" t="s">
        <v>336</v>
      </c>
      <c r="D32" s="6" t="s">
        <v>427</v>
      </c>
      <c r="E32" s="6" t="s">
        <v>428</v>
      </c>
      <c r="F32" s="6" t="s">
        <v>339</v>
      </c>
      <c r="G32" s="6" t="s">
        <v>429</v>
      </c>
      <c r="H32" s="6" t="s">
        <v>341</v>
      </c>
    </row>
    <row r="33" spans="1:8">
      <c r="A33" s="6">
        <v>29</v>
      </c>
      <c r="B33" s="6" t="s">
        <v>411</v>
      </c>
      <c r="C33" s="6" t="s">
        <v>336</v>
      </c>
      <c r="D33" s="6" t="s">
        <v>430</v>
      </c>
      <c r="E33" s="6" t="s">
        <v>431</v>
      </c>
      <c r="F33" s="6" t="s">
        <v>339</v>
      </c>
      <c r="G33" s="6" t="s">
        <v>432</v>
      </c>
      <c r="H33" s="6" t="s">
        <v>341</v>
      </c>
    </row>
    <row r="34" spans="1:8">
      <c r="A34" s="6">
        <v>30</v>
      </c>
      <c r="B34" s="6" t="s">
        <v>433</v>
      </c>
      <c r="C34" s="6" t="s">
        <v>336</v>
      </c>
      <c r="D34" s="6" t="s">
        <v>434</v>
      </c>
      <c r="E34" s="6" t="s">
        <v>435</v>
      </c>
      <c r="F34" s="6" t="s">
        <v>339</v>
      </c>
      <c r="G34" s="6" t="s">
        <v>436</v>
      </c>
      <c r="H34" s="6" t="s">
        <v>341</v>
      </c>
    </row>
    <row r="35" spans="1:8">
      <c r="A35" s="6">
        <v>31</v>
      </c>
      <c r="B35" s="6" t="s">
        <v>433</v>
      </c>
      <c r="C35" s="6" t="s">
        <v>437</v>
      </c>
      <c r="D35" s="6" t="s">
        <v>438</v>
      </c>
      <c r="E35" s="6" t="s">
        <v>439</v>
      </c>
      <c r="F35" s="6" t="s">
        <v>339</v>
      </c>
      <c r="G35" s="6" t="s">
        <v>440</v>
      </c>
      <c r="H35" s="6" t="s">
        <v>441</v>
      </c>
    </row>
    <row r="36" spans="1:8">
      <c r="A36" s="6">
        <v>32</v>
      </c>
      <c r="B36" s="6" t="s">
        <v>433</v>
      </c>
      <c r="C36" s="6" t="s">
        <v>336</v>
      </c>
      <c r="D36" s="6" t="s">
        <v>442</v>
      </c>
      <c r="E36" s="6" t="s">
        <v>443</v>
      </c>
      <c r="F36" s="6" t="s">
        <v>339</v>
      </c>
      <c r="G36" s="6" t="s">
        <v>444</v>
      </c>
      <c r="H36" s="6" t="s">
        <v>341</v>
      </c>
    </row>
    <row r="37" spans="1:8">
      <c r="A37" s="6">
        <v>33</v>
      </c>
      <c r="B37" s="6" t="s">
        <v>445</v>
      </c>
      <c r="C37" s="6" t="s">
        <v>336</v>
      </c>
      <c r="D37" s="6" t="s">
        <v>446</v>
      </c>
      <c r="E37" s="6" t="s">
        <v>447</v>
      </c>
      <c r="F37" s="6" t="s">
        <v>339</v>
      </c>
      <c r="G37" s="6" t="s">
        <v>448</v>
      </c>
      <c r="H37" s="6" t="s">
        <v>341</v>
      </c>
    </row>
    <row r="38" spans="1:8">
      <c r="A38" s="6">
        <v>34</v>
      </c>
      <c r="B38" s="6" t="s">
        <v>445</v>
      </c>
      <c r="C38" s="6" t="s">
        <v>336</v>
      </c>
      <c r="D38" s="6" t="s">
        <v>449</v>
      </c>
      <c r="E38" s="6" t="s">
        <v>450</v>
      </c>
      <c r="F38" s="6" t="s">
        <v>339</v>
      </c>
      <c r="G38" s="6" t="s">
        <v>451</v>
      </c>
      <c r="H38" s="6" t="s">
        <v>341</v>
      </c>
    </row>
    <row r="39" spans="1:8">
      <c r="A39" s="6">
        <v>35</v>
      </c>
      <c r="B39" s="6" t="s">
        <v>445</v>
      </c>
      <c r="C39" s="6" t="s">
        <v>452</v>
      </c>
      <c r="D39" s="6" t="s">
        <v>453</v>
      </c>
      <c r="E39" s="6" t="s">
        <v>339</v>
      </c>
      <c r="F39" s="6" t="s">
        <v>454</v>
      </c>
      <c r="G39" s="6" t="s">
        <v>455</v>
      </c>
    </row>
    <row r="40" spans="1:8">
      <c r="A40" s="6">
        <v>36</v>
      </c>
      <c r="B40" s="6" t="s">
        <v>456</v>
      </c>
      <c r="C40" s="6" t="s">
        <v>336</v>
      </c>
      <c r="D40" s="6" t="s">
        <v>457</v>
      </c>
      <c r="E40" s="6" t="s">
        <v>458</v>
      </c>
      <c r="F40" s="6" t="s">
        <v>339</v>
      </c>
      <c r="G40" s="6" t="s">
        <v>459</v>
      </c>
      <c r="H40" s="6" t="s">
        <v>341</v>
      </c>
    </row>
    <row r="41" spans="1:8">
      <c r="A41" s="6">
        <v>37</v>
      </c>
      <c r="B41" s="6" t="s">
        <v>456</v>
      </c>
      <c r="C41" s="6" t="s">
        <v>336</v>
      </c>
      <c r="D41" s="6" t="s">
        <v>460</v>
      </c>
      <c r="E41" s="6" t="s">
        <v>461</v>
      </c>
      <c r="F41" s="6" t="s">
        <v>339</v>
      </c>
      <c r="G41" s="6" t="s">
        <v>462</v>
      </c>
      <c r="H41" s="6" t="s">
        <v>341</v>
      </c>
    </row>
    <row r="42" spans="1:8">
      <c r="A42" s="6">
        <v>38</v>
      </c>
      <c r="B42" s="6" t="s">
        <v>463</v>
      </c>
      <c r="C42" s="6" t="s">
        <v>336</v>
      </c>
      <c r="D42" s="6" t="s">
        <v>464</v>
      </c>
      <c r="E42" s="6" t="s">
        <v>357</v>
      </c>
      <c r="F42" s="6" t="s">
        <v>339</v>
      </c>
      <c r="G42" s="6" t="s">
        <v>465</v>
      </c>
      <c r="H42" s="6" t="s">
        <v>341</v>
      </c>
    </row>
    <row r="43" spans="1:8">
      <c r="A43" s="6">
        <v>39</v>
      </c>
      <c r="B43" s="6" t="s">
        <v>463</v>
      </c>
      <c r="C43" s="6" t="s">
        <v>336</v>
      </c>
      <c r="D43" s="6" t="s">
        <v>466</v>
      </c>
      <c r="E43" s="6" t="s">
        <v>467</v>
      </c>
      <c r="F43" s="6" t="s">
        <v>339</v>
      </c>
      <c r="G43" s="6" t="s">
        <v>468</v>
      </c>
      <c r="H43" s="6" t="s">
        <v>341</v>
      </c>
    </row>
    <row r="44" spans="1:8">
      <c r="A44" s="6">
        <v>40</v>
      </c>
      <c r="B44" s="6" t="s">
        <v>463</v>
      </c>
      <c r="C44" s="6" t="s">
        <v>336</v>
      </c>
      <c r="D44" s="6" t="s">
        <v>469</v>
      </c>
      <c r="E44" s="6" t="s">
        <v>470</v>
      </c>
      <c r="F44" s="6" t="s">
        <v>339</v>
      </c>
      <c r="G44" s="6" t="s">
        <v>471</v>
      </c>
      <c r="H44" s="6" t="s">
        <v>341</v>
      </c>
    </row>
    <row r="45" spans="1:8">
      <c r="A45" s="6">
        <v>41</v>
      </c>
      <c r="B45" s="6" t="s">
        <v>463</v>
      </c>
      <c r="C45" s="6" t="s">
        <v>336</v>
      </c>
      <c r="D45" s="6" t="s">
        <v>472</v>
      </c>
      <c r="E45" s="6" t="s">
        <v>473</v>
      </c>
      <c r="F45" s="6" t="s">
        <v>339</v>
      </c>
      <c r="G45" s="6" t="s">
        <v>474</v>
      </c>
      <c r="H45" s="6" t="s">
        <v>341</v>
      </c>
    </row>
    <row r="46" spans="1:8">
      <c r="A46" s="6">
        <v>42</v>
      </c>
      <c r="B46" s="6" t="s">
        <v>475</v>
      </c>
      <c r="C46" s="6" t="s">
        <v>336</v>
      </c>
      <c r="D46" s="6" t="s">
        <v>476</v>
      </c>
      <c r="E46" s="6" t="s">
        <v>477</v>
      </c>
      <c r="F46" s="6" t="s">
        <v>339</v>
      </c>
      <c r="G46" s="6" t="s">
        <v>478</v>
      </c>
      <c r="H46" s="6" t="s">
        <v>341</v>
      </c>
    </row>
    <row r="47" spans="1:8">
      <c r="A47" s="6">
        <v>43</v>
      </c>
      <c r="B47" s="6" t="s">
        <v>479</v>
      </c>
      <c r="C47" s="6" t="s">
        <v>336</v>
      </c>
      <c r="D47" s="6" t="s">
        <v>480</v>
      </c>
      <c r="E47" s="6" t="s">
        <v>481</v>
      </c>
      <c r="F47" s="6" t="s">
        <v>339</v>
      </c>
      <c r="G47" s="6" t="s">
        <v>482</v>
      </c>
      <c r="H47" s="6" t="s">
        <v>341</v>
      </c>
    </row>
    <row r="48" spans="1:8">
      <c r="A48" s="6">
        <v>44</v>
      </c>
      <c r="B48" s="6" t="s">
        <v>483</v>
      </c>
      <c r="C48" s="6" t="s">
        <v>336</v>
      </c>
      <c r="D48" s="6" t="s">
        <v>484</v>
      </c>
      <c r="E48" s="6" t="s">
        <v>473</v>
      </c>
      <c r="F48" s="6" t="s">
        <v>339</v>
      </c>
      <c r="G48" s="6" t="s">
        <v>485</v>
      </c>
      <c r="H48" s="6" t="s">
        <v>341</v>
      </c>
    </row>
    <row r="49" spans="1:8">
      <c r="A49" s="6">
        <v>45</v>
      </c>
      <c r="B49" s="6" t="s">
        <v>486</v>
      </c>
      <c r="C49" s="6" t="s">
        <v>336</v>
      </c>
      <c r="D49" s="6" t="s">
        <v>487</v>
      </c>
      <c r="E49" s="6" t="s">
        <v>488</v>
      </c>
      <c r="F49" s="6" t="s">
        <v>339</v>
      </c>
      <c r="G49" s="6" t="s">
        <v>489</v>
      </c>
      <c r="H49" s="6" t="s">
        <v>341</v>
      </c>
    </row>
    <row r="50" spans="1:8">
      <c r="A50" s="6">
        <v>46</v>
      </c>
      <c r="B50" s="6" t="s">
        <v>490</v>
      </c>
      <c r="C50" s="6" t="s">
        <v>336</v>
      </c>
      <c r="D50" s="6" t="s">
        <v>491</v>
      </c>
      <c r="E50" s="6" t="s">
        <v>404</v>
      </c>
      <c r="F50" s="6" t="s">
        <v>339</v>
      </c>
      <c r="G50" s="6" t="s">
        <v>492</v>
      </c>
      <c r="H50" s="6" t="s">
        <v>341</v>
      </c>
    </row>
    <row r="51" spans="1:8">
      <c r="A51" s="6">
        <v>47</v>
      </c>
      <c r="B51" s="6" t="s">
        <v>490</v>
      </c>
      <c r="C51" s="6" t="s">
        <v>336</v>
      </c>
      <c r="D51" s="6" t="s">
        <v>493</v>
      </c>
      <c r="E51" s="6" t="s">
        <v>494</v>
      </c>
      <c r="F51" s="6" t="s">
        <v>339</v>
      </c>
      <c r="G51" s="6" t="s">
        <v>495</v>
      </c>
      <c r="H51" s="6" t="s">
        <v>341</v>
      </c>
    </row>
    <row r="52" spans="1:8">
      <c r="A52" s="6">
        <v>48</v>
      </c>
      <c r="B52" s="6" t="s">
        <v>490</v>
      </c>
      <c r="C52" s="6" t="s">
        <v>336</v>
      </c>
      <c r="D52" s="6" t="s">
        <v>496</v>
      </c>
      <c r="E52" s="6" t="s">
        <v>497</v>
      </c>
      <c r="F52" s="6" t="s">
        <v>339</v>
      </c>
      <c r="G52" s="6" t="s">
        <v>498</v>
      </c>
      <c r="H52" s="6" t="s">
        <v>341</v>
      </c>
    </row>
    <row r="53" spans="1:8">
      <c r="A53" s="6">
        <v>49</v>
      </c>
      <c r="B53" s="6" t="s">
        <v>490</v>
      </c>
      <c r="C53" s="6" t="s">
        <v>336</v>
      </c>
      <c r="D53" s="6" t="s">
        <v>499</v>
      </c>
      <c r="E53" s="6" t="s">
        <v>339</v>
      </c>
      <c r="F53" s="6" t="s">
        <v>497</v>
      </c>
      <c r="G53" s="6" t="s">
        <v>495</v>
      </c>
      <c r="H53" s="6" t="s">
        <v>341</v>
      </c>
    </row>
    <row r="54" spans="1:8">
      <c r="A54" s="6">
        <v>50</v>
      </c>
      <c r="B54" s="6" t="s">
        <v>490</v>
      </c>
      <c r="C54" s="6" t="s">
        <v>336</v>
      </c>
      <c r="D54" s="6" t="s">
        <v>500</v>
      </c>
      <c r="E54" s="6" t="s">
        <v>497</v>
      </c>
      <c r="F54" s="6" t="s">
        <v>339</v>
      </c>
      <c r="G54" s="6" t="s">
        <v>498</v>
      </c>
      <c r="H54" s="6" t="s">
        <v>341</v>
      </c>
    </row>
    <row r="55" spans="1:8">
      <c r="A55" s="6">
        <v>51</v>
      </c>
      <c r="B55" s="6" t="s">
        <v>490</v>
      </c>
      <c r="C55" s="6" t="s">
        <v>336</v>
      </c>
      <c r="D55" s="6" t="s">
        <v>501</v>
      </c>
      <c r="E55" s="6" t="s">
        <v>339</v>
      </c>
      <c r="F55" s="6" t="s">
        <v>497</v>
      </c>
      <c r="G55" s="6" t="s">
        <v>495</v>
      </c>
      <c r="H55" s="6" t="s">
        <v>341</v>
      </c>
    </row>
    <row r="56" spans="1:8">
      <c r="A56" s="6">
        <v>52</v>
      </c>
      <c r="B56" s="6" t="s">
        <v>490</v>
      </c>
      <c r="C56" s="6" t="s">
        <v>336</v>
      </c>
      <c r="D56" s="6" t="s">
        <v>502</v>
      </c>
      <c r="E56" s="6" t="s">
        <v>497</v>
      </c>
      <c r="F56" s="6" t="s">
        <v>339</v>
      </c>
      <c r="G56" s="6" t="s">
        <v>498</v>
      </c>
      <c r="H56" s="6" t="s">
        <v>341</v>
      </c>
    </row>
    <row r="57" spans="1:8">
      <c r="A57" s="6">
        <v>53</v>
      </c>
      <c r="B57" s="6" t="s">
        <v>490</v>
      </c>
      <c r="C57" s="6" t="s">
        <v>336</v>
      </c>
      <c r="D57" s="6" t="s">
        <v>503</v>
      </c>
      <c r="E57" s="6" t="s">
        <v>339</v>
      </c>
      <c r="F57" s="6" t="s">
        <v>497</v>
      </c>
      <c r="G57" s="6" t="s">
        <v>495</v>
      </c>
      <c r="H57" s="6" t="s">
        <v>341</v>
      </c>
    </row>
    <row r="58" spans="1:8">
      <c r="A58" s="6">
        <v>54</v>
      </c>
      <c r="B58" s="6" t="s">
        <v>490</v>
      </c>
      <c r="C58" s="6" t="s">
        <v>336</v>
      </c>
      <c r="D58" s="6" t="s">
        <v>504</v>
      </c>
      <c r="E58" s="6" t="s">
        <v>494</v>
      </c>
      <c r="F58" s="6" t="s">
        <v>339</v>
      </c>
      <c r="G58" s="6" t="s">
        <v>505</v>
      </c>
      <c r="H58" s="6" t="s">
        <v>341</v>
      </c>
    </row>
    <row r="59" spans="1:8">
      <c r="A59" s="6">
        <v>55</v>
      </c>
      <c r="B59" s="6" t="s">
        <v>490</v>
      </c>
      <c r="C59" s="6" t="s">
        <v>336</v>
      </c>
      <c r="D59" s="6" t="s">
        <v>506</v>
      </c>
      <c r="E59" s="6" t="s">
        <v>494</v>
      </c>
      <c r="F59" s="6" t="s">
        <v>339</v>
      </c>
      <c r="G59" s="6" t="s">
        <v>507</v>
      </c>
      <c r="H59" s="6" t="s">
        <v>341</v>
      </c>
    </row>
    <row r="60" spans="1:8">
      <c r="A60" s="6">
        <v>56</v>
      </c>
      <c r="B60" s="6" t="s">
        <v>490</v>
      </c>
      <c r="C60" s="6" t="s">
        <v>336</v>
      </c>
      <c r="D60" s="6" t="s">
        <v>508</v>
      </c>
      <c r="E60" s="6" t="s">
        <v>494</v>
      </c>
      <c r="F60" s="6" t="s">
        <v>339</v>
      </c>
      <c r="G60" s="6" t="s">
        <v>509</v>
      </c>
      <c r="H60" s="6" t="s">
        <v>341</v>
      </c>
    </row>
    <row r="61" spans="1:8">
      <c r="A61" s="6">
        <v>57</v>
      </c>
      <c r="B61" s="6" t="s">
        <v>490</v>
      </c>
      <c r="C61" s="6" t="s">
        <v>336</v>
      </c>
      <c r="D61" s="6" t="s">
        <v>510</v>
      </c>
      <c r="E61" s="6" t="s">
        <v>494</v>
      </c>
      <c r="F61" s="6" t="s">
        <v>339</v>
      </c>
      <c r="G61" s="6" t="s">
        <v>511</v>
      </c>
      <c r="H61" s="6" t="s">
        <v>341</v>
      </c>
    </row>
    <row r="62" spans="1:8">
      <c r="A62" s="6">
        <v>58</v>
      </c>
      <c r="B62" s="6" t="s">
        <v>490</v>
      </c>
      <c r="C62" s="6" t="s">
        <v>336</v>
      </c>
      <c r="D62" s="6" t="s">
        <v>512</v>
      </c>
      <c r="E62" s="6" t="s">
        <v>494</v>
      </c>
      <c r="F62" s="6" t="s">
        <v>339</v>
      </c>
      <c r="G62" s="6" t="s">
        <v>513</v>
      </c>
      <c r="H62" s="6" t="s">
        <v>341</v>
      </c>
    </row>
    <row r="63" spans="1:8">
      <c r="A63" s="6">
        <v>59</v>
      </c>
      <c r="B63" s="6" t="s">
        <v>490</v>
      </c>
      <c r="C63" s="6" t="s">
        <v>336</v>
      </c>
      <c r="D63" s="6" t="s">
        <v>514</v>
      </c>
      <c r="E63" s="6" t="s">
        <v>494</v>
      </c>
      <c r="F63" s="6" t="s">
        <v>339</v>
      </c>
      <c r="G63" s="6" t="s">
        <v>515</v>
      </c>
      <c r="H63" s="6" t="s">
        <v>341</v>
      </c>
    </row>
    <row r="64" spans="1:8">
      <c r="A64" s="6">
        <v>60</v>
      </c>
      <c r="B64" s="6" t="s">
        <v>490</v>
      </c>
      <c r="C64" s="6" t="s">
        <v>336</v>
      </c>
      <c r="D64" s="6" t="s">
        <v>516</v>
      </c>
      <c r="E64" s="6" t="s">
        <v>517</v>
      </c>
      <c r="F64" s="6" t="s">
        <v>339</v>
      </c>
      <c r="G64" s="6" t="s">
        <v>498</v>
      </c>
      <c r="H64" s="6" t="s">
        <v>341</v>
      </c>
    </row>
    <row r="65" spans="1:8">
      <c r="A65" s="6">
        <v>61</v>
      </c>
      <c r="B65" s="6" t="s">
        <v>490</v>
      </c>
      <c r="C65" s="6" t="s">
        <v>336</v>
      </c>
      <c r="D65" s="6" t="s">
        <v>518</v>
      </c>
      <c r="E65" s="6" t="s">
        <v>339</v>
      </c>
      <c r="F65" s="6" t="s">
        <v>360</v>
      </c>
      <c r="G65" s="6" t="s">
        <v>519</v>
      </c>
      <c r="H65" s="6" t="s">
        <v>341</v>
      </c>
    </row>
    <row r="66" spans="1:8">
      <c r="A66" s="6">
        <v>62</v>
      </c>
      <c r="B66" s="6" t="s">
        <v>490</v>
      </c>
      <c r="C66" s="6" t="s">
        <v>336</v>
      </c>
      <c r="D66" s="6" t="s">
        <v>520</v>
      </c>
      <c r="E66" s="6" t="s">
        <v>521</v>
      </c>
      <c r="F66" s="6" t="s">
        <v>339</v>
      </c>
      <c r="G66" s="6" t="s">
        <v>522</v>
      </c>
      <c r="H66" s="6" t="s">
        <v>341</v>
      </c>
    </row>
    <row r="67" spans="1:8">
      <c r="A67" s="6">
        <v>63</v>
      </c>
      <c r="B67" s="6" t="s">
        <v>490</v>
      </c>
      <c r="C67" s="6" t="s">
        <v>336</v>
      </c>
      <c r="D67" s="6" t="s">
        <v>523</v>
      </c>
      <c r="E67" s="6" t="s">
        <v>524</v>
      </c>
      <c r="F67" s="6" t="s">
        <v>339</v>
      </c>
      <c r="G67" s="6" t="s">
        <v>525</v>
      </c>
      <c r="H67" s="6" t="s">
        <v>341</v>
      </c>
    </row>
    <row r="68" spans="1:8">
      <c r="A68" s="6">
        <v>64</v>
      </c>
      <c r="B68" s="6" t="s">
        <v>490</v>
      </c>
      <c r="C68" s="6" t="s">
        <v>336</v>
      </c>
      <c r="D68" s="6" t="s">
        <v>526</v>
      </c>
      <c r="E68" s="6" t="s">
        <v>431</v>
      </c>
      <c r="F68" s="6" t="s">
        <v>339</v>
      </c>
      <c r="G68" s="6" t="s">
        <v>527</v>
      </c>
      <c r="H68" s="6" t="s">
        <v>341</v>
      </c>
    </row>
    <row r="69" spans="1:8">
      <c r="A69" s="6">
        <v>65</v>
      </c>
      <c r="B69" s="6" t="s">
        <v>490</v>
      </c>
      <c r="C69" s="6" t="s">
        <v>336</v>
      </c>
      <c r="D69" s="6" t="s">
        <v>528</v>
      </c>
      <c r="E69" s="6" t="s">
        <v>529</v>
      </c>
      <c r="F69" s="6" t="s">
        <v>339</v>
      </c>
      <c r="G69" s="6" t="s">
        <v>530</v>
      </c>
      <c r="H69" s="6" t="s">
        <v>341</v>
      </c>
    </row>
    <row r="70" spans="1:8">
      <c r="A70" s="6">
        <v>66</v>
      </c>
      <c r="B70" s="6" t="s">
        <v>490</v>
      </c>
      <c r="C70" s="6" t="s">
        <v>336</v>
      </c>
      <c r="D70" s="6" t="s">
        <v>531</v>
      </c>
      <c r="E70" s="6" t="s">
        <v>532</v>
      </c>
      <c r="F70" s="6" t="s">
        <v>339</v>
      </c>
      <c r="G70" s="6" t="s">
        <v>533</v>
      </c>
      <c r="H70" s="6" t="s">
        <v>341</v>
      </c>
    </row>
    <row r="71" spans="1:8">
      <c r="A71" s="6">
        <v>67</v>
      </c>
      <c r="B71" s="6" t="s">
        <v>490</v>
      </c>
      <c r="C71" s="6" t="s">
        <v>336</v>
      </c>
      <c r="D71" s="6" t="s">
        <v>534</v>
      </c>
      <c r="E71" s="6" t="s">
        <v>535</v>
      </c>
      <c r="F71" s="6" t="s">
        <v>339</v>
      </c>
      <c r="G71" s="6" t="s">
        <v>536</v>
      </c>
      <c r="H71" s="6" t="s">
        <v>341</v>
      </c>
    </row>
    <row r="72" spans="1:8">
      <c r="A72" s="6">
        <v>68</v>
      </c>
      <c r="B72" s="6" t="s">
        <v>490</v>
      </c>
      <c r="C72" s="6" t="s">
        <v>336</v>
      </c>
      <c r="D72" s="6" t="s">
        <v>537</v>
      </c>
      <c r="E72" s="6" t="s">
        <v>431</v>
      </c>
      <c r="F72" s="6" t="s">
        <v>339</v>
      </c>
      <c r="G72" s="6" t="s">
        <v>538</v>
      </c>
      <c r="H72" s="6" t="s">
        <v>341</v>
      </c>
    </row>
    <row r="73" spans="1:8">
      <c r="A73" s="6">
        <v>69</v>
      </c>
      <c r="B73" s="6" t="s">
        <v>490</v>
      </c>
      <c r="C73" s="6" t="s">
        <v>336</v>
      </c>
      <c r="D73" s="6" t="s">
        <v>539</v>
      </c>
      <c r="E73" s="6" t="s">
        <v>494</v>
      </c>
      <c r="F73" s="6" t="s">
        <v>339</v>
      </c>
      <c r="G73" s="6" t="s">
        <v>540</v>
      </c>
      <c r="H73" s="6" t="s">
        <v>341</v>
      </c>
    </row>
    <row r="74" spans="1:8">
      <c r="A74" s="6">
        <v>70</v>
      </c>
      <c r="B74" s="6" t="s">
        <v>490</v>
      </c>
      <c r="C74" s="6" t="s">
        <v>336</v>
      </c>
      <c r="D74" s="6" t="s">
        <v>541</v>
      </c>
      <c r="E74" s="6" t="s">
        <v>542</v>
      </c>
      <c r="F74" s="6" t="s">
        <v>339</v>
      </c>
      <c r="G74" s="6" t="s">
        <v>543</v>
      </c>
      <c r="H74" s="6" t="s">
        <v>341</v>
      </c>
    </row>
    <row r="75" spans="1:8">
      <c r="A75" s="6">
        <v>71</v>
      </c>
      <c r="B75" s="6" t="s">
        <v>544</v>
      </c>
      <c r="C75" s="6" t="s">
        <v>336</v>
      </c>
      <c r="D75" s="6" t="s">
        <v>545</v>
      </c>
      <c r="E75" s="6" t="s">
        <v>431</v>
      </c>
      <c r="F75" s="6" t="s">
        <v>339</v>
      </c>
      <c r="G75" s="6" t="s">
        <v>546</v>
      </c>
      <c r="H75" s="6" t="s">
        <v>341</v>
      </c>
    </row>
    <row r="76" spans="1:8">
      <c r="A76" s="6">
        <v>72</v>
      </c>
      <c r="B76" s="6" t="s">
        <v>544</v>
      </c>
      <c r="C76" s="6" t="s">
        <v>336</v>
      </c>
      <c r="D76" s="6" t="s">
        <v>547</v>
      </c>
      <c r="E76" s="6" t="s">
        <v>477</v>
      </c>
      <c r="F76" s="6" t="s">
        <v>339</v>
      </c>
      <c r="G76" s="6" t="s">
        <v>548</v>
      </c>
      <c r="H76" s="6" t="s">
        <v>341</v>
      </c>
    </row>
    <row r="77" spans="1:8">
      <c r="A77" s="6">
        <v>73</v>
      </c>
      <c r="B77" s="6" t="s">
        <v>544</v>
      </c>
      <c r="C77" s="6" t="s">
        <v>336</v>
      </c>
      <c r="D77" s="6" t="s">
        <v>549</v>
      </c>
      <c r="E77" s="6" t="s">
        <v>343</v>
      </c>
      <c r="F77" s="6" t="s">
        <v>339</v>
      </c>
      <c r="G77" s="6" t="s">
        <v>550</v>
      </c>
      <c r="H77" s="6" t="s">
        <v>341</v>
      </c>
    </row>
    <row r="78" spans="1:8">
      <c r="A78" s="6">
        <v>74</v>
      </c>
      <c r="B78" s="6" t="s">
        <v>544</v>
      </c>
      <c r="C78" s="6" t="s">
        <v>336</v>
      </c>
      <c r="D78" s="6" t="s">
        <v>551</v>
      </c>
      <c r="E78" s="6" t="s">
        <v>431</v>
      </c>
      <c r="F78" s="6" t="s">
        <v>339</v>
      </c>
      <c r="G78" s="6" t="s">
        <v>552</v>
      </c>
      <c r="H78" s="6" t="s">
        <v>341</v>
      </c>
    </row>
    <row r="79" spans="1:8">
      <c r="A79" s="6">
        <v>75</v>
      </c>
      <c r="B79" s="6" t="s">
        <v>544</v>
      </c>
      <c r="C79" s="6" t="s">
        <v>336</v>
      </c>
      <c r="D79" s="6" t="s">
        <v>553</v>
      </c>
      <c r="E79" s="6" t="s">
        <v>431</v>
      </c>
      <c r="F79" s="6" t="s">
        <v>339</v>
      </c>
      <c r="G79" s="6" t="s">
        <v>554</v>
      </c>
      <c r="H79" s="6" t="s">
        <v>341</v>
      </c>
    </row>
    <row r="80" spans="1:8">
      <c r="A80" s="6">
        <v>76</v>
      </c>
      <c r="B80" s="6" t="s">
        <v>544</v>
      </c>
      <c r="C80" s="6" t="s">
        <v>336</v>
      </c>
      <c r="D80" s="6" t="s">
        <v>555</v>
      </c>
      <c r="E80" s="6" t="s">
        <v>431</v>
      </c>
      <c r="F80" s="6" t="s">
        <v>339</v>
      </c>
      <c r="G80" s="6" t="s">
        <v>556</v>
      </c>
      <c r="H80" s="6" t="s">
        <v>341</v>
      </c>
    </row>
    <row r="81" spans="1:8">
      <c r="A81" s="6">
        <v>77</v>
      </c>
      <c r="B81" s="6" t="s">
        <v>544</v>
      </c>
      <c r="C81" s="6" t="s">
        <v>336</v>
      </c>
      <c r="D81" s="6" t="s">
        <v>557</v>
      </c>
      <c r="E81" s="6" t="s">
        <v>339</v>
      </c>
      <c r="F81" s="6" t="s">
        <v>558</v>
      </c>
      <c r="G81" s="6" t="s">
        <v>559</v>
      </c>
      <c r="H81" s="6" t="s">
        <v>341</v>
      </c>
    </row>
    <row r="82" spans="1:8">
      <c r="A82" s="6">
        <v>78</v>
      </c>
      <c r="B82" s="6" t="s">
        <v>544</v>
      </c>
      <c r="C82" s="6" t="s">
        <v>336</v>
      </c>
      <c r="D82" s="6" t="s">
        <v>560</v>
      </c>
      <c r="E82" s="6" t="s">
        <v>339</v>
      </c>
      <c r="F82" s="6" t="s">
        <v>349</v>
      </c>
      <c r="G82" s="6" t="s">
        <v>561</v>
      </c>
      <c r="H82" s="6" t="s">
        <v>341</v>
      </c>
    </row>
    <row r="83" spans="1:8">
      <c r="A83" s="6">
        <v>79</v>
      </c>
      <c r="B83" s="6" t="s">
        <v>544</v>
      </c>
      <c r="C83" s="6" t="s">
        <v>336</v>
      </c>
      <c r="D83" s="6" t="s">
        <v>562</v>
      </c>
      <c r="E83" s="6" t="s">
        <v>563</v>
      </c>
      <c r="F83" s="6" t="s">
        <v>339</v>
      </c>
      <c r="G83" s="6" t="s">
        <v>564</v>
      </c>
      <c r="H83" s="6" t="s">
        <v>341</v>
      </c>
    </row>
    <row r="84" spans="1:8">
      <c r="A84" s="6">
        <v>80</v>
      </c>
      <c r="B84" s="6" t="s">
        <v>565</v>
      </c>
      <c r="C84" s="6" t="s">
        <v>336</v>
      </c>
      <c r="D84" s="6" t="s">
        <v>566</v>
      </c>
      <c r="E84" s="6" t="s">
        <v>494</v>
      </c>
      <c r="F84" s="6" t="s">
        <v>339</v>
      </c>
      <c r="G84" s="6" t="s">
        <v>567</v>
      </c>
      <c r="H84" s="6" t="s">
        <v>341</v>
      </c>
    </row>
    <row r="85" spans="1:8">
      <c r="A85" s="6">
        <v>81</v>
      </c>
      <c r="B85" s="6" t="s">
        <v>565</v>
      </c>
      <c r="C85" s="6" t="s">
        <v>336</v>
      </c>
      <c r="D85" s="6" t="s">
        <v>568</v>
      </c>
      <c r="E85" s="6" t="s">
        <v>339</v>
      </c>
      <c r="F85" s="6" t="s">
        <v>532</v>
      </c>
      <c r="G85" s="6" t="s">
        <v>569</v>
      </c>
      <c r="H85" s="6" t="s">
        <v>341</v>
      </c>
    </row>
    <row r="86" spans="1:8">
      <c r="A86" s="6">
        <v>82</v>
      </c>
      <c r="B86" s="6" t="s">
        <v>565</v>
      </c>
      <c r="C86" s="6" t="s">
        <v>336</v>
      </c>
      <c r="D86" s="6" t="s">
        <v>570</v>
      </c>
      <c r="E86" s="6" t="s">
        <v>494</v>
      </c>
      <c r="F86" s="6" t="s">
        <v>339</v>
      </c>
      <c r="G86" s="6" t="s">
        <v>571</v>
      </c>
      <c r="H86" s="6" t="s">
        <v>341</v>
      </c>
    </row>
    <row r="87" spans="1:8">
      <c r="A87" s="6">
        <v>83</v>
      </c>
      <c r="B87" s="6" t="s">
        <v>565</v>
      </c>
      <c r="C87" s="6" t="s">
        <v>336</v>
      </c>
      <c r="D87" s="6" t="s">
        <v>572</v>
      </c>
      <c r="E87" s="6" t="s">
        <v>494</v>
      </c>
      <c r="F87" s="6" t="s">
        <v>339</v>
      </c>
      <c r="G87" s="6" t="s">
        <v>573</v>
      </c>
      <c r="H87" s="6" t="s">
        <v>341</v>
      </c>
    </row>
    <row r="88" spans="1:8">
      <c r="A88" s="6">
        <v>84</v>
      </c>
      <c r="B88" s="6" t="s">
        <v>565</v>
      </c>
      <c r="C88" s="6" t="s">
        <v>336</v>
      </c>
      <c r="D88" s="6" t="s">
        <v>574</v>
      </c>
      <c r="E88" s="6" t="s">
        <v>357</v>
      </c>
      <c r="F88" s="6" t="s">
        <v>339</v>
      </c>
      <c r="G88" s="6" t="s">
        <v>575</v>
      </c>
      <c r="H88" s="6" t="s">
        <v>341</v>
      </c>
    </row>
    <row r="89" spans="1:8">
      <c r="A89" s="6">
        <v>85</v>
      </c>
      <c r="B89" s="6" t="s">
        <v>576</v>
      </c>
      <c r="C89" s="6" t="s">
        <v>577</v>
      </c>
      <c r="D89" s="6" t="s">
        <v>578</v>
      </c>
      <c r="E89" s="6" t="s">
        <v>579</v>
      </c>
      <c r="F89" s="6" t="s">
        <v>339</v>
      </c>
      <c r="G89" s="6" t="s">
        <v>580</v>
      </c>
      <c r="H89" s="6" t="s">
        <v>581</v>
      </c>
    </row>
    <row r="90" spans="1:8">
      <c r="A90" s="6">
        <v>86</v>
      </c>
      <c r="B90" s="6" t="s">
        <v>576</v>
      </c>
      <c r="C90" s="6" t="s">
        <v>336</v>
      </c>
      <c r="D90" s="6" t="s">
        <v>582</v>
      </c>
      <c r="E90" s="6" t="s">
        <v>339</v>
      </c>
      <c r="F90" s="6" t="s">
        <v>583</v>
      </c>
      <c r="G90" s="6" t="s">
        <v>584</v>
      </c>
      <c r="H90" s="6" t="s">
        <v>341</v>
      </c>
    </row>
    <row r="91" spans="1:8">
      <c r="A91" s="6">
        <v>87</v>
      </c>
      <c r="B91" s="6" t="s">
        <v>576</v>
      </c>
      <c r="C91" s="6" t="s">
        <v>336</v>
      </c>
      <c r="D91" s="6" t="s">
        <v>585</v>
      </c>
      <c r="E91" s="6" t="s">
        <v>586</v>
      </c>
      <c r="F91" s="6" t="s">
        <v>339</v>
      </c>
      <c r="G91" s="6" t="s">
        <v>587</v>
      </c>
      <c r="H91" s="6" t="s">
        <v>341</v>
      </c>
    </row>
    <row r="92" spans="1:8">
      <c r="A92" s="6">
        <v>88</v>
      </c>
      <c r="B92" s="6" t="s">
        <v>576</v>
      </c>
      <c r="C92" s="6" t="s">
        <v>588</v>
      </c>
      <c r="D92" s="6" t="s">
        <v>589</v>
      </c>
      <c r="E92" s="6" t="s">
        <v>339</v>
      </c>
      <c r="F92" s="6" t="s">
        <v>590</v>
      </c>
      <c r="G92" s="6" t="s">
        <v>591</v>
      </c>
    </row>
    <row r="93" spans="1:8">
      <c r="A93" s="6">
        <v>89</v>
      </c>
      <c r="B93" s="6" t="s">
        <v>576</v>
      </c>
      <c r="C93" s="6" t="s">
        <v>336</v>
      </c>
      <c r="D93" s="6" t="s">
        <v>592</v>
      </c>
      <c r="E93" s="6" t="s">
        <v>593</v>
      </c>
      <c r="F93" s="6" t="s">
        <v>339</v>
      </c>
      <c r="G93" s="6" t="s">
        <v>594</v>
      </c>
      <c r="H93" s="6" t="s">
        <v>341</v>
      </c>
    </row>
    <row r="94" spans="1:8">
      <c r="A94" s="6">
        <v>90</v>
      </c>
      <c r="B94" s="6" t="s">
        <v>576</v>
      </c>
      <c r="C94" s="6" t="s">
        <v>336</v>
      </c>
      <c r="D94" s="6" t="s">
        <v>595</v>
      </c>
      <c r="E94" s="6" t="s">
        <v>596</v>
      </c>
      <c r="F94" s="6" t="s">
        <v>339</v>
      </c>
      <c r="G94" s="6" t="s">
        <v>597</v>
      </c>
      <c r="H94" s="6" t="s">
        <v>341</v>
      </c>
    </row>
    <row r="95" spans="1:8">
      <c r="A95" s="6">
        <v>91</v>
      </c>
      <c r="B95" s="6" t="s">
        <v>576</v>
      </c>
      <c r="C95" s="6" t="s">
        <v>336</v>
      </c>
      <c r="D95" s="6" t="s">
        <v>598</v>
      </c>
      <c r="E95" s="6" t="s">
        <v>599</v>
      </c>
      <c r="F95" s="6" t="s">
        <v>339</v>
      </c>
      <c r="G95" s="6" t="s">
        <v>600</v>
      </c>
      <c r="H95" s="6" t="s">
        <v>341</v>
      </c>
    </row>
    <row r="96" spans="1:8">
      <c r="A96" s="6">
        <v>92</v>
      </c>
      <c r="B96" s="6" t="s">
        <v>601</v>
      </c>
      <c r="C96" s="6" t="s">
        <v>336</v>
      </c>
      <c r="D96" s="6" t="s">
        <v>602</v>
      </c>
      <c r="E96" s="6" t="s">
        <v>343</v>
      </c>
      <c r="F96" s="6" t="s">
        <v>339</v>
      </c>
      <c r="G96" s="6" t="s">
        <v>603</v>
      </c>
      <c r="H96" s="6" t="s">
        <v>341</v>
      </c>
    </row>
    <row r="97" spans="1:8">
      <c r="A97" s="6">
        <v>93</v>
      </c>
      <c r="B97" s="6" t="s">
        <v>601</v>
      </c>
      <c r="C97" s="6" t="s">
        <v>336</v>
      </c>
      <c r="D97" s="6" t="s">
        <v>604</v>
      </c>
      <c r="E97" s="6" t="s">
        <v>339</v>
      </c>
      <c r="F97" s="6" t="s">
        <v>605</v>
      </c>
      <c r="G97" s="6" t="s">
        <v>606</v>
      </c>
      <c r="H97" s="6" t="s">
        <v>388</v>
      </c>
    </row>
    <row r="98" spans="1:8">
      <c r="A98" s="6">
        <v>94</v>
      </c>
      <c r="B98" s="6" t="s">
        <v>601</v>
      </c>
      <c r="C98" s="6" t="s">
        <v>336</v>
      </c>
      <c r="D98" s="6" t="s">
        <v>607</v>
      </c>
      <c r="E98" s="6" t="s">
        <v>369</v>
      </c>
      <c r="F98" s="6" t="s">
        <v>339</v>
      </c>
      <c r="G98" s="6" t="s">
        <v>608</v>
      </c>
      <c r="H98" s="6" t="s">
        <v>341</v>
      </c>
    </row>
    <row r="99" spans="1:8">
      <c r="A99" s="6">
        <v>95</v>
      </c>
      <c r="B99" s="6" t="s">
        <v>609</v>
      </c>
      <c r="C99" s="6" t="s">
        <v>336</v>
      </c>
      <c r="D99" s="6" t="s">
        <v>610</v>
      </c>
      <c r="E99" s="6" t="s">
        <v>611</v>
      </c>
      <c r="F99" s="6" t="s">
        <v>339</v>
      </c>
      <c r="G99" s="6" t="s">
        <v>612</v>
      </c>
      <c r="H99" s="6" t="s">
        <v>341</v>
      </c>
    </row>
    <row r="100" spans="1:8">
      <c r="A100" s="6">
        <v>96</v>
      </c>
      <c r="B100" s="6" t="s">
        <v>609</v>
      </c>
      <c r="C100" s="6" t="s">
        <v>336</v>
      </c>
      <c r="D100" s="6" t="s">
        <v>613</v>
      </c>
      <c r="E100" s="6" t="s">
        <v>400</v>
      </c>
      <c r="F100" s="6" t="s">
        <v>339</v>
      </c>
      <c r="G100" s="6" t="s">
        <v>614</v>
      </c>
      <c r="H100" s="6" t="s">
        <v>341</v>
      </c>
    </row>
    <row r="101" spans="1:8">
      <c r="A101" s="6">
        <v>97</v>
      </c>
      <c r="B101" s="6" t="s">
        <v>609</v>
      </c>
      <c r="C101" s="6" t="s">
        <v>336</v>
      </c>
      <c r="D101" s="6" t="s">
        <v>615</v>
      </c>
      <c r="E101" s="6" t="s">
        <v>616</v>
      </c>
      <c r="F101" s="6" t="s">
        <v>339</v>
      </c>
      <c r="G101" s="6" t="s">
        <v>617</v>
      </c>
      <c r="H101" s="6" t="s">
        <v>341</v>
      </c>
    </row>
    <row r="102" spans="1:8">
      <c r="A102" s="6">
        <v>98</v>
      </c>
      <c r="B102" s="6" t="s">
        <v>618</v>
      </c>
      <c r="C102" s="6" t="s">
        <v>336</v>
      </c>
      <c r="D102" s="6" t="s">
        <v>619</v>
      </c>
      <c r="E102" s="6" t="s">
        <v>620</v>
      </c>
      <c r="F102" s="6" t="s">
        <v>339</v>
      </c>
      <c r="G102" s="6" t="s">
        <v>621</v>
      </c>
      <c r="H102" s="6" t="s">
        <v>341</v>
      </c>
    </row>
    <row r="103" spans="1:8">
      <c r="A103" s="6">
        <v>99</v>
      </c>
      <c r="B103" s="6" t="s">
        <v>618</v>
      </c>
      <c r="C103" s="6" t="s">
        <v>336</v>
      </c>
      <c r="D103" s="6" t="s">
        <v>622</v>
      </c>
      <c r="E103" s="6" t="s">
        <v>364</v>
      </c>
      <c r="F103" s="6" t="s">
        <v>339</v>
      </c>
      <c r="G103" s="6" t="s">
        <v>623</v>
      </c>
      <c r="H103" s="6" t="s">
        <v>341</v>
      </c>
    </row>
    <row r="104" spans="1:8">
      <c r="A104" s="6">
        <v>100</v>
      </c>
      <c r="B104" s="6" t="s">
        <v>618</v>
      </c>
      <c r="C104" s="6" t="s">
        <v>336</v>
      </c>
      <c r="D104" s="6" t="s">
        <v>624</v>
      </c>
      <c r="E104" s="6" t="s">
        <v>625</v>
      </c>
      <c r="F104" s="6" t="s">
        <v>339</v>
      </c>
      <c r="G104" s="6" t="s">
        <v>626</v>
      </c>
      <c r="H104" s="6" t="s">
        <v>341</v>
      </c>
    </row>
    <row r="105" spans="1:8">
      <c r="A105" s="6">
        <v>101</v>
      </c>
      <c r="B105" s="6" t="s">
        <v>618</v>
      </c>
      <c r="C105" s="6" t="s">
        <v>336</v>
      </c>
      <c r="D105" s="6" t="s">
        <v>627</v>
      </c>
      <c r="E105" s="6" t="s">
        <v>431</v>
      </c>
      <c r="F105" s="6" t="s">
        <v>339</v>
      </c>
      <c r="G105" s="6" t="s">
        <v>628</v>
      </c>
      <c r="H105" s="6" t="s">
        <v>341</v>
      </c>
    </row>
    <row r="106" spans="1:8">
      <c r="A106" s="6">
        <v>102</v>
      </c>
      <c r="B106" s="6" t="s">
        <v>629</v>
      </c>
      <c r="C106" s="6" t="s">
        <v>336</v>
      </c>
      <c r="D106" s="6" t="s">
        <v>630</v>
      </c>
      <c r="E106" s="6" t="s">
        <v>404</v>
      </c>
      <c r="F106" s="6" t="s">
        <v>339</v>
      </c>
      <c r="G106" s="6" t="s">
        <v>631</v>
      </c>
      <c r="H106" s="6" t="s">
        <v>341</v>
      </c>
    </row>
    <row r="107" spans="1:8">
      <c r="A107" s="6">
        <v>103</v>
      </c>
      <c r="B107" s="6" t="s">
        <v>632</v>
      </c>
      <c r="C107" s="6" t="s">
        <v>336</v>
      </c>
      <c r="D107" s="6" t="s">
        <v>633</v>
      </c>
      <c r="E107" s="6" t="s">
        <v>404</v>
      </c>
      <c r="F107" s="6" t="s">
        <v>339</v>
      </c>
      <c r="G107" s="6" t="s">
        <v>634</v>
      </c>
      <c r="H107" s="6" t="s">
        <v>341</v>
      </c>
    </row>
    <row r="108" spans="1:8">
      <c r="A108" s="6">
        <v>104</v>
      </c>
      <c r="B108" s="6" t="s">
        <v>632</v>
      </c>
      <c r="C108" s="6" t="s">
        <v>336</v>
      </c>
      <c r="D108" s="6" t="s">
        <v>635</v>
      </c>
      <c r="E108" s="6" t="s">
        <v>369</v>
      </c>
      <c r="F108" s="6" t="s">
        <v>339</v>
      </c>
      <c r="G108" s="6" t="s">
        <v>636</v>
      </c>
      <c r="H108" s="6" t="s">
        <v>341</v>
      </c>
    </row>
    <row r="109" spans="1:8">
      <c r="A109" s="6">
        <v>105</v>
      </c>
      <c r="B109" s="6" t="s">
        <v>637</v>
      </c>
      <c r="C109" s="6" t="s">
        <v>336</v>
      </c>
      <c r="D109" s="6" t="s">
        <v>638</v>
      </c>
      <c r="E109" s="6" t="s">
        <v>349</v>
      </c>
      <c r="F109" s="6" t="s">
        <v>339</v>
      </c>
      <c r="G109" s="6" t="s">
        <v>639</v>
      </c>
      <c r="H109" s="6" t="s">
        <v>341</v>
      </c>
    </row>
    <row r="110" spans="1:8">
      <c r="A110" s="6">
        <v>106</v>
      </c>
      <c r="B110" s="6" t="s">
        <v>637</v>
      </c>
      <c r="C110" s="6" t="s">
        <v>336</v>
      </c>
      <c r="D110" s="6" t="s">
        <v>640</v>
      </c>
      <c r="E110" s="6" t="s">
        <v>364</v>
      </c>
      <c r="F110" s="6" t="s">
        <v>339</v>
      </c>
      <c r="G110" s="6" t="s">
        <v>641</v>
      </c>
      <c r="H110" s="6" t="s">
        <v>341</v>
      </c>
    </row>
    <row r="111" spans="1:8">
      <c r="A111" s="6">
        <v>107</v>
      </c>
      <c r="B111" s="6" t="s">
        <v>642</v>
      </c>
      <c r="C111" s="6" t="s">
        <v>336</v>
      </c>
      <c r="D111" s="6" t="s">
        <v>643</v>
      </c>
      <c r="E111" s="6" t="s">
        <v>644</v>
      </c>
      <c r="F111" s="6" t="s">
        <v>339</v>
      </c>
      <c r="G111" s="6" t="s">
        <v>645</v>
      </c>
      <c r="H111" s="6" t="s">
        <v>341</v>
      </c>
    </row>
    <row r="112" spans="1:8">
      <c r="A112" s="6">
        <v>108</v>
      </c>
      <c r="B112" s="6" t="s">
        <v>646</v>
      </c>
      <c r="C112" s="6" t="s">
        <v>336</v>
      </c>
      <c r="D112" s="6" t="s">
        <v>647</v>
      </c>
      <c r="E112" s="6" t="s">
        <v>648</v>
      </c>
      <c r="F112" s="6" t="s">
        <v>339</v>
      </c>
      <c r="G112" s="6" t="s">
        <v>649</v>
      </c>
      <c r="H112" s="6" t="s">
        <v>341</v>
      </c>
    </row>
    <row r="113" spans="1:8">
      <c r="A113" s="6">
        <v>109</v>
      </c>
      <c r="B113" s="6" t="s">
        <v>646</v>
      </c>
      <c r="C113" s="6" t="s">
        <v>336</v>
      </c>
      <c r="D113" s="6" t="s">
        <v>650</v>
      </c>
      <c r="E113" s="6" t="s">
        <v>651</v>
      </c>
      <c r="F113" s="6" t="s">
        <v>339</v>
      </c>
      <c r="G113" s="6" t="s">
        <v>652</v>
      </c>
      <c r="H113" s="6" t="s">
        <v>341</v>
      </c>
    </row>
    <row r="114" spans="1:8">
      <c r="A114" s="6">
        <v>110</v>
      </c>
      <c r="B114" s="6" t="s">
        <v>646</v>
      </c>
      <c r="C114" s="6" t="s">
        <v>336</v>
      </c>
      <c r="D114" s="6" t="s">
        <v>653</v>
      </c>
      <c r="E114" s="6" t="s">
        <v>654</v>
      </c>
      <c r="F114" s="6" t="s">
        <v>339</v>
      </c>
      <c r="G114" s="6" t="s">
        <v>655</v>
      </c>
      <c r="H114" s="6" t="s">
        <v>341</v>
      </c>
    </row>
    <row r="115" spans="1:8">
      <c r="A115" s="6">
        <v>111</v>
      </c>
      <c r="B115" s="6" t="s">
        <v>646</v>
      </c>
      <c r="C115" s="6" t="s">
        <v>336</v>
      </c>
      <c r="D115" s="6" t="s">
        <v>656</v>
      </c>
      <c r="E115" s="6" t="s">
        <v>657</v>
      </c>
      <c r="F115" s="6" t="s">
        <v>339</v>
      </c>
      <c r="G115" s="6" t="s">
        <v>658</v>
      </c>
      <c r="H115" s="6" t="s">
        <v>341</v>
      </c>
    </row>
    <row r="116" spans="1:8">
      <c r="A116" s="6">
        <v>112</v>
      </c>
      <c r="B116" s="6" t="s">
        <v>646</v>
      </c>
      <c r="C116" s="6" t="s">
        <v>336</v>
      </c>
      <c r="D116" s="6" t="s">
        <v>659</v>
      </c>
      <c r="E116" s="6" t="s">
        <v>583</v>
      </c>
      <c r="F116" s="6" t="s">
        <v>339</v>
      </c>
      <c r="G116" s="6" t="s">
        <v>660</v>
      </c>
      <c r="H116" s="6" t="s">
        <v>341</v>
      </c>
    </row>
    <row r="117" spans="1:8">
      <c r="A117" s="6">
        <v>113</v>
      </c>
      <c r="B117" s="6" t="s">
        <v>661</v>
      </c>
      <c r="C117" s="6" t="s">
        <v>336</v>
      </c>
      <c r="D117" s="6" t="s">
        <v>662</v>
      </c>
      <c r="E117" s="6" t="s">
        <v>343</v>
      </c>
      <c r="F117" s="6" t="s">
        <v>339</v>
      </c>
      <c r="G117" s="6" t="s">
        <v>663</v>
      </c>
      <c r="H117" s="6" t="s">
        <v>341</v>
      </c>
    </row>
    <row r="118" spans="1:8">
      <c r="A118" s="6">
        <v>114</v>
      </c>
      <c r="B118" s="6" t="s">
        <v>661</v>
      </c>
      <c r="C118" s="6" t="s">
        <v>336</v>
      </c>
      <c r="D118" s="6" t="s">
        <v>664</v>
      </c>
      <c r="E118" s="6" t="s">
        <v>665</v>
      </c>
      <c r="F118" s="6" t="s">
        <v>339</v>
      </c>
      <c r="G118" s="6" t="s">
        <v>666</v>
      </c>
      <c r="H118" s="6" t="s">
        <v>341</v>
      </c>
    </row>
    <row r="119" spans="1:8">
      <c r="A119" s="6">
        <v>115</v>
      </c>
      <c r="B119" s="6" t="s">
        <v>661</v>
      </c>
      <c r="C119" s="6" t="s">
        <v>336</v>
      </c>
      <c r="D119" s="6" t="s">
        <v>667</v>
      </c>
      <c r="E119" s="6" t="s">
        <v>404</v>
      </c>
      <c r="F119" s="6" t="s">
        <v>339</v>
      </c>
      <c r="G119" s="6" t="s">
        <v>668</v>
      </c>
      <c r="H119" s="6" t="s">
        <v>341</v>
      </c>
    </row>
    <row r="120" spans="1:8">
      <c r="A120" s="6">
        <v>116</v>
      </c>
      <c r="B120" s="6" t="s">
        <v>661</v>
      </c>
      <c r="C120" s="6" t="s">
        <v>336</v>
      </c>
      <c r="D120" s="6" t="s">
        <v>669</v>
      </c>
      <c r="E120" s="6" t="s">
        <v>670</v>
      </c>
      <c r="F120" s="6" t="s">
        <v>339</v>
      </c>
      <c r="G120" s="6" t="s">
        <v>671</v>
      </c>
      <c r="H120" s="6" t="s">
        <v>341</v>
      </c>
    </row>
    <row r="121" spans="1:8">
      <c r="A121" s="6">
        <v>117</v>
      </c>
      <c r="B121" s="6" t="s">
        <v>661</v>
      </c>
      <c r="C121" s="6" t="s">
        <v>336</v>
      </c>
      <c r="D121" s="6" t="s">
        <v>672</v>
      </c>
      <c r="E121" s="6" t="s">
        <v>673</v>
      </c>
      <c r="F121" s="6" t="s">
        <v>339</v>
      </c>
      <c r="G121" s="6" t="s">
        <v>674</v>
      </c>
      <c r="H121" s="6" t="s">
        <v>341</v>
      </c>
    </row>
    <row r="122" spans="1:8">
      <c r="A122" s="6">
        <v>118</v>
      </c>
      <c r="B122" s="6" t="s">
        <v>675</v>
      </c>
      <c r="C122" s="6" t="s">
        <v>336</v>
      </c>
      <c r="D122" s="6" t="s">
        <v>676</v>
      </c>
      <c r="E122" s="6" t="s">
        <v>349</v>
      </c>
      <c r="F122" s="6" t="s">
        <v>339</v>
      </c>
      <c r="G122" s="6" t="s">
        <v>677</v>
      </c>
      <c r="H122" s="6" t="s">
        <v>341</v>
      </c>
    </row>
    <row r="123" spans="1:8">
      <c r="A123" s="6">
        <v>119</v>
      </c>
      <c r="B123" s="6" t="s">
        <v>675</v>
      </c>
      <c r="C123" s="6" t="s">
        <v>336</v>
      </c>
      <c r="D123" s="6" t="s">
        <v>678</v>
      </c>
      <c r="E123" s="6" t="s">
        <v>679</v>
      </c>
      <c r="F123" s="6" t="s">
        <v>339</v>
      </c>
      <c r="G123" s="6" t="s">
        <v>680</v>
      </c>
      <c r="H123" s="6" t="s">
        <v>341</v>
      </c>
    </row>
    <row r="124" spans="1:8">
      <c r="A124" s="6">
        <v>120</v>
      </c>
      <c r="B124" s="6" t="s">
        <v>681</v>
      </c>
      <c r="C124" s="6" t="s">
        <v>336</v>
      </c>
      <c r="D124" s="6" t="s">
        <v>682</v>
      </c>
      <c r="E124" s="6" t="s">
        <v>683</v>
      </c>
      <c r="F124" s="6" t="s">
        <v>339</v>
      </c>
      <c r="G124" s="6" t="s">
        <v>684</v>
      </c>
      <c r="H124" s="6" t="s">
        <v>341</v>
      </c>
    </row>
    <row r="125" spans="1:8">
      <c r="A125" s="6">
        <v>121</v>
      </c>
      <c r="B125" s="6" t="s">
        <v>685</v>
      </c>
      <c r="C125" s="6" t="s">
        <v>336</v>
      </c>
      <c r="D125" s="6" t="s">
        <v>686</v>
      </c>
      <c r="E125" s="6" t="s">
        <v>687</v>
      </c>
      <c r="F125" s="6" t="s">
        <v>339</v>
      </c>
      <c r="G125" s="6" t="s">
        <v>688</v>
      </c>
      <c r="H125" s="6" t="s">
        <v>341</v>
      </c>
    </row>
    <row r="126" spans="1:8">
      <c r="A126" s="6">
        <v>122</v>
      </c>
      <c r="B126" s="6" t="s">
        <v>685</v>
      </c>
      <c r="C126" s="6" t="s">
        <v>336</v>
      </c>
      <c r="D126" s="6" t="s">
        <v>689</v>
      </c>
      <c r="E126" s="6" t="s">
        <v>390</v>
      </c>
      <c r="F126" s="6" t="s">
        <v>339</v>
      </c>
      <c r="G126" s="6" t="s">
        <v>690</v>
      </c>
      <c r="H126" s="6" t="s">
        <v>341</v>
      </c>
    </row>
    <row r="127" spans="1:8">
      <c r="A127" s="6">
        <v>123</v>
      </c>
      <c r="B127" s="6" t="s">
        <v>685</v>
      </c>
      <c r="C127" s="6" t="s">
        <v>336</v>
      </c>
      <c r="D127" s="6" t="s">
        <v>691</v>
      </c>
      <c r="E127" s="6" t="s">
        <v>339</v>
      </c>
      <c r="F127" s="6" t="s">
        <v>687</v>
      </c>
      <c r="G127" s="6" t="s">
        <v>692</v>
      </c>
      <c r="H127" s="6" t="s">
        <v>388</v>
      </c>
    </row>
    <row r="128" spans="1:8">
      <c r="A128" s="6">
        <v>124</v>
      </c>
      <c r="B128" s="6" t="s">
        <v>693</v>
      </c>
      <c r="C128" s="6" t="s">
        <v>336</v>
      </c>
      <c r="D128" s="6" t="s">
        <v>694</v>
      </c>
      <c r="E128" s="6" t="s">
        <v>364</v>
      </c>
      <c r="F128" s="6" t="s">
        <v>339</v>
      </c>
      <c r="G128" s="6" t="s">
        <v>695</v>
      </c>
      <c r="H128" s="6" t="s">
        <v>341</v>
      </c>
    </row>
    <row r="129" spans="1:8">
      <c r="A129" s="6">
        <v>125</v>
      </c>
      <c r="B129" s="6" t="s">
        <v>696</v>
      </c>
      <c r="C129" s="6" t="s">
        <v>336</v>
      </c>
      <c r="D129" s="6" t="s">
        <v>469</v>
      </c>
      <c r="E129" s="6" t="s">
        <v>470</v>
      </c>
      <c r="F129" s="6" t="s">
        <v>339</v>
      </c>
      <c r="G129" s="6" t="s">
        <v>697</v>
      </c>
      <c r="H129" s="6" t="s">
        <v>341</v>
      </c>
    </row>
    <row r="130" spans="1:8">
      <c r="A130" s="6">
        <v>126</v>
      </c>
      <c r="B130" s="6" t="s">
        <v>696</v>
      </c>
      <c r="C130" s="6" t="s">
        <v>336</v>
      </c>
      <c r="D130" s="6" t="s">
        <v>472</v>
      </c>
      <c r="E130" s="6" t="s">
        <v>473</v>
      </c>
      <c r="F130" s="6" t="s">
        <v>339</v>
      </c>
      <c r="G130" s="6" t="s">
        <v>698</v>
      </c>
      <c r="H130" s="6" t="s">
        <v>341</v>
      </c>
    </row>
    <row r="131" spans="1:8">
      <c r="A131" s="6">
        <v>127</v>
      </c>
      <c r="B131" s="6" t="s">
        <v>699</v>
      </c>
      <c r="C131" s="6" t="s">
        <v>336</v>
      </c>
      <c r="D131" s="6" t="s">
        <v>700</v>
      </c>
      <c r="E131" s="6" t="s">
        <v>701</v>
      </c>
      <c r="F131" s="6" t="s">
        <v>339</v>
      </c>
      <c r="G131" s="6" t="s">
        <v>702</v>
      </c>
      <c r="H131" s="6" t="s">
        <v>341</v>
      </c>
    </row>
    <row r="132" spans="1:8">
      <c r="A132" s="6">
        <v>128</v>
      </c>
      <c r="B132" s="6" t="s">
        <v>703</v>
      </c>
      <c r="C132" s="6" t="s">
        <v>336</v>
      </c>
      <c r="D132" s="6" t="s">
        <v>704</v>
      </c>
      <c r="E132" s="6" t="s">
        <v>583</v>
      </c>
      <c r="F132" s="6" t="s">
        <v>339</v>
      </c>
      <c r="G132" s="6" t="s">
        <v>705</v>
      </c>
      <c r="H132" s="6" t="s">
        <v>341</v>
      </c>
    </row>
    <row r="133" spans="1:8">
      <c r="A133" s="6">
        <v>129</v>
      </c>
      <c r="B133" s="6" t="s">
        <v>706</v>
      </c>
      <c r="C133" s="6" t="s">
        <v>336</v>
      </c>
      <c r="D133" s="6" t="s">
        <v>707</v>
      </c>
      <c r="E133" s="6" t="s">
        <v>339</v>
      </c>
      <c r="F133" s="6" t="s">
        <v>708</v>
      </c>
      <c r="G133" s="6" t="s">
        <v>709</v>
      </c>
      <c r="H133" s="6" t="s">
        <v>388</v>
      </c>
    </row>
    <row r="134" spans="1:8">
      <c r="A134" s="6">
        <v>130</v>
      </c>
      <c r="B134" s="6" t="s">
        <v>706</v>
      </c>
      <c r="C134" s="6" t="s">
        <v>336</v>
      </c>
      <c r="D134" s="6" t="s">
        <v>710</v>
      </c>
      <c r="E134" s="6" t="s">
        <v>711</v>
      </c>
      <c r="F134" s="6" t="s">
        <v>339</v>
      </c>
      <c r="G134" s="6" t="s">
        <v>712</v>
      </c>
      <c r="H134" s="6" t="s">
        <v>341</v>
      </c>
    </row>
    <row r="135" spans="1:8">
      <c r="A135" s="6">
        <v>131</v>
      </c>
      <c r="B135" s="6" t="s">
        <v>713</v>
      </c>
      <c r="C135" s="6" t="s">
        <v>336</v>
      </c>
      <c r="D135" s="6" t="s">
        <v>714</v>
      </c>
      <c r="E135" s="6" t="s">
        <v>715</v>
      </c>
      <c r="F135" s="6" t="s">
        <v>339</v>
      </c>
      <c r="G135" s="6" t="s">
        <v>716</v>
      </c>
      <c r="H135" s="6" t="s">
        <v>341</v>
      </c>
    </row>
    <row r="136" spans="1:8">
      <c r="A136" s="6">
        <v>132</v>
      </c>
      <c r="B136" s="6" t="s">
        <v>713</v>
      </c>
      <c r="C136" s="6" t="s">
        <v>336</v>
      </c>
      <c r="D136" s="6" t="s">
        <v>717</v>
      </c>
      <c r="E136" s="6" t="s">
        <v>494</v>
      </c>
      <c r="F136" s="6" t="s">
        <v>339</v>
      </c>
      <c r="G136" s="6" t="s">
        <v>718</v>
      </c>
      <c r="H136" s="6" t="s">
        <v>341</v>
      </c>
    </row>
    <row r="137" spans="1:8">
      <c r="A137" s="6">
        <v>133</v>
      </c>
      <c r="B137" s="6" t="s">
        <v>719</v>
      </c>
      <c r="C137" s="6" t="s">
        <v>336</v>
      </c>
      <c r="D137" s="6" t="s">
        <v>720</v>
      </c>
      <c r="E137" s="6" t="s">
        <v>535</v>
      </c>
      <c r="F137" s="6" t="s">
        <v>339</v>
      </c>
      <c r="G137" s="6" t="s">
        <v>721</v>
      </c>
      <c r="H137" s="6" t="s">
        <v>341</v>
      </c>
    </row>
    <row r="138" spans="1:8">
      <c r="A138" s="6">
        <v>134</v>
      </c>
      <c r="B138" s="6" t="s">
        <v>719</v>
      </c>
      <c r="C138" s="6" t="s">
        <v>336</v>
      </c>
      <c r="D138" s="6" t="s">
        <v>722</v>
      </c>
      <c r="E138" s="6" t="s">
        <v>357</v>
      </c>
      <c r="F138" s="6" t="s">
        <v>339</v>
      </c>
      <c r="G138" s="6" t="s">
        <v>723</v>
      </c>
      <c r="H138" s="6" t="s">
        <v>341</v>
      </c>
    </row>
    <row r="139" spans="1:8">
      <c r="A139" s="6">
        <v>135</v>
      </c>
      <c r="B139" s="6" t="s">
        <v>724</v>
      </c>
      <c r="C139" s="6" t="s">
        <v>336</v>
      </c>
      <c r="D139" s="6" t="s">
        <v>725</v>
      </c>
      <c r="E139" s="6" t="s">
        <v>726</v>
      </c>
      <c r="F139" s="6" t="s">
        <v>339</v>
      </c>
      <c r="G139" s="6" t="s">
        <v>727</v>
      </c>
      <c r="H139" s="6" t="s">
        <v>341</v>
      </c>
    </row>
    <row r="140" spans="1:8">
      <c r="A140" s="6">
        <v>136</v>
      </c>
      <c r="B140" s="6" t="s">
        <v>728</v>
      </c>
      <c r="C140" s="6" t="s">
        <v>336</v>
      </c>
      <c r="D140" s="6" t="s">
        <v>729</v>
      </c>
      <c r="E140" s="6" t="s">
        <v>730</v>
      </c>
      <c r="F140" s="6" t="s">
        <v>339</v>
      </c>
      <c r="G140" s="6" t="s">
        <v>731</v>
      </c>
      <c r="H140" s="6" t="s">
        <v>341</v>
      </c>
    </row>
    <row r="141" spans="1:8">
      <c r="A141" s="6">
        <v>137</v>
      </c>
      <c r="B141" s="6" t="s">
        <v>732</v>
      </c>
      <c r="C141" s="6" t="s">
        <v>336</v>
      </c>
      <c r="D141" s="6" t="s">
        <v>733</v>
      </c>
      <c r="E141" s="6" t="s">
        <v>734</v>
      </c>
      <c r="F141" s="6" t="s">
        <v>339</v>
      </c>
      <c r="G141" s="6" t="s">
        <v>735</v>
      </c>
      <c r="H141" s="6" t="s">
        <v>341</v>
      </c>
    </row>
    <row r="142" spans="1:8">
      <c r="A142" s="6">
        <v>138</v>
      </c>
      <c r="B142" s="6" t="s">
        <v>732</v>
      </c>
      <c r="C142" s="6" t="s">
        <v>336</v>
      </c>
      <c r="D142" s="6" t="s">
        <v>736</v>
      </c>
      <c r="E142" s="6" t="s">
        <v>349</v>
      </c>
      <c r="F142" s="6" t="s">
        <v>339</v>
      </c>
      <c r="G142" s="6" t="s">
        <v>737</v>
      </c>
      <c r="H142" s="6" t="s">
        <v>341</v>
      </c>
    </row>
    <row r="143" spans="1:8">
      <c r="A143" s="6">
        <v>139</v>
      </c>
      <c r="B143" s="6" t="s">
        <v>738</v>
      </c>
      <c r="C143" s="6" t="s">
        <v>336</v>
      </c>
      <c r="D143" s="6" t="s">
        <v>739</v>
      </c>
      <c r="E143" s="6" t="s">
        <v>494</v>
      </c>
      <c r="F143" s="6" t="s">
        <v>339</v>
      </c>
      <c r="G143" s="6" t="s">
        <v>740</v>
      </c>
      <c r="H143" s="6" t="s">
        <v>341</v>
      </c>
    </row>
    <row r="144" spans="1:8">
      <c r="A144" s="6">
        <v>140</v>
      </c>
      <c r="B144" s="6" t="s">
        <v>738</v>
      </c>
      <c r="C144" s="6" t="s">
        <v>336</v>
      </c>
      <c r="D144" s="6" t="s">
        <v>741</v>
      </c>
      <c r="E144" s="6" t="s">
        <v>742</v>
      </c>
      <c r="F144" s="6" t="s">
        <v>339</v>
      </c>
      <c r="G144" s="6" t="s">
        <v>743</v>
      </c>
      <c r="H144" s="6" t="s">
        <v>341</v>
      </c>
    </row>
    <row r="145" spans="1:8">
      <c r="A145" s="6">
        <v>141</v>
      </c>
      <c r="B145" s="6" t="s">
        <v>738</v>
      </c>
      <c r="C145" s="6" t="s">
        <v>336</v>
      </c>
      <c r="D145" s="6" t="s">
        <v>744</v>
      </c>
      <c r="E145" s="6" t="s">
        <v>339</v>
      </c>
      <c r="F145" s="6" t="s">
        <v>745</v>
      </c>
      <c r="G145" s="6" t="s">
        <v>746</v>
      </c>
      <c r="H145" s="6" t="s">
        <v>388</v>
      </c>
    </row>
    <row r="146" spans="1:8">
      <c r="A146" s="6">
        <v>142</v>
      </c>
      <c r="B146" s="6" t="s">
        <v>738</v>
      </c>
      <c r="C146" s="6" t="s">
        <v>336</v>
      </c>
      <c r="D146" s="6" t="s">
        <v>747</v>
      </c>
      <c r="E146" s="6" t="s">
        <v>494</v>
      </c>
      <c r="F146" s="6" t="s">
        <v>339</v>
      </c>
      <c r="G146" s="6" t="s">
        <v>748</v>
      </c>
      <c r="H146" s="6" t="s">
        <v>341</v>
      </c>
    </row>
    <row r="147" spans="1:8">
      <c r="A147" s="6">
        <v>143</v>
      </c>
      <c r="B147" s="6" t="s">
        <v>749</v>
      </c>
      <c r="C147" s="6" t="s">
        <v>336</v>
      </c>
      <c r="D147" s="6" t="s">
        <v>750</v>
      </c>
      <c r="E147" s="6" t="s">
        <v>751</v>
      </c>
      <c r="F147" s="6" t="s">
        <v>339</v>
      </c>
      <c r="G147" s="6" t="s">
        <v>752</v>
      </c>
      <c r="H147" s="6" t="s">
        <v>341</v>
      </c>
    </row>
    <row r="148" spans="1:8">
      <c r="A148" s="6">
        <v>144</v>
      </c>
      <c r="B148" s="6" t="s">
        <v>749</v>
      </c>
      <c r="C148" s="6" t="s">
        <v>753</v>
      </c>
      <c r="D148" s="6" t="s">
        <v>754</v>
      </c>
      <c r="E148" s="6" t="s">
        <v>339</v>
      </c>
      <c r="F148" s="6" t="s">
        <v>755</v>
      </c>
      <c r="G148" s="6" t="s">
        <v>756</v>
      </c>
    </row>
    <row r="149" spans="1:8">
      <c r="A149" s="6">
        <v>145</v>
      </c>
      <c r="B149" s="6" t="s">
        <v>749</v>
      </c>
      <c r="C149" s="6" t="s">
        <v>336</v>
      </c>
      <c r="D149" s="6" t="s">
        <v>757</v>
      </c>
      <c r="E149" s="6" t="s">
        <v>349</v>
      </c>
      <c r="F149" s="6" t="s">
        <v>339</v>
      </c>
      <c r="G149" s="6" t="s">
        <v>758</v>
      </c>
      <c r="H149" s="6" t="s">
        <v>341</v>
      </c>
    </row>
    <row r="150" spans="1:8">
      <c r="A150" s="6">
        <v>146</v>
      </c>
      <c r="B150" s="6" t="s">
        <v>749</v>
      </c>
      <c r="C150" s="6" t="s">
        <v>336</v>
      </c>
      <c r="D150" s="6" t="s">
        <v>759</v>
      </c>
      <c r="E150" s="6" t="s">
        <v>760</v>
      </c>
      <c r="F150" s="6" t="s">
        <v>339</v>
      </c>
      <c r="G150" s="6" t="s">
        <v>761</v>
      </c>
      <c r="H150" s="6" t="s">
        <v>341</v>
      </c>
    </row>
    <row r="151" spans="1:8">
      <c r="A151" s="6">
        <v>147</v>
      </c>
      <c r="B151" s="6" t="s">
        <v>749</v>
      </c>
      <c r="C151" s="6" t="s">
        <v>336</v>
      </c>
      <c r="D151" s="6" t="s">
        <v>762</v>
      </c>
      <c r="E151" s="6" t="s">
        <v>494</v>
      </c>
      <c r="F151" s="6" t="s">
        <v>339</v>
      </c>
      <c r="G151" s="6" t="s">
        <v>763</v>
      </c>
      <c r="H151" s="6" t="s">
        <v>341</v>
      </c>
    </row>
    <row r="152" spans="1:8">
      <c r="A152" s="6">
        <v>148</v>
      </c>
      <c r="B152" s="6" t="s">
        <v>764</v>
      </c>
      <c r="C152" s="6" t="s">
        <v>336</v>
      </c>
      <c r="D152" s="6" t="s">
        <v>765</v>
      </c>
      <c r="E152" s="6" t="s">
        <v>494</v>
      </c>
      <c r="F152" s="6" t="s">
        <v>339</v>
      </c>
      <c r="G152" s="6" t="s">
        <v>766</v>
      </c>
      <c r="H152" s="6" t="s">
        <v>341</v>
      </c>
    </row>
    <row r="153" spans="1:8">
      <c r="A153" s="6">
        <v>149</v>
      </c>
      <c r="B153" s="6" t="s">
        <v>767</v>
      </c>
      <c r="C153" s="6" t="s">
        <v>336</v>
      </c>
      <c r="D153" s="6" t="s">
        <v>768</v>
      </c>
      <c r="E153" s="6" t="s">
        <v>769</v>
      </c>
      <c r="F153" s="6" t="s">
        <v>339</v>
      </c>
      <c r="G153" s="6" t="s">
        <v>770</v>
      </c>
      <c r="H153" s="6" t="s">
        <v>341</v>
      </c>
    </row>
    <row r="154" spans="1:8">
      <c r="A154" s="6">
        <v>150</v>
      </c>
      <c r="B154" s="6" t="s">
        <v>767</v>
      </c>
      <c r="C154" s="6" t="s">
        <v>336</v>
      </c>
      <c r="D154" s="6" t="s">
        <v>771</v>
      </c>
      <c r="E154" s="6" t="s">
        <v>772</v>
      </c>
      <c r="F154" s="6" t="s">
        <v>339</v>
      </c>
      <c r="G154" s="6" t="s">
        <v>773</v>
      </c>
      <c r="H154" s="6" t="s">
        <v>341</v>
      </c>
    </row>
    <row r="155" spans="1:8">
      <c r="A155" s="6">
        <v>151</v>
      </c>
      <c r="B155" s="6" t="s">
        <v>774</v>
      </c>
      <c r="C155" s="6" t="s">
        <v>336</v>
      </c>
      <c r="D155" s="6" t="s">
        <v>775</v>
      </c>
      <c r="E155" s="6" t="s">
        <v>494</v>
      </c>
      <c r="F155" s="6" t="s">
        <v>339</v>
      </c>
      <c r="G155" s="6" t="s">
        <v>776</v>
      </c>
      <c r="H155" s="6" t="s">
        <v>341</v>
      </c>
    </row>
    <row r="156" spans="1:8">
      <c r="A156" s="6">
        <v>152</v>
      </c>
      <c r="B156" s="6" t="s">
        <v>774</v>
      </c>
      <c r="C156" s="6" t="s">
        <v>336</v>
      </c>
      <c r="D156" s="6" t="s">
        <v>777</v>
      </c>
      <c r="E156" s="6" t="s">
        <v>778</v>
      </c>
      <c r="F156" s="6" t="s">
        <v>339</v>
      </c>
      <c r="G156" s="6" t="s">
        <v>779</v>
      </c>
      <c r="H156" s="6" t="s">
        <v>341</v>
      </c>
    </row>
    <row r="157" spans="1:8">
      <c r="A157" s="6">
        <v>153</v>
      </c>
      <c r="B157" s="6" t="s">
        <v>774</v>
      </c>
      <c r="C157" s="6" t="s">
        <v>336</v>
      </c>
      <c r="D157" s="6" t="s">
        <v>780</v>
      </c>
      <c r="E157" s="6" t="s">
        <v>364</v>
      </c>
      <c r="F157" s="6" t="s">
        <v>339</v>
      </c>
      <c r="G157" s="6" t="s">
        <v>781</v>
      </c>
      <c r="H157" s="6" t="s">
        <v>341</v>
      </c>
    </row>
    <row r="158" spans="1:8">
      <c r="A158" s="6">
        <v>154</v>
      </c>
      <c r="B158" s="6" t="s">
        <v>782</v>
      </c>
      <c r="C158" s="6" t="s">
        <v>336</v>
      </c>
      <c r="D158" s="6" t="s">
        <v>783</v>
      </c>
      <c r="E158" s="6" t="s">
        <v>784</v>
      </c>
      <c r="F158" s="6" t="s">
        <v>339</v>
      </c>
      <c r="G158" s="6" t="s">
        <v>785</v>
      </c>
      <c r="H158" s="6" t="s">
        <v>341</v>
      </c>
    </row>
    <row r="159" spans="1:8">
      <c r="A159" s="6">
        <v>155</v>
      </c>
      <c r="B159" s="6" t="s">
        <v>786</v>
      </c>
      <c r="C159" s="6" t="s">
        <v>336</v>
      </c>
      <c r="D159" s="6" t="s">
        <v>787</v>
      </c>
      <c r="E159" s="6" t="s">
        <v>339</v>
      </c>
      <c r="F159" s="6" t="s">
        <v>467</v>
      </c>
      <c r="G159" s="6" t="s">
        <v>788</v>
      </c>
      <c r="H159" s="6" t="s">
        <v>341</v>
      </c>
    </row>
    <row r="160" spans="1:8">
      <c r="A160" s="6">
        <v>156</v>
      </c>
      <c r="B160" s="6" t="s">
        <v>786</v>
      </c>
      <c r="C160" s="6" t="s">
        <v>789</v>
      </c>
      <c r="D160" s="6" t="s">
        <v>790</v>
      </c>
      <c r="E160" s="6" t="s">
        <v>791</v>
      </c>
      <c r="F160" s="6" t="s">
        <v>339</v>
      </c>
      <c r="G160" s="6" t="s">
        <v>792</v>
      </c>
      <c r="H160" s="6" t="s">
        <v>441</v>
      </c>
    </row>
    <row r="161" spans="1:8">
      <c r="A161" s="6">
        <v>157</v>
      </c>
      <c r="B161" s="6" t="s">
        <v>786</v>
      </c>
      <c r="C161" s="6" t="s">
        <v>336</v>
      </c>
      <c r="D161" s="6" t="s">
        <v>793</v>
      </c>
      <c r="E161" s="6" t="s">
        <v>494</v>
      </c>
      <c r="F161" s="6" t="s">
        <v>339</v>
      </c>
      <c r="G161" s="6" t="s">
        <v>794</v>
      </c>
      <c r="H161" s="6" t="s">
        <v>341</v>
      </c>
    </row>
    <row r="162" spans="1:8">
      <c r="A162" s="6">
        <v>158</v>
      </c>
      <c r="B162" s="6" t="s">
        <v>786</v>
      </c>
      <c r="C162" s="6" t="s">
        <v>336</v>
      </c>
      <c r="D162" s="6" t="s">
        <v>795</v>
      </c>
      <c r="E162" s="6" t="s">
        <v>796</v>
      </c>
      <c r="F162" s="6" t="s">
        <v>339</v>
      </c>
      <c r="G162" s="6" t="s">
        <v>797</v>
      </c>
      <c r="H162" s="6" t="s">
        <v>341</v>
      </c>
    </row>
    <row r="163" spans="1:8">
      <c r="A163" s="6">
        <v>159</v>
      </c>
      <c r="B163" s="6" t="s">
        <v>786</v>
      </c>
      <c r="C163" s="6" t="s">
        <v>336</v>
      </c>
      <c r="D163" s="6" t="s">
        <v>798</v>
      </c>
      <c r="E163" s="6" t="s">
        <v>369</v>
      </c>
      <c r="F163" s="6" t="s">
        <v>339</v>
      </c>
      <c r="G163" s="6" t="s">
        <v>799</v>
      </c>
      <c r="H163" s="6" t="s">
        <v>341</v>
      </c>
    </row>
    <row r="164" spans="1:8">
      <c r="A164" s="6">
        <v>160</v>
      </c>
      <c r="B164" s="6" t="s">
        <v>786</v>
      </c>
      <c r="C164" s="6" t="s">
        <v>336</v>
      </c>
      <c r="D164" s="6" t="s">
        <v>800</v>
      </c>
      <c r="E164" s="6" t="s">
        <v>447</v>
      </c>
      <c r="F164" s="6" t="s">
        <v>339</v>
      </c>
      <c r="G164" s="6" t="s">
        <v>801</v>
      </c>
      <c r="H164" s="6" t="s">
        <v>341</v>
      </c>
    </row>
    <row r="165" spans="1:8">
      <c r="A165" s="6">
        <v>161</v>
      </c>
      <c r="B165" s="6" t="s">
        <v>802</v>
      </c>
      <c r="C165" s="6" t="s">
        <v>336</v>
      </c>
      <c r="D165" s="6" t="s">
        <v>803</v>
      </c>
      <c r="E165" s="6" t="s">
        <v>804</v>
      </c>
      <c r="F165" s="6" t="s">
        <v>339</v>
      </c>
      <c r="G165" s="6" t="s">
        <v>805</v>
      </c>
      <c r="H165" s="6" t="s">
        <v>341</v>
      </c>
    </row>
    <row r="166" spans="1:8">
      <c r="A166" s="6">
        <v>162</v>
      </c>
      <c r="B166" s="6" t="s">
        <v>802</v>
      </c>
      <c r="C166" s="6" t="s">
        <v>336</v>
      </c>
      <c r="D166" s="6" t="s">
        <v>806</v>
      </c>
      <c r="E166" s="6" t="s">
        <v>807</v>
      </c>
      <c r="F166" s="6" t="s">
        <v>339</v>
      </c>
      <c r="G166" s="6" t="s">
        <v>808</v>
      </c>
      <c r="H166" s="6" t="s">
        <v>341</v>
      </c>
    </row>
    <row r="167" spans="1:8">
      <c r="A167" s="6">
        <v>163</v>
      </c>
      <c r="B167" s="6" t="s">
        <v>802</v>
      </c>
      <c r="C167" s="6" t="s">
        <v>336</v>
      </c>
      <c r="D167" s="6" t="s">
        <v>809</v>
      </c>
      <c r="E167" s="6" t="s">
        <v>494</v>
      </c>
      <c r="F167" s="6" t="s">
        <v>339</v>
      </c>
      <c r="G167" s="6" t="s">
        <v>810</v>
      </c>
      <c r="H167" s="6" t="s">
        <v>341</v>
      </c>
    </row>
    <row r="168" spans="1:8">
      <c r="A168" s="6">
        <v>164</v>
      </c>
      <c r="B168" s="6" t="s">
        <v>802</v>
      </c>
      <c r="C168" s="6" t="s">
        <v>336</v>
      </c>
      <c r="D168" s="6" t="s">
        <v>811</v>
      </c>
      <c r="E168" s="6" t="s">
        <v>494</v>
      </c>
      <c r="F168" s="6" t="s">
        <v>339</v>
      </c>
      <c r="G168" s="6" t="s">
        <v>812</v>
      </c>
      <c r="H168" s="6" t="s">
        <v>341</v>
      </c>
    </row>
    <row r="169" spans="1:8">
      <c r="A169" s="6">
        <v>165</v>
      </c>
      <c r="B169" s="6" t="s">
        <v>802</v>
      </c>
      <c r="C169" s="6" t="s">
        <v>336</v>
      </c>
      <c r="D169" s="6" t="s">
        <v>813</v>
      </c>
      <c r="E169" s="6" t="s">
        <v>814</v>
      </c>
      <c r="F169" s="6" t="s">
        <v>339</v>
      </c>
      <c r="G169" s="6" t="s">
        <v>815</v>
      </c>
      <c r="H169" s="6" t="s">
        <v>341</v>
      </c>
    </row>
    <row r="170" spans="1:8">
      <c r="A170" s="6">
        <v>166</v>
      </c>
      <c r="B170" s="6" t="s">
        <v>802</v>
      </c>
      <c r="C170" s="6" t="s">
        <v>816</v>
      </c>
      <c r="D170" s="6" t="s">
        <v>817</v>
      </c>
      <c r="E170" s="6" t="s">
        <v>339</v>
      </c>
      <c r="F170" s="6" t="s">
        <v>818</v>
      </c>
      <c r="G170" s="6" t="s">
        <v>819</v>
      </c>
    </row>
    <row r="171" spans="1:8">
      <c r="A171" s="6">
        <v>167</v>
      </c>
      <c r="B171" s="6" t="s">
        <v>820</v>
      </c>
      <c r="C171" s="6" t="s">
        <v>336</v>
      </c>
      <c r="D171" s="6" t="s">
        <v>821</v>
      </c>
      <c r="E171" s="6" t="s">
        <v>349</v>
      </c>
      <c r="F171" s="6" t="s">
        <v>339</v>
      </c>
      <c r="G171" s="6" t="s">
        <v>822</v>
      </c>
      <c r="H171" s="6" t="s">
        <v>341</v>
      </c>
    </row>
    <row r="172" spans="1:8">
      <c r="A172" s="6">
        <v>168</v>
      </c>
      <c r="B172" s="6" t="s">
        <v>820</v>
      </c>
      <c r="C172" s="6" t="s">
        <v>336</v>
      </c>
      <c r="D172" s="6" t="s">
        <v>823</v>
      </c>
      <c r="E172" s="6" t="s">
        <v>824</v>
      </c>
      <c r="F172" s="6" t="s">
        <v>339</v>
      </c>
      <c r="G172" s="6" t="s">
        <v>825</v>
      </c>
      <c r="H172" s="6" t="s">
        <v>341</v>
      </c>
    </row>
    <row r="173" spans="1:8">
      <c r="A173" s="6">
        <v>169</v>
      </c>
      <c r="B173" s="6" t="s">
        <v>820</v>
      </c>
      <c r="C173" s="6" t="s">
        <v>336</v>
      </c>
      <c r="D173" s="6" t="s">
        <v>826</v>
      </c>
      <c r="E173" s="6" t="s">
        <v>827</v>
      </c>
      <c r="F173" s="6" t="s">
        <v>339</v>
      </c>
      <c r="G173" s="6" t="s">
        <v>828</v>
      </c>
      <c r="H173" s="6" t="s">
        <v>341</v>
      </c>
    </row>
    <row r="174" spans="1:8">
      <c r="A174" s="6">
        <v>170</v>
      </c>
      <c r="B174" s="6" t="s">
        <v>829</v>
      </c>
      <c r="C174" s="6" t="s">
        <v>336</v>
      </c>
      <c r="D174" s="6" t="s">
        <v>830</v>
      </c>
      <c r="E174" s="6" t="s">
        <v>831</v>
      </c>
      <c r="F174" s="6" t="s">
        <v>339</v>
      </c>
      <c r="G174" s="6" t="s">
        <v>832</v>
      </c>
      <c r="H174" s="6" t="s">
        <v>341</v>
      </c>
    </row>
    <row r="175" spans="1:8">
      <c r="A175" s="6">
        <v>171</v>
      </c>
      <c r="B175" s="6" t="s">
        <v>829</v>
      </c>
      <c r="C175" s="6" t="s">
        <v>336</v>
      </c>
      <c r="D175" s="6" t="s">
        <v>833</v>
      </c>
      <c r="E175" s="6" t="s">
        <v>834</v>
      </c>
      <c r="F175" s="6" t="s">
        <v>339</v>
      </c>
      <c r="G175" s="6" t="s">
        <v>835</v>
      </c>
      <c r="H175" s="6" t="s">
        <v>341</v>
      </c>
    </row>
    <row r="176" spans="1:8">
      <c r="A176" s="6">
        <v>172</v>
      </c>
      <c r="B176" s="6" t="s">
        <v>836</v>
      </c>
      <c r="C176" s="6" t="s">
        <v>336</v>
      </c>
      <c r="D176" s="6" t="s">
        <v>837</v>
      </c>
      <c r="E176" s="6" t="s">
        <v>838</v>
      </c>
      <c r="F176" s="6" t="s">
        <v>339</v>
      </c>
      <c r="G176" s="6" t="s">
        <v>839</v>
      </c>
      <c r="H176" s="6" t="s">
        <v>341</v>
      </c>
    </row>
    <row r="177" spans="1:8">
      <c r="A177" s="6">
        <v>173</v>
      </c>
      <c r="B177" s="6" t="s">
        <v>836</v>
      </c>
      <c r="C177" s="6" t="s">
        <v>336</v>
      </c>
      <c r="D177" s="6" t="s">
        <v>840</v>
      </c>
      <c r="E177" s="6" t="s">
        <v>349</v>
      </c>
      <c r="F177" s="6" t="s">
        <v>339</v>
      </c>
      <c r="G177" s="6" t="s">
        <v>841</v>
      </c>
      <c r="H177" s="6" t="s">
        <v>341</v>
      </c>
    </row>
    <row r="178" spans="1:8">
      <c r="A178" s="6">
        <v>174</v>
      </c>
      <c r="B178" s="6" t="s">
        <v>836</v>
      </c>
      <c r="C178" s="6" t="s">
        <v>336</v>
      </c>
      <c r="D178" s="6" t="s">
        <v>842</v>
      </c>
      <c r="E178" s="6" t="s">
        <v>349</v>
      </c>
      <c r="F178" s="6" t="s">
        <v>339</v>
      </c>
      <c r="G178" s="6" t="s">
        <v>843</v>
      </c>
      <c r="H178" s="6" t="s">
        <v>341</v>
      </c>
    </row>
    <row r="179" spans="1:8">
      <c r="A179" s="6">
        <v>175</v>
      </c>
      <c r="B179" s="6" t="s">
        <v>844</v>
      </c>
      <c r="C179" s="6" t="s">
        <v>336</v>
      </c>
      <c r="D179" s="6" t="s">
        <v>845</v>
      </c>
      <c r="E179" s="6" t="s">
        <v>846</v>
      </c>
      <c r="F179" s="6" t="s">
        <v>339</v>
      </c>
      <c r="G179" s="6" t="s">
        <v>847</v>
      </c>
      <c r="H179" s="6" t="s">
        <v>341</v>
      </c>
    </row>
    <row r="180" spans="1:8">
      <c r="A180" s="6">
        <v>176</v>
      </c>
      <c r="B180" s="6" t="s">
        <v>844</v>
      </c>
      <c r="C180" s="6" t="s">
        <v>336</v>
      </c>
      <c r="D180" s="6" t="s">
        <v>848</v>
      </c>
      <c r="E180" s="6" t="s">
        <v>849</v>
      </c>
      <c r="F180" s="6" t="s">
        <v>339</v>
      </c>
      <c r="G180" s="6" t="s">
        <v>850</v>
      </c>
      <c r="H180" s="6" t="s">
        <v>341</v>
      </c>
    </row>
    <row r="181" spans="1:8">
      <c r="A181" s="6">
        <v>177</v>
      </c>
      <c r="B181" s="6" t="s">
        <v>844</v>
      </c>
      <c r="C181" s="6" t="s">
        <v>336</v>
      </c>
      <c r="D181" s="6" t="s">
        <v>851</v>
      </c>
      <c r="E181" s="6" t="s">
        <v>852</v>
      </c>
      <c r="F181" s="6" t="s">
        <v>339</v>
      </c>
      <c r="G181" s="6" t="s">
        <v>853</v>
      </c>
      <c r="H181" s="6" t="s">
        <v>341</v>
      </c>
    </row>
    <row r="182" spans="1:8">
      <c r="A182" s="6">
        <v>178</v>
      </c>
      <c r="B182" s="6" t="s">
        <v>844</v>
      </c>
      <c r="C182" s="6" t="s">
        <v>336</v>
      </c>
      <c r="D182" s="6" t="s">
        <v>854</v>
      </c>
      <c r="E182" s="6" t="s">
        <v>855</v>
      </c>
      <c r="F182" s="6" t="s">
        <v>339</v>
      </c>
      <c r="G182" s="6" t="s">
        <v>856</v>
      </c>
      <c r="H182" s="6" t="s">
        <v>341</v>
      </c>
    </row>
    <row r="183" spans="1:8">
      <c r="A183" s="6">
        <v>179</v>
      </c>
      <c r="B183" s="6" t="s">
        <v>857</v>
      </c>
      <c r="C183" s="6" t="s">
        <v>336</v>
      </c>
      <c r="D183" s="6" t="s">
        <v>858</v>
      </c>
      <c r="E183" s="6" t="s">
        <v>859</v>
      </c>
      <c r="F183" s="6" t="s">
        <v>339</v>
      </c>
      <c r="G183" s="6" t="s">
        <v>860</v>
      </c>
      <c r="H183" s="6" t="s">
        <v>341</v>
      </c>
    </row>
    <row r="184" spans="1:8">
      <c r="A184" s="6">
        <v>180</v>
      </c>
      <c r="B184" s="6" t="s">
        <v>857</v>
      </c>
      <c r="C184" s="6" t="s">
        <v>336</v>
      </c>
      <c r="D184" s="6" t="s">
        <v>861</v>
      </c>
      <c r="E184" s="6" t="s">
        <v>369</v>
      </c>
      <c r="F184" s="6" t="s">
        <v>339</v>
      </c>
      <c r="G184" s="6" t="s">
        <v>862</v>
      </c>
      <c r="H184" s="6" t="s">
        <v>341</v>
      </c>
    </row>
    <row r="185" spans="1:8">
      <c r="A185" s="6">
        <v>181</v>
      </c>
      <c r="B185" s="6" t="s">
        <v>857</v>
      </c>
      <c r="C185" s="6" t="s">
        <v>336</v>
      </c>
      <c r="D185" s="6" t="s">
        <v>863</v>
      </c>
      <c r="E185" s="6" t="s">
        <v>339</v>
      </c>
      <c r="F185" s="6" t="s">
        <v>859</v>
      </c>
      <c r="G185" s="6" t="s">
        <v>864</v>
      </c>
      <c r="H185" s="6" t="s">
        <v>388</v>
      </c>
    </row>
    <row r="186" spans="1:8">
      <c r="A186" s="6">
        <v>182</v>
      </c>
      <c r="B186" s="6" t="s">
        <v>857</v>
      </c>
      <c r="C186" s="6" t="s">
        <v>336</v>
      </c>
      <c r="D186" s="6" t="s">
        <v>865</v>
      </c>
      <c r="E186" s="6" t="s">
        <v>866</v>
      </c>
      <c r="F186" s="6" t="s">
        <v>339</v>
      </c>
      <c r="G186" s="6" t="s">
        <v>867</v>
      </c>
      <c r="H186" s="6" t="s">
        <v>341</v>
      </c>
    </row>
    <row r="187" spans="1:8">
      <c r="A187" s="6">
        <v>183</v>
      </c>
      <c r="B187" s="6" t="s">
        <v>857</v>
      </c>
      <c r="C187" s="6" t="s">
        <v>336</v>
      </c>
      <c r="D187" s="6" t="s">
        <v>868</v>
      </c>
      <c r="E187" s="6" t="s">
        <v>869</v>
      </c>
      <c r="F187" s="6" t="s">
        <v>339</v>
      </c>
      <c r="G187" s="6" t="s">
        <v>870</v>
      </c>
      <c r="H187" s="6" t="s">
        <v>341</v>
      </c>
    </row>
    <row r="188" spans="1:8">
      <c r="A188" s="6">
        <v>184</v>
      </c>
      <c r="B188" s="6" t="s">
        <v>857</v>
      </c>
      <c r="C188" s="6" t="s">
        <v>336</v>
      </c>
      <c r="D188" s="6" t="s">
        <v>871</v>
      </c>
      <c r="E188" s="6" t="s">
        <v>872</v>
      </c>
      <c r="F188" s="6" t="s">
        <v>339</v>
      </c>
      <c r="G188" s="6" t="s">
        <v>873</v>
      </c>
      <c r="H188" s="6" t="s">
        <v>341</v>
      </c>
    </row>
    <row r="189" spans="1:8">
      <c r="A189" s="6">
        <v>185</v>
      </c>
      <c r="B189" s="6" t="s">
        <v>857</v>
      </c>
      <c r="C189" s="6" t="s">
        <v>336</v>
      </c>
      <c r="D189" s="6" t="s">
        <v>874</v>
      </c>
      <c r="E189" s="6" t="s">
        <v>875</v>
      </c>
      <c r="F189" s="6" t="s">
        <v>339</v>
      </c>
      <c r="G189" s="6" t="s">
        <v>876</v>
      </c>
      <c r="H189" s="6" t="s">
        <v>341</v>
      </c>
    </row>
    <row r="190" spans="1:8">
      <c r="A190" s="6">
        <v>186</v>
      </c>
      <c r="B190" s="6" t="s">
        <v>857</v>
      </c>
      <c r="C190" s="6" t="s">
        <v>336</v>
      </c>
      <c r="D190" s="6" t="s">
        <v>877</v>
      </c>
      <c r="E190" s="6" t="s">
        <v>878</v>
      </c>
      <c r="F190" s="6" t="s">
        <v>339</v>
      </c>
      <c r="G190" s="6" t="s">
        <v>879</v>
      </c>
      <c r="H190" s="6" t="s">
        <v>341</v>
      </c>
    </row>
    <row r="191" spans="1:8">
      <c r="A191" s="6">
        <v>187</v>
      </c>
      <c r="B191" s="6" t="s">
        <v>857</v>
      </c>
      <c r="C191" s="6" t="s">
        <v>336</v>
      </c>
      <c r="D191" s="6" t="s">
        <v>880</v>
      </c>
      <c r="E191" s="6" t="s">
        <v>881</v>
      </c>
      <c r="F191" s="6" t="s">
        <v>339</v>
      </c>
      <c r="G191" s="6" t="s">
        <v>882</v>
      </c>
      <c r="H191" s="6" t="s">
        <v>341</v>
      </c>
    </row>
    <row r="192" spans="1:8">
      <c r="A192" s="6">
        <v>188</v>
      </c>
      <c r="B192" s="6" t="s">
        <v>857</v>
      </c>
      <c r="C192" s="6" t="s">
        <v>336</v>
      </c>
      <c r="D192" s="6" t="s">
        <v>883</v>
      </c>
      <c r="E192" s="6" t="s">
        <v>884</v>
      </c>
      <c r="F192" s="6" t="s">
        <v>339</v>
      </c>
      <c r="G192" s="6" t="s">
        <v>885</v>
      </c>
      <c r="H192" s="6" t="s">
        <v>341</v>
      </c>
    </row>
    <row r="193" spans="1:8">
      <c r="A193" s="6">
        <v>189</v>
      </c>
      <c r="B193" s="6" t="s">
        <v>886</v>
      </c>
      <c r="C193" s="6" t="s">
        <v>336</v>
      </c>
      <c r="D193" s="6" t="s">
        <v>887</v>
      </c>
      <c r="E193" s="6" t="s">
        <v>494</v>
      </c>
      <c r="F193" s="6" t="s">
        <v>339</v>
      </c>
      <c r="G193" s="6" t="s">
        <v>888</v>
      </c>
      <c r="H193" s="6" t="s">
        <v>341</v>
      </c>
    </row>
    <row r="194" spans="1:8">
      <c r="A194" s="6">
        <v>190</v>
      </c>
      <c r="B194" s="6" t="s">
        <v>886</v>
      </c>
      <c r="C194" s="6" t="s">
        <v>336</v>
      </c>
      <c r="D194" s="6" t="s">
        <v>889</v>
      </c>
      <c r="E194" s="6" t="s">
        <v>339</v>
      </c>
      <c r="F194" s="6" t="s">
        <v>872</v>
      </c>
      <c r="G194" s="6" t="s">
        <v>890</v>
      </c>
      <c r="H194" s="6" t="s">
        <v>388</v>
      </c>
    </row>
    <row r="195" spans="1:8">
      <c r="A195" s="6">
        <v>191</v>
      </c>
      <c r="B195" s="6" t="s">
        <v>886</v>
      </c>
      <c r="C195" s="6" t="s">
        <v>336</v>
      </c>
      <c r="D195" s="6" t="s">
        <v>891</v>
      </c>
      <c r="E195" s="6" t="s">
        <v>364</v>
      </c>
      <c r="F195" s="6" t="s">
        <v>339</v>
      </c>
      <c r="G195" s="6" t="s">
        <v>892</v>
      </c>
      <c r="H195" s="6" t="s">
        <v>341</v>
      </c>
    </row>
    <row r="196" spans="1:8">
      <c r="A196" s="6">
        <v>192</v>
      </c>
      <c r="B196" s="6" t="s">
        <v>893</v>
      </c>
      <c r="C196" s="6" t="s">
        <v>336</v>
      </c>
      <c r="D196" s="6" t="s">
        <v>894</v>
      </c>
      <c r="E196" s="6" t="s">
        <v>339</v>
      </c>
      <c r="F196" s="6" t="s">
        <v>875</v>
      </c>
      <c r="G196" s="6" t="s">
        <v>895</v>
      </c>
      <c r="H196" s="6" t="s">
        <v>388</v>
      </c>
    </row>
    <row r="197" spans="1:8">
      <c r="A197" s="6">
        <v>193</v>
      </c>
      <c r="B197" s="6" t="s">
        <v>893</v>
      </c>
      <c r="C197" s="6" t="s">
        <v>336</v>
      </c>
      <c r="D197" s="6" t="s">
        <v>469</v>
      </c>
      <c r="E197" s="6" t="s">
        <v>470</v>
      </c>
      <c r="F197" s="6" t="s">
        <v>339</v>
      </c>
      <c r="G197" s="6" t="s">
        <v>896</v>
      </c>
      <c r="H197" s="6" t="s">
        <v>341</v>
      </c>
    </row>
    <row r="198" spans="1:8">
      <c r="A198" s="6">
        <v>194</v>
      </c>
      <c r="B198" s="6" t="s">
        <v>893</v>
      </c>
      <c r="C198" s="6" t="s">
        <v>336</v>
      </c>
      <c r="D198" s="6" t="s">
        <v>472</v>
      </c>
      <c r="E198" s="6" t="s">
        <v>473</v>
      </c>
      <c r="F198" s="6" t="s">
        <v>339</v>
      </c>
      <c r="G198" s="6" t="s">
        <v>897</v>
      </c>
      <c r="H198" s="6" t="s">
        <v>341</v>
      </c>
    </row>
    <row r="199" spans="1:8">
      <c r="A199" s="6">
        <v>195</v>
      </c>
      <c r="B199" s="6" t="s">
        <v>898</v>
      </c>
      <c r="C199" s="6" t="s">
        <v>336</v>
      </c>
      <c r="D199" s="6" t="s">
        <v>899</v>
      </c>
      <c r="E199" s="6" t="s">
        <v>524</v>
      </c>
      <c r="F199" s="6" t="s">
        <v>339</v>
      </c>
      <c r="G199" s="6" t="s">
        <v>900</v>
      </c>
      <c r="H199" s="6" t="s">
        <v>341</v>
      </c>
    </row>
    <row r="200" spans="1:8">
      <c r="A200" s="6">
        <v>196</v>
      </c>
      <c r="B200" s="6" t="s">
        <v>898</v>
      </c>
      <c r="C200" s="6" t="s">
        <v>336</v>
      </c>
      <c r="D200" s="6" t="s">
        <v>901</v>
      </c>
      <c r="E200" s="6" t="s">
        <v>339</v>
      </c>
      <c r="F200" s="6" t="s">
        <v>494</v>
      </c>
      <c r="G200" s="6" t="s">
        <v>902</v>
      </c>
      <c r="H200" s="6" t="s">
        <v>341</v>
      </c>
    </row>
    <row r="201" spans="1:8">
      <c r="A201" s="6">
        <v>197</v>
      </c>
      <c r="B201" s="6" t="s">
        <v>898</v>
      </c>
      <c r="C201" s="6" t="s">
        <v>336</v>
      </c>
      <c r="D201" s="6" t="s">
        <v>903</v>
      </c>
      <c r="E201" s="6" t="s">
        <v>494</v>
      </c>
      <c r="F201" s="6" t="s">
        <v>339</v>
      </c>
      <c r="G201" s="6" t="s">
        <v>900</v>
      </c>
      <c r="H201" s="6" t="s">
        <v>341</v>
      </c>
    </row>
    <row r="202" spans="1:8">
      <c r="A202" s="6">
        <v>198</v>
      </c>
      <c r="B202" s="6" t="s">
        <v>904</v>
      </c>
      <c r="C202" s="6" t="s">
        <v>336</v>
      </c>
      <c r="D202" s="6" t="s">
        <v>905</v>
      </c>
      <c r="E202" s="6" t="s">
        <v>364</v>
      </c>
      <c r="F202" s="6" t="s">
        <v>339</v>
      </c>
      <c r="G202" s="6" t="s">
        <v>906</v>
      </c>
      <c r="H202" s="6" t="s">
        <v>341</v>
      </c>
    </row>
    <row r="203" spans="1:8">
      <c r="A203" s="6">
        <v>199</v>
      </c>
      <c r="B203" s="6" t="s">
        <v>907</v>
      </c>
      <c r="C203" s="6" t="s">
        <v>336</v>
      </c>
      <c r="D203" s="6" t="s">
        <v>908</v>
      </c>
      <c r="E203" s="6" t="s">
        <v>431</v>
      </c>
      <c r="F203" s="6" t="s">
        <v>339</v>
      </c>
      <c r="G203" s="6" t="s">
        <v>909</v>
      </c>
      <c r="H203" s="6" t="s">
        <v>341</v>
      </c>
    </row>
    <row r="204" spans="1:8">
      <c r="A204" s="6">
        <v>200</v>
      </c>
      <c r="B204" s="6" t="s">
        <v>907</v>
      </c>
      <c r="C204" s="6" t="s">
        <v>336</v>
      </c>
      <c r="D204" s="6" t="s">
        <v>910</v>
      </c>
      <c r="E204" s="6" t="s">
        <v>911</v>
      </c>
      <c r="F204" s="6" t="s">
        <v>339</v>
      </c>
      <c r="G204" s="6" t="s">
        <v>912</v>
      </c>
      <c r="H204" s="6" t="s">
        <v>341</v>
      </c>
    </row>
    <row r="205" spans="1:8">
      <c r="A205" s="6">
        <v>201</v>
      </c>
      <c r="B205" s="6" t="s">
        <v>913</v>
      </c>
      <c r="C205" s="6" t="s">
        <v>336</v>
      </c>
      <c r="D205" s="6" t="s">
        <v>914</v>
      </c>
      <c r="E205" s="6" t="s">
        <v>583</v>
      </c>
      <c r="F205" s="6" t="s">
        <v>339</v>
      </c>
      <c r="G205" s="6" t="s">
        <v>915</v>
      </c>
      <c r="H205" s="6" t="s">
        <v>341</v>
      </c>
    </row>
    <row r="206" spans="1:8">
      <c r="A206" s="6">
        <v>202</v>
      </c>
      <c r="B206" s="6" t="s">
        <v>913</v>
      </c>
      <c r="C206" s="6" t="s">
        <v>336</v>
      </c>
      <c r="D206" s="6" t="s">
        <v>916</v>
      </c>
      <c r="E206" s="6" t="s">
        <v>535</v>
      </c>
      <c r="F206" s="6" t="s">
        <v>339</v>
      </c>
      <c r="G206" s="6" t="s">
        <v>917</v>
      </c>
      <c r="H206" s="6" t="s">
        <v>341</v>
      </c>
    </row>
    <row r="207" spans="1:8">
      <c r="A207" s="6">
        <v>203</v>
      </c>
      <c r="B207" s="6" t="s">
        <v>913</v>
      </c>
      <c r="C207" s="6" t="s">
        <v>336</v>
      </c>
      <c r="D207" s="6" t="s">
        <v>918</v>
      </c>
      <c r="E207" s="6" t="s">
        <v>431</v>
      </c>
      <c r="F207" s="6" t="s">
        <v>339</v>
      </c>
      <c r="G207" s="6" t="s">
        <v>919</v>
      </c>
      <c r="H207" s="6" t="s">
        <v>341</v>
      </c>
    </row>
    <row r="208" spans="1:8">
      <c r="A208" s="6">
        <v>204</v>
      </c>
      <c r="B208" s="6" t="s">
        <v>913</v>
      </c>
      <c r="C208" s="6" t="s">
        <v>336</v>
      </c>
      <c r="D208" s="6" t="s">
        <v>920</v>
      </c>
      <c r="E208" s="6" t="s">
        <v>357</v>
      </c>
      <c r="F208" s="6" t="s">
        <v>339</v>
      </c>
      <c r="G208" s="6" t="s">
        <v>921</v>
      </c>
      <c r="H208" s="6" t="s">
        <v>341</v>
      </c>
    </row>
    <row r="209" spans="1:8">
      <c r="A209" s="6">
        <v>205</v>
      </c>
      <c r="B209" s="6" t="s">
        <v>913</v>
      </c>
      <c r="C209" s="6" t="s">
        <v>336</v>
      </c>
      <c r="D209" s="6" t="s">
        <v>922</v>
      </c>
      <c r="E209" s="6" t="s">
        <v>535</v>
      </c>
      <c r="F209" s="6" t="s">
        <v>339</v>
      </c>
      <c r="G209" s="6" t="s">
        <v>923</v>
      </c>
      <c r="H209" s="6" t="s">
        <v>341</v>
      </c>
    </row>
    <row r="210" spans="1:8">
      <c r="A210" s="6">
        <v>206</v>
      </c>
      <c r="B210" s="6" t="s">
        <v>913</v>
      </c>
      <c r="C210" s="6" t="s">
        <v>336</v>
      </c>
      <c r="D210" s="6" t="s">
        <v>924</v>
      </c>
      <c r="E210" s="6" t="s">
        <v>494</v>
      </c>
      <c r="F210" s="6" t="s">
        <v>339</v>
      </c>
      <c r="G210" s="6" t="s">
        <v>925</v>
      </c>
      <c r="H210" s="6" t="s">
        <v>341</v>
      </c>
    </row>
    <row r="211" spans="1:8">
      <c r="A211" s="6">
        <v>207</v>
      </c>
      <c r="B211" s="6" t="s">
        <v>926</v>
      </c>
      <c r="C211" s="6" t="s">
        <v>336</v>
      </c>
      <c r="D211" s="6" t="s">
        <v>927</v>
      </c>
      <c r="E211" s="6" t="s">
        <v>431</v>
      </c>
      <c r="F211" s="6" t="s">
        <v>339</v>
      </c>
      <c r="G211" s="6" t="s">
        <v>928</v>
      </c>
      <c r="H211" s="6" t="s">
        <v>341</v>
      </c>
    </row>
    <row r="212" spans="1:8">
      <c r="A212" s="6">
        <v>208</v>
      </c>
      <c r="B212" s="6" t="s">
        <v>926</v>
      </c>
      <c r="C212" s="6" t="s">
        <v>336</v>
      </c>
      <c r="D212" s="6" t="s">
        <v>929</v>
      </c>
      <c r="E212" s="6" t="s">
        <v>583</v>
      </c>
      <c r="F212" s="6" t="s">
        <v>339</v>
      </c>
      <c r="G212" s="6" t="s">
        <v>930</v>
      </c>
      <c r="H212" s="6" t="s">
        <v>341</v>
      </c>
    </row>
    <row r="213" spans="1:8">
      <c r="A213" s="6">
        <v>209</v>
      </c>
      <c r="B213" s="6" t="s">
        <v>926</v>
      </c>
      <c r="C213" s="6" t="s">
        <v>336</v>
      </c>
      <c r="D213" s="6" t="s">
        <v>931</v>
      </c>
      <c r="E213" s="6" t="s">
        <v>343</v>
      </c>
      <c r="F213" s="6" t="s">
        <v>339</v>
      </c>
      <c r="G213" s="6" t="s">
        <v>932</v>
      </c>
      <c r="H213" s="6" t="s">
        <v>341</v>
      </c>
    </row>
    <row r="214" spans="1:8">
      <c r="A214" s="6">
        <v>210</v>
      </c>
      <c r="B214" s="6" t="s">
        <v>926</v>
      </c>
      <c r="C214" s="6" t="s">
        <v>336</v>
      </c>
      <c r="D214" s="6" t="s">
        <v>933</v>
      </c>
      <c r="E214" s="6" t="s">
        <v>934</v>
      </c>
      <c r="F214" s="6" t="s">
        <v>339</v>
      </c>
      <c r="G214" s="6" t="s">
        <v>935</v>
      </c>
      <c r="H214" s="6" t="s">
        <v>341</v>
      </c>
    </row>
    <row r="215" spans="1:8">
      <c r="A215" s="6">
        <v>211</v>
      </c>
      <c r="B215" s="6" t="s">
        <v>936</v>
      </c>
      <c r="C215" s="6" t="s">
        <v>336</v>
      </c>
      <c r="D215" s="6" t="s">
        <v>937</v>
      </c>
      <c r="E215" s="6" t="s">
        <v>583</v>
      </c>
      <c r="F215" s="6" t="s">
        <v>339</v>
      </c>
      <c r="G215" s="6" t="s">
        <v>938</v>
      </c>
      <c r="H215" s="6" t="s">
        <v>341</v>
      </c>
    </row>
    <row r="216" spans="1:8">
      <c r="A216" s="6">
        <v>212</v>
      </c>
      <c r="B216" s="6" t="s">
        <v>939</v>
      </c>
      <c r="C216" s="6" t="s">
        <v>336</v>
      </c>
      <c r="D216" s="6" t="s">
        <v>940</v>
      </c>
      <c r="E216" s="6" t="s">
        <v>535</v>
      </c>
      <c r="F216" s="6" t="s">
        <v>339</v>
      </c>
      <c r="G216" s="6" t="s">
        <v>941</v>
      </c>
      <c r="H216" s="6" t="s">
        <v>341</v>
      </c>
    </row>
    <row r="217" spans="1:8">
      <c r="A217" s="6">
        <v>213</v>
      </c>
      <c r="B217" s="6" t="s">
        <v>942</v>
      </c>
      <c r="C217" s="6" t="s">
        <v>336</v>
      </c>
      <c r="D217" s="6" t="s">
        <v>943</v>
      </c>
      <c r="E217" s="6" t="s">
        <v>447</v>
      </c>
      <c r="F217" s="6" t="s">
        <v>339</v>
      </c>
      <c r="G217" s="6" t="s">
        <v>944</v>
      </c>
      <c r="H217" s="6" t="s">
        <v>341</v>
      </c>
    </row>
    <row r="218" spans="1:8">
      <c r="A218" s="6">
        <v>214</v>
      </c>
      <c r="B218" s="6" t="s">
        <v>945</v>
      </c>
      <c r="C218" s="6" t="s">
        <v>336</v>
      </c>
      <c r="D218" s="6" t="s">
        <v>946</v>
      </c>
      <c r="E218" s="6" t="s">
        <v>947</v>
      </c>
      <c r="F218" s="6" t="s">
        <v>339</v>
      </c>
      <c r="G218" s="6" t="s">
        <v>948</v>
      </c>
      <c r="H218" s="6" t="s">
        <v>341</v>
      </c>
    </row>
    <row r="219" spans="1:8">
      <c r="A219" s="6">
        <v>215</v>
      </c>
      <c r="B219" s="6" t="s">
        <v>945</v>
      </c>
      <c r="C219" s="6" t="s">
        <v>336</v>
      </c>
      <c r="D219" s="6" t="s">
        <v>949</v>
      </c>
      <c r="E219" s="6" t="s">
        <v>494</v>
      </c>
      <c r="F219" s="6" t="s">
        <v>339</v>
      </c>
      <c r="G219" s="6" t="s">
        <v>950</v>
      </c>
      <c r="H219" s="6" t="s">
        <v>341</v>
      </c>
    </row>
    <row r="220" spans="1:8">
      <c r="A220" s="6">
        <v>216</v>
      </c>
      <c r="B220" s="6" t="s">
        <v>951</v>
      </c>
      <c r="C220" s="6" t="s">
        <v>336</v>
      </c>
      <c r="D220" s="6" t="s">
        <v>952</v>
      </c>
      <c r="E220" s="6" t="s">
        <v>364</v>
      </c>
      <c r="F220" s="6" t="s">
        <v>339</v>
      </c>
      <c r="G220" s="6" t="s">
        <v>953</v>
      </c>
      <c r="H220" s="6" t="s">
        <v>341</v>
      </c>
    </row>
    <row r="221" spans="1:8">
      <c r="A221" s="6">
        <v>217</v>
      </c>
      <c r="B221" s="6" t="s">
        <v>954</v>
      </c>
      <c r="C221" s="6" t="s">
        <v>336</v>
      </c>
      <c r="D221" s="6" t="s">
        <v>955</v>
      </c>
      <c r="E221" s="6" t="s">
        <v>431</v>
      </c>
      <c r="F221" s="6" t="s">
        <v>339</v>
      </c>
      <c r="G221" s="6" t="s">
        <v>956</v>
      </c>
      <c r="H221" s="6" t="s">
        <v>341</v>
      </c>
    </row>
    <row r="222" spans="1:8">
      <c r="A222" s="6">
        <v>218</v>
      </c>
      <c r="B222" s="6" t="s">
        <v>954</v>
      </c>
      <c r="C222" s="6" t="s">
        <v>336</v>
      </c>
      <c r="D222" s="6" t="s">
        <v>957</v>
      </c>
      <c r="E222" s="6" t="s">
        <v>431</v>
      </c>
      <c r="F222" s="6" t="s">
        <v>339</v>
      </c>
      <c r="G222" s="6" t="s">
        <v>958</v>
      </c>
      <c r="H222" s="6" t="s">
        <v>341</v>
      </c>
    </row>
    <row r="223" spans="1:8">
      <c r="A223" s="6">
        <v>219</v>
      </c>
      <c r="B223" s="6" t="s">
        <v>954</v>
      </c>
      <c r="C223" s="6" t="s">
        <v>336</v>
      </c>
      <c r="D223" s="6" t="s">
        <v>959</v>
      </c>
      <c r="E223" s="6" t="s">
        <v>960</v>
      </c>
      <c r="F223" s="6" t="s">
        <v>339</v>
      </c>
      <c r="G223" s="6" t="s">
        <v>961</v>
      </c>
      <c r="H223" s="6" t="s">
        <v>341</v>
      </c>
    </row>
    <row r="224" spans="1:8">
      <c r="A224" s="6">
        <v>220</v>
      </c>
      <c r="B224" s="6" t="s">
        <v>954</v>
      </c>
      <c r="C224" s="6" t="s">
        <v>336</v>
      </c>
      <c r="D224" s="6" t="s">
        <v>962</v>
      </c>
      <c r="E224" s="6" t="s">
        <v>963</v>
      </c>
      <c r="F224" s="6" t="s">
        <v>339</v>
      </c>
      <c r="G224" s="6" t="s">
        <v>964</v>
      </c>
      <c r="H224" s="6" t="s">
        <v>341</v>
      </c>
    </row>
    <row r="225" spans="1:8">
      <c r="A225" s="6">
        <v>221</v>
      </c>
      <c r="B225" s="6" t="s">
        <v>965</v>
      </c>
      <c r="C225" s="6" t="s">
        <v>336</v>
      </c>
      <c r="D225" s="6" t="s">
        <v>966</v>
      </c>
      <c r="E225" s="6" t="s">
        <v>967</v>
      </c>
      <c r="F225" s="6" t="s">
        <v>339</v>
      </c>
      <c r="G225" s="6" t="s">
        <v>968</v>
      </c>
      <c r="H225" s="6" t="s">
        <v>341</v>
      </c>
    </row>
    <row r="226" spans="1:8">
      <c r="A226" s="6">
        <v>222</v>
      </c>
      <c r="B226" s="6" t="s">
        <v>969</v>
      </c>
      <c r="C226" s="6" t="s">
        <v>336</v>
      </c>
      <c r="D226" s="6" t="s">
        <v>970</v>
      </c>
      <c r="E226" s="6" t="s">
        <v>625</v>
      </c>
      <c r="F226" s="6" t="s">
        <v>339</v>
      </c>
      <c r="G226" s="6" t="s">
        <v>971</v>
      </c>
      <c r="H226" s="6" t="s">
        <v>341</v>
      </c>
    </row>
    <row r="227" spans="1:8">
      <c r="A227" s="6">
        <v>223</v>
      </c>
      <c r="B227" s="6" t="s">
        <v>972</v>
      </c>
      <c r="C227" s="6" t="s">
        <v>336</v>
      </c>
      <c r="D227" s="6" t="s">
        <v>973</v>
      </c>
      <c r="E227" s="6" t="s">
        <v>339</v>
      </c>
      <c r="F227" s="6" t="s">
        <v>974</v>
      </c>
      <c r="G227" s="6" t="s">
        <v>975</v>
      </c>
      <c r="H227" s="6" t="s">
        <v>581</v>
      </c>
    </row>
    <row r="228" spans="1:8">
      <c r="A228" s="6">
        <v>224</v>
      </c>
      <c r="B228" s="6" t="s">
        <v>972</v>
      </c>
      <c r="C228" s="6" t="s">
        <v>336</v>
      </c>
      <c r="D228" s="6" t="s">
        <v>976</v>
      </c>
      <c r="E228" s="6" t="s">
        <v>524</v>
      </c>
      <c r="F228" s="6" t="s">
        <v>339</v>
      </c>
      <c r="G228" s="6" t="s">
        <v>977</v>
      </c>
      <c r="H228" s="6" t="s">
        <v>341</v>
      </c>
    </row>
    <row r="229" spans="1:8">
      <c r="A229" s="6">
        <v>225</v>
      </c>
      <c r="B229" s="6" t="s">
        <v>972</v>
      </c>
      <c r="C229" s="6" t="s">
        <v>336</v>
      </c>
      <c r="D229" s="6" t="s">
        <v>978</v>
      </c>
      <c r="E229" s="6" t="s">
        <v>979</v>
      </c>
      <c r="F229" s="6" t="s">
        <v>339</v>
      </c>
      <c r="G229" s="6" t="s">
        <v>980</v>
      </c>
      <c r="H229" s="6" t="s">
        <v>341</v>
      </c>
    </row>
    <row r="230" spans="1:8">
      <c r="A230" s="6">
        <v>226</v>
      </c>
      <c r="B230" s="6" t="s">
        <v>981</v>
      </c>
      <c r="C230" s="6" t="s">
        <v>336</v>
      </c>
      <c r="D230" s="6" t="s">
        <v>982</v>
      </c>
      <c r="E230" s="6" t="s">
        <v>339</v>
      </c>
      <c r="F230" s="6" t="s">
        <v>947</v>
      </c>
      <c r="G230" s="6" t="s">
        <v>983</v>
      </c>
      <c r="H230" s="6" t="s">
        <v>388</v>
      </c>
    </row>
    <row r="231" spans="1:8">
      <c r="A231" s="6">
        <v>227</v>
      </c>
      <c r="B231" s="6" t="s">
        <v>981</v>
      </c>
      <c r="C231" s="6" t="s">
        <v>336</v>
      </c>
      <c r="D231" s="6" t="s">
        <v>984</v>
      </c>
      <c r="E231" s="6" t="s">
        <v>524</v>
      </c>
      <c r="F231" s="6" t="s">
        <v>339</v>
      </c>
      <c r="G231" s="6" t="s">
        <v>985</v>
      </c>
      <c r="H231" s="6" t="s">
        <v>341</v>
      </c>
    </row>
    <row r="232" spans="1:8">
      <c r="A232" s="6">
        <v>228</v>
      </c>
      <c r="B232" s="6" t="s">
        <v>981</v>
      </c>
      <c r="C232" s="6" t="s">
        <v>336</v>
      </c>
      <c r="D232" s="6" t="s">
        <v>986</v>
      </c>
      <c r="E232" s="6" t="s">
        <v>884</v>
      </c>
      <c r="F232" s="6" t="s">
        <v>339</v>
      </c>
      <c r="G232" s="6" t="s">
        <v>987</v>
      </c>
      <c r="H232" s="6" t="s">
        <v>341</v>
      </c>
    </row>
    <row r="233" spans="1:8">
      <c r="A233" s="6">
        <v>229</v>
      </c>
      <c r="B233" s="6" t="s">
        <v>988</v>
      </c>
      <c r="C233" s="6" t="s">
        <v>336</v>
      </c>
      <c r="D233" s="6" t="s">
        <v>989</v>
      </c>
      <c r="E233" s="6" t="s">
        <v>349</v>
      </c>
      <c r="F233" s="6" t="s">
        <v>339</v>
      </c>
      <c r="G233" s="6" t="s">
        <v>990</v>
      </c>
      <c r="H233" s="6" t="s">
        <v>341</v>
      </c>
    </row>
    <row r="234" spans="1:8">
      <c r="A234" s="6">
        <v>230</v>
      </c>
      <c r="B234" s="6" t="s">
        <v>988</v>
      </c>
      <c r="C234" s="6" t="s">
        <v>336</v>
      </c>
      <c r="D234" s="6" t="s">
        <v>991</v>
      </c>
      <c r="E234" s="6" t="s">
        <v>431</v>
      </c>
      <c r="F234" s="6" t="s">
        <v>339</v>
      </c>
      <c r="G234" s="6" t="s">
        <v>992</v>
      </c>
      <c r="H234" s="6" t="s">
        <v>341</v>
      </c>
    </row>
    <row r="235" spans="1:8">
      <c r="A235" s="6">
        <v>231</v>
      </c>
      <c r="B235" s="6" t="s">
        <v>993</v>
      </c>
      <c r="C235" s="6" t="s">
        <v>336</v>
      </c>
      <c r="D235" s="6" t="s">
        <v>994</v>
      </c>
      <c r="E235" s="6" t="s">
        <v>995</v>
      </c>
      <c r="F235" s="6" t="s">
        <v>339</v>
      </c>
      <c r="G235" s="6" t="s">
        <v>996</v>
      </c>
      <c r="H235" s="6" t="s">
        <v>341</v>
      </c>
    </row>
    <row r="236" spans="1:8">
      <c r="A236" s="6">
        <v>232</v>
      </c>
      <c r="B236" s="6" t="s">
        <v>997</v>
      </c>
      <c r="C236" s="6" t="s">
        <v>336</v>
      </c>
      <c r="D236" s="6" t="s">
        <v>998</v>
      </c>
      <c r="E236" s="6" t="s">
        <v>999</v>
      </c>
      <c r="F236" s="6" t="s">
        <v>339</v>
      </c>
      <c r="G236" s="6" t="s">
        <v>1000</v>
      </c>
      <c r="H236" s="6" t="s">
        <v>341</v>
      </c>
    </row>
    <row r="237" spans="1:8">
      <c r="A237" s="6">
        <v>233</v>
      </c>
      <c r="B237" s="6" t="s">
        <v>997</v>
      </c>
      <c r="C237" s="6" t="s">
        <v>336</v>
      </c>
      <c r="D237" s="6" t="s">
        <v>1001</v>
      </c>
      <c r="E237" s="6" t="s">
        <v>679</v>
      </c>
      <c r="F237" s="6" t="s">
        <v>339</v>
      </c>
      <c r="G237" s="6" t="s">
        <v>1002</v>
      </c>
      <c r="H237" s="6" t="s">
        <v>341</v>
      </c>
    </row>
    <row r="238" spans="1:8">
      <c r="A238" s="6">
        <v>234</v>
      </c>
      <c r="B238" s="6" t="s">
        <v>997</v>
      </c>
      <c r="C238" s="6" t="s">
        <v>336</v>
      </c>
      <c r="D238" s="6" t="s">
        <v>1003</v>
      </c>
      <c r="E238" s="6" t="s">
        <v>477</v>
      </c>
      <c r="F238" s="6" t="s">
        <v>339</v>
      </c>
      <c r="G238" s="6" t="s">
        <v>1004</v>
      </c>
      <c r="H238" s="6" t="s">
        <v>341</v>
      </c>
    </row>
    <row r="239" spans="1:8">
      <c r="A239" s="6">
        <v>235</v>
      </c>
      <c r="B239" s="6" t="s">
        <v>997</v>
      </c>
      <c r="C239" s="6" t="s">
        <v>336</v>
      </c>
      <c r="D239" s="6" t="s">
        <v>1005</v>
      </c>
      <c r="E239" s="6" t="s">
        <v>1006</v>
      </c>
      <c r="F239" s="6" t="s">
        <v>339</v>
      </c>
      <c r="G239" s="6" t="s">
        <v>1007</v>
      </c>
      <c r="H239" s="6" t="s">
        <v>341</v>
      </c>
    </row>
    <row r="240" spans="1:8">
      <c r="A240" s="6">
        <v>236</v>
      </c>
      <c r="B240" s="6" t="s">
        <v>997</v>
      </c>
      <c r="C240" s="6" t="s">
        <v>336</v>
      </c>
      <c r="D240" s="6" t="s">
        <v>1008</v>
      </c>
      <c r="E240" s="6" t="s">
        <v>431</v>
      </c>
      <c r="F240" s="6" t="s">
        <v>339</v>
      </c>
      <c r="G240" s="6" t="s">
        <v>1009</v>
      </c>
      <c r="H240" s="6" t="s">
        <v>341</v>
      </c>
    </row>
    <row r="241" spans="1:8">
      <c r="A241" s="6">
        <v>237</v>
      </c>
      <c r="B241" s="6" t="s">
        <v>997</v>
      </c>
      <c r="C241" s="6" t="s">
        <v>336</v>
      </c>
      <c r="D241" s="6" t="s">
        <v>1010</v>
      </c>
      <c r="E241" s="6" t="s">
        <v>730</v>
      </c>
      <c r="F241" s="6" t="s">
        <v>339</v>
      </c>
      <c r="G241" s="6" t="s">
        <v>1011</v>
      </c>
      <c r="H241" s="6" t="s">
        <v>341</v>
      </c>
    </row>
    <row r="242" spans="1:8">
      <c r="A242" s="6">
        <v>238</v>
      </c>
      <c r="B242" s="6" t="s">
        <v>997</v>
      </c>
      <c r="C242" s="6" t="s">
        <v>336</v>
      </c>
      <c r="D242" s="6" t="s">
        <v>1012</v>
      </c>
      <c r="E242" s="6" t="s">
        <v>625</v>
      </c>
      <c r="F242" s="6" t="s">
        <v>339</v>
      </c>
      <c r="G242" s="6" t="s">
        <v>1013</v>
      </c>
      <c r="H242" s="6" t="s">
        <v>341</v>
      </c>
    </row>
    <row r="243" spans="1:8">
      <c r="A243" s="6">
        <v>239</v>
      </c>
      <c r="B243" s="6" t="s">
        <v>997</v>
      </c>
      <c r="C243" s="6" t="s">
        <v>1014</v>
      </c>
      <c r="D243" s="6" t="s">
        <v>1015</v>
      </c>
      <c r="E243" s="6" t="s">
        <v>339</v>
      </c>
      <c r="F243" s="6" t="s">
        <v>1016</v>
      </c>
      <c r="G243" s="6" t="s">
        <v>1017</v>
      </c>
    </row>
    <row r="244" spans="1:8">
      <c r="A244" s="6">
        <v>240</v>
      </c>
      <c r="B244" s="6" t="s">
        <v>997</v>
      </c>
      <c r="C244" s="6" t="s">
        <v>1018</v>
      </c>
      <c r="D244" s="6" t="s">
        <v>1019</v>
      </c>
      <c r="E244" s="6" t="s">
        <v>339</v>
      </c>
      <c r="F244" s="6" t="s">
        <v>1020</v>
      </c>
      <c r="G244" s="6" t="s">
        <v>1021</v>
      </c>
    </row>
    <row r="245" spans="1:8">
      <c r="A245" s="6">
        <v>241</v>
      </c>
      <c r="B245" s="6" t="s">
        <v>1022</v>
      </c>
      <c r="C245" s="6" t="s">
        <v>336</v>
      </c>
      <c r="D245" s="6" t="s">
        <v>1023</v>
      </c>
      <c r="E245" s="6" t="s">
        <v>1024</v>
      </c>
      <c r="F245" s="6" t="s">
        <v>339</v>
      </c>
      <c r="G245" s="6" t="s">
        <v>1025</v>
      </c>
      <c r="H245" s="6" t="s">
        <v>341</v>
      </c>
    </row>
    <row r="246" spans="1:8">
      <c r="A246" s="6">
        <v>242</v>
      </c>
      <c r="B246" s="6" t="s">
        <v>1022</v>
      </c>
      <c r="C246" s="6" t="s">
        <v>336</v>
      </c>
      <c r="D246" s="6" t="s">
        <v>1026</v>
      </c>
      <c r="E246" s="6" t="s">
        <v>1027</v>
      </c>
      <c r="F246" s="6" t="s">
        <v>339</v>
      </c>
      <c r="G246" s="6" t="s">
        <v>1028</v>
      </c>
      <c r="H246" s="6" t="s">
        <v>341</v>
      </c>
    </row>
    <row r="247" spans="1:8">
      <c r="A247" s="6">
        <v>243</v>
      </c>
      <c r="B247" s="6" t="s">
        <v>1022</v>
      </c>
      <c r="C247" s="6" t="s">
        <v>336</v>
      </c>
      <c r="D247" s="6" t="s">
        <v>1029</v>
      </c>
      <c r="E247" s="6" t="s">
        <v>1030</v>
      </c>
      <c r="F247" s="6" t="s">
        <v>339</v>
      </c>
      <c r="G247" s="6" t="s">
        <v>1031</v>
      </c>
      <c r="H247" s="6" t="s">
        <v>341</v>
      </c>
    </row>
    <row r="248" spans="1:8">
      <c r="A248" s="6">
        <v>244</v>
      </c>
      <c r="B248" s="6" t="s">
        <v>1022</v>
      </c>
      <c r="C248" s="6" t="s">
        <v>336</v>
      </c>
      <c r="D248" s="6" t="s">
        <v>1032</v>
      </c>
      <c r="E248" s="6" t="s">
        <v>1033</v>
      </c>
      <c r="F248" s="6" t="s">
        <v>339</v>
      </c>
      <c r="G248" s="6" t="s">
        <v>1034</v>
      </c>
      <c r="H248" s="6" t="s">
        <v>341</v>
      </c>
    </row>
    <row r="249" spans="1:8">
      <c r="A249" s="6">
        <v>245</v>
      </c>
      <c r="B249" s="6" t="s">
        <v>1022</v>
      </c>
      <c r="C249" s="6" t="s">
        <v>336</v>
      </c>
      <c r="D249" s="6" t="s">
        <v>1035</v>
      </c>
      <c r="E249" s="6" t="s">
        <v>357</v>
      </c>
      <c r="F249" s="6" t="s">
        <v>339</v>
      </c>
      <c r="G249" s="6" t="s">
        <v>1036</v>
      </c>
      <c r="H249" s="6" t="s">
        <v>341</v>
      </c>
    </row>
    <row r="250" spans="1:8">
      <c r="A250" s="6">
        <v>246</v>
      </c>
      <c r="B250" s="6" t="s">
        <v>1037</v>
      </c>
      <c r="C250" s="6" t="s">
        <v>336</v>
      </c>
      <c r="D250" s="6" t="s">
        <v>1038</v>
      </c>
      <c r="E250" s="6" t="s">
        <v>339</v>
      </c>
      <c r="F250" s="6" t="s">
        <v>1039</v>
      </c>
      <c r="G250" s="6" t="s">
        <v>1040</v>
      </c>
      <c r="H250" s="6" t="s">
        <v>388</v>
      </c>
    </row>
    <row r="251" spans="1:8">
      <c r="A251" s="6">
        <v>247</v>
      </c>
      <c r="B251" s="6" t="s">
        <v>1037</v>
      </c>
      <c r="C251" s="6" t="s">
        <v>336</v>
      </c>
      <c r="D251" s="6" t="s">
        <v>1041</v>
      </c>
      <c r="E251" s="6" t="s">
        <v>339</v>
      </c>
      <c r="F251" s="6" t="s">
        <v>1042</v>
      </c>
      <c r="G251" s="6" t="s">
        <v>1043</v>
      </c>
      <c r="H251" s="6" t="s">
        <v>388</v>
      </c>
    </row>
    <row r="252" spans="1:8">
      <c r="A252" s="6">
        <v>248</v>
      </c>
      <c r="B252" s="6" t="s">
        <v>1044</v>
      </c>
      <c r="C252" s="6" t="s">
        <v>336</v>
      </c>
      <c r="D252" s="6" t="s">
        <v>1045</v>
      </c>
      <c r="E252" s="6" t="s">
        <v>846</v>
      </c>
      <c r="F252" s="6" t="s">
        <v>339</v>
      </c>
      <c r="G252" s="6" t="s">
        <v>1046</v>
      </c>
      <c r="H252" s="6" t="s">
        <v>341</v>
      </c>
    </row>
    <row r="253" spans="1:8">
      <c r="A253" s="6">
        <v>249</v>
      </c>
      <c r="B253" s="6" t="s">
        <v>1044</v>
      </c>
      <c r="C253" s="6" t="s">
        <v>336</v>
      </c>
      <c r="D253" s="6" t="s">
        <v>1047</v>
      </c>
      <c r="E253" s="6" t="s">
        <v>447</v>
      </c>
      <c r="F253" s="6" t="s">
        <v>339</v>
      </c>
      <c r="G253" s="6" t="s">
        <v>1048</v>
      </c>
      <c r="H253" s="6" t="s">
        <v>341</v>
      </c>
    </row>
    <row r="254" spans="1:8">
      <c r="A254" s="6">
        <v>250</v>
      </c>
      <c r="B254" s="6" t="s">
        <v>1044</v>
      </c>
      <c r="C254" s="6" t="s">
        <v>336</v>
      </c>
      <c r="D254" s="6" t="s">
        <v>1049</v>
      </c>
      <c r="E254" s="6" t="s">
        <v>947</v>
      </c>
      <c r="F254" s="6" t="s">
        <v>339</v>
      </c>
      <c r="G254" s="6" t="s">
        <v>1050</v>
      </c>
      <c r="H254" s="6" t="s">
        <v>341</v>
      </c>
    </row>
    <row r="255" spans="1:8">
      <c r="A255" s="6">
        <v>251</v>
      </c>
      <c r="B255" s="6" t="s">
        <v>1051</v>
      </c>
      <c r="C255" s="6" t="s">
        <v>336</v>
      </c>
      <c r="D255" s="6" t="s">
        <v>1052</v>
      </c>
      <c r="E255" s="6" t="s">
        <v>687</v>
      </c>
      <c r="F255" s="6" t="s">
        <v>339</v>
      </c>
      <c r="G255" s="6" t="s">
        <v>1053</v>
      </c>
      <c r="H255" s="6" t="s">
        <v>341</v>
      </c>
    </row>
    <row r="256" spans="1:8">
      <c r="A256" s="6">
        <v>252</v>
      </c>
      <c r="B256" s="6" t="s">
        <v>1054</v>
      </c>
      <c r="C256" s="6" t="s">
        <v>336</v>
      </c>
      <c r="D256" s="6" t="s">
        <v>1055</v>
      </c>
      <c r="E256" s="6" t="s">
        <v>1056</v>
      </c>
      <c r="F256" s="6" t="s">
        <v>339</v>
      </c>
      <c r="G256" s="6" t="s">
        <v>1057</v>
      </c>
      <c r="H256" s="6" t="s">
        <v>341</v>
      </c>
    </row>
    <row r="257" spans="1:8">
      <c r="A257" s="6">
        <v>253</v>
      </c>
      <c r="B257" s="6" t="s">
        <v>1058</v>
      </c>
      <c r="C257" s="6" t="s">
        <v>336</v>
      </c>
      <c r="D257" s="6" t="s">
        <v>1059</v>
      </c>
      <c r="E257" s="6" t="s">
        <v>1060</v>
      </c>
      <c r="F257" s="6" t="s">
        <v>339</v>
      </c>
      <c r="G257" s="6" t="s">
        <v>1061</v>
      </c>
      <c r="H257" s="6" t="s">
        <v>341</v>
      </c>
    </row>
    <row r="258" spans="1:8">
      <c r="A258" s="6">
        <v>254</v>
      </c>
      <c r="B258" s="6" t="s">
        <v>1058</v>
      </c>
      <c r="C258" s="6" t="s">
        <v>336</v>
      </c>
      <c r="D258" s="6" t="s">
        <v>1062</v>
      </c>
      <c r="E258" s="6" t="s">
        <v>1063</v>
      </c>
      <c r="F258" s="6" t="s">
        <v>339</v>
      </c>
      <c r="G258" s="6" t="s">
        <v>1064</v>
      </c>
      <c r="H258" s="6" t="s">
        <v>341</v>
      </c>
    </row>
    <row r="259" spans="1:8">
      <c r="A259" s="6">
        <v>255</v>
      </c>
      <c r="B259" s="6" t="s">
        <v>1058</v>
      </c>
      <c r="C259" s="6" t="s">
        <v>336</v>
      </c>
      <c r="D259" s="6" t="s">
        <v>1065</v>
      </c>
      <c r="E259" s="6" t="s">
        <v>1066</v>
      </c>
      <c r="F259" s="6" t="s">
        <v>339</v>
      </c>
      <c r="G259" s="6" t="s">
        <v>1067</v>
      </c>
      <c r="H259" s="6" t="s">
        <v>341</v>
      </c>
    </row>
    <row r="260" spans="1:8">
      <c r="A260" s="6">
        <v>256</v>
      </c>
      <c r="B260" s="6" t="s">
        <v>1068</v>
      </c>
      <c r="C260" s="6" t="s">
        <v>1069</v>
      </c>
      <c r="D260" s="6" t="s">
        <v>1070</v>
      </c>
      <c r="E260" s="6" t="s">
        <v>339</v>
      </c>
      <c r="F260" s="6" t="s">
        <v>1071</v>
      </c>
      <c r="G260" s="6" t="s">
        <v>1072</v>
      </c>
    </row>
    <row r="261" spans="1:8">
      <c r="A261" s="6">
        <v>257</v>
      </c>
      <c r="B261" s="6" t="s">
        <v>1068</v>
      </c>
      <c r="C261" s="6" t="s">
        <v>336</v>
      </c>
      <c r="D261" s="6" t="s">
        <v>472</v>
      </c>
      <c r="E261" s="6" t="s">
        <v>473</v>
      </c>
      <c r="F261" s="6" t="s">
        <v>339</v>
      </c>
      <c r="G261" s="6" t="s">
        <v>1073</v>
      </c>
      <c r="H261" s="6" t="s">
        <v>341</v>
      </c>
    </row>
    <row r="262" spans="1:8">
      <c r="A262" s="6">
        <v>258</v>
      </c>
      <c r="B262" s="6" t="s">
        <v>1068</v>
      </c>
      <c r="C262" s="6" t="s">
        <v>336</v>
      </c>
      <c r="D262" s="6" t="s">
        <v>469</v>
      </c>
      <c r="E262" s="6" t="s">
        <v>470</v>
      </c>
      <c r="F262" s="6" t="s">
        <v>339</v>
      </c>
      <c r="G262" s="6" t="s">
        <v>1074</v>
      </c>
      <c r="H262" s="6" t="s">
        <v>341</v>
      </c>
    </row>
    <row r="263" spans="1:8">
      <c r="A263" s="6">
        <v>259</v>
      </c>
      <c r="B263" s="6" t="s">
        <v>1075</v>
      </c>
      <c r="C263" s="6" t="s">
        <v>336</v>
      </c>
      <c r="D263" s="6" t="s">
        <v>1076</v>
      </c>
      <c r="E263" s="6" t="s">
        <v>349</v>
      </c>
      <c r="F263" s="6" t="s">
        <v>339</v>
      </c>
      <c r="G263" s="6" t="s">
        <v>1077</v>
      </c>
      <c r="H263" s="6" t="s">
        <v>341</v>
      </c>
    </row>
    <row r="264" spans="1:8">
      <c r="A264" s="6">
        <v>260</v>
      </c>
      <c r="B264" s="6" t="s">
        <v>1078</v>
      </c>
      <c r="C264" s="6" t="s">
        <v>336</v>
      </c>
      <c r="D264" s="6" t="s">
        <v>1079</v>
      </c>
      <c r="E264" s="6" t="s">
        <v>1080</v>
      </c>
      <c r="F264" s="6" t="s">
        <v>339</v>
      </c>
      <c r="G264" s="6" t="s">
        <v>1081</v>
      </c>
      <c r="H264" s="6" t="s">
        <v>341</v>
      </c>
    </row>
    <row r="265" spans="1:8">
      <c r="A265" s="6">
        <v>261</v>
      </c>
      <c r="B265" s="6" t="s">
        <v>1078</v>
      </c>
      <c r="C265" s="6" t="s">
        <v>336</v>
      </c>
      <c r="D265" s="6" t="s">
        <v>1082</v>
      </c>
      <c r="E265" s="6" t="s">
        <v>1083</v>
      </c>
      <c r="F265" s="6" t="s">
        <v>339</v>
      </c>
      <c r="G265" s="6" t="s">
        <v>1084</v>
      </c>
      <c r="H265" s="6" t="s">
        <v>341</v>
      </c>
    </row>
    <row r="266" spans="1:8">
      <c r="A266" s="6">
        <v>262</v>
      </c>
      <c r="B266" s="6" t="s">
        <v>1085</v>
      </c>
      <c r="C266" s="6" t="s">
        <v>336</v>
      </c>
      <c r="D266" s="6" t="s">
        <v>1086</v>
      </c>
      <c r="E266" s="6" t="s">
        <v>1087</v>
      </c>
      <c r="F266" s="6" t="s">
        <v>339</v>
      </c>
      <c r="G266" s="6" t="s">
        <v>1088</v>
      </c>
      <c r="H266" s="6" t="s">
        <v>341</v>
      </c>
    </row>
    <row r="267" spans="1:8">
      <c r="A267" s="6">
        <v>263</v>
      </c>
      <c r="B267" s="6" t="s">
        <v>1085</v>
      </c>
      <c r="C267" s="6" t="s">
        <v>336</v>
      </c>
      <c r="D267" s="6" t="s">
        <v>1089</v>
      </c>
      <c r="E267" s="6" t="s">
        <v>431</v>
      </c>
      <c r="F267" s="6" t="s">
        <v>339</v>
      </c>
      <c r="G267" s="6" t="s">
        <v>1090</v>
      </c>
      <c r="H267" s="6" t="s">
        <v>341</v>
      </c>
    </row>
    <row r="268" spans="1:8">
      <c r="A268" s="6">
        <v>264</v>
      </c>
      <c r="B268" s="6" t="s">
        <v>1085</v>
      </c>
      <c r="C268" s="6" t="s">
        <v>336</v>
      </c>
      <c r="D268" s="6" t="s">
        <v>1091</v>
      </c>
      <c r="E268" s="6" t="s">
        <v>494</v>
      </c>
      <c r="F268" s="6" t="s">
        <v>339</v>
      </c>
      <c r="G268" s="6" t="s">
        <v>1092</v>
      </c>
      <c r="H268" s="6" t="s">
        <v>341</v>
      </c>
    </row>
    <row r="269" spans="1:8">
      <c r="A269" s="6">
        <v>265</v>
      </c>
      <c r="B269" s="6" t="s">
        <v>1085</v>
      </c>
      <c r="C269" s="6" t="s">
        <v>336</v>
      </c>
      <c r="D269" s="6" t="s">
        <v>1093</v>
      </c>
      <c r="E269" s="6" t="s">
        <v>364</v>
      </c>
      <c r="F269" s="6" t="s">
        <v>339</v>
      </c>
      <c r="G269" s="6" t="s">
        <v>1094</v>
      </c>
      <c r="H269" s="6" t="s">
        <v>341</v>
      </c>
    </row>
    <row r="270" spans="1:8">
      <c r="A270" s="6">
        <v>266</v>
      </c>
      <c r="B270" s="6" t="s">
        <v>1085</v>
      </c>
      <c r="C270" s="6" t="s">
        <v>336</v>
      </c>
      <c r="D270" s="6" t="s">
        <v>1095</v>
      </c>
      <c r="E270" s="6" t="s">
        <v>494</v>
      </c>
      <c r="F270" s="6" t="s">
        <v>339</v>
      </c>
      <c r="G270" s="6" t="s">
        <v>1096</v>
      </c>
      <c r="H270" s="6" t="s">
        <v>341</v>
      </c>
    </row>
    <row r="271" spans="1:8">
      <c r="A271" s="6">
        <v>267</v>
      </c>
      <c r="B271" s="6" t="s">
        <v>1085</v>
      </c>
      <c r="C271" s="6" t="s">
        <v>336</v>
      </c>
      <c r="D271" s="6" t="s">
        <v>1097</v>
      </c>
      <c r="E271" s="6" t="s">
        <v>679</v>
      </c>
      <c r="F271" s="6" t="s">
        <v>339</v>
      </c>
      <c r="G271" s="6" t="s">
        <v>1098</v>
      </c>
      <c r="H271" s="6" t="s">
        <v>341</v>
      </c>
    </row>
    <row r="272" spans="1:8">
      <c r="A272" s="6">
        <v>268</v>
      </c>
      <c r="B272" s="6" t="s">
        <v>1085</v>
      </c>
      <c r="C272" s="6" t="s">
        <v>336</v>
      </c>
      <c r="D272" s="6" t="s">
        <v>1099</v>
      </c>
      <c r="E272" s="6" t="s">
        <v>431</v>
      </c>
      <c r="F272" s="6" t="s">
        <v>339</v>
      </c>
      <c r="G272" s="6" t="s">
        <v>1100</v>
      </c>
      <c r="H272" s="6" t="s">
        <v>341</v>
      </c>
    </row>
    <row r="273" spans="1:8">
      <c r="A273" s="6">
        <v>269</v>
      </c>
      <c r="B273" s="6" t="s">
        <v>1085</v>
      </c>
      <c r="C273" s="6" t="s">
        <v>336</v>
      </c>
      <c r="D273" s="6" t="s">
        <v>1101</v>
      </c>
      <c r="E273" s="6" t="s">
        <v>431</v>
      </c>
      <c r="F273" s="6" t="s">
        <v>339</v>
      </c>
      <c r="G273" s="6" t="s">
        <v>1102</v>
      </c>
      <c r="H273" s="6" t="s">
        <v>341</v>
      </c>
    </row>
    <row r="274" spans="1:8">
      <c r="A274" s="6">
        <v>270</v>
      </c>
      <c r="B274" s="6" t="s">
        <v>1085</v>
      </c>
      <c r="C274" s="6" t="s">
        <v>336</v>
      </c>
      <c r="D274" s="6" t="s">
        <v>1103</v>
      </c>
      <c r="E274" s="6" t="s">
        <v>494</v>
      </c>
      <c r="F274" s="6" t="s">
        <v>339</v>
      </c>
      <c r="G274" s="6" t="s">
        <v>1104</v>
      </c>
      <c r="H274" s="6" t="s">
        <v>341</v>
      </c>
    </row>
    <row r="275" spans="1:8">
      <c r="A275" s="6">
        <v>271</v>
      </c>
      <c r="B275" s="6" t="s">
        <v>1085</v>
      </c>
      <c r="C275" s="6" t="s">
        <v>336</v>
      </c>
      <c r="D275" s="6" t="s">
        <v>1105</v>
      </c>
      <c r="E275" s="6" t="s">
        <v>524</v>
      </c>
      <c r="F275" s="6" t="s">
        <v>339</v>
      </c>
      <c r="G275" s="6" t="s">
        <v>1106</v>
      </c>
      <c r="H275" s="6" t="s">
        <v>341</v>
      </c>
    </row>
    <row r="276" spans="1:8">
      <c r="A276" s="6">
        <v>272</v>
      </c>
      <c r="B276" s="6" t="s">
        <v>1085</v>
      </c>
      <c r="C276" s="6" t="s">
        <v>336</v>
      </c>
      <c r="D276" s="6" t="s">
        <v>1107</v>
      </c>
      <c r="E276" s="6" t="s">
        <v>679</v>
      </c>
      <c r="F276" s="6" t="s">
        <v>339</v>
      </c>
      <c r="G276" s="6" t="s">
        <v>1108</v>
      </c>
      <c r="H276" s="6" t="s">
        <v>341</v>
      </c>
    </row>
    <row r="277" spans="1:8">
      <c r="A277" s="6">
        <v>273</v>
      </c>
      <c r="B277" s="6" t="s">
        <v>1109</v>
      </c>
      <c r="C277" s="6" t="s">
        <v>336</v>
      </c>
      <c r="D277" s="6" t="s">
        <v>1110</v>
      </c>
      <c r="E277" s="6" t="s">
        <v>1087</v>
      </c>
      <c r="F277" s="6" t="s">
        <v>339</v>
      </c>
      <c r="G277" s="6" t="s">
        <v>1111</v>
      </c>
      <c r="H277" s="6" t="s">
        <v>341</v>
      </c>
    </row>
    <row r="278" spans="1:8">
      <c r="A278" s="6">
        <v>274</v>
      </c>
      <c r="B278" s="6" t="s">
        <v>1109</v>
      </c>
      <c r="C278" s="6" t="s">
        <v>336</v>
      </c>
      <c r="D278" s="6" t="s">
        <v>1112</v>
      </c>
      <c r="E278" s="6" t="s">
        <v>416</v>
      </c>
      <c r="F278" s="6" t="s">
        <v>339</v>
      </c>
      <c r="G278" s="6" t="s">
        <v>1113</v>
      </c>
      <c r="H278" s="6" t="s">
        <v>341</v>
      </c>
    </row>
    <row r="279" spans="1:8">
      <c r="A279" s="6">
        <v>275</v>
      </c>
      <c r="B279" s="6" t="s">
        <v>1109</v>
      </c>
      <c r="C279" s="6" t="s">
        <v>336</v>
      </c>
      <c r="D279" s="6" t="s">
        <v>1114</v>
      </c>
      <c r="E279" s="6" t="s">
        <v>535</v>
      </c>
      <c r="F279" s="6" t="s">
        <v>339</v>
      </c>
      <c r="G279" s="6" t="s">
        <v>1115</v>
      </c>
      <c r="H279" s="6" t="s">
        <v>341</v>
      </c>
    </row>
    <row r="280" spans="1:8">
      <c r="A280" s="6">
        <v>276</v>
      </c>
      <c r="B280" s="6" t="s">
        <v>1116</v>
      </c>
      <c r="C280" s="6" t="s">
        <v>336</v>
      </c>
      <c r="D280" s="6" t="s">
        <v>1117</v>
      </c>
      <c r="E280" s="6" t="s">
        <v>339</v>
      </c>
      <c r="F280" s="6" t="s">
        <v>947</v>
      </c>
      <c r="G280" s="6" t="s">
        <v>1118</v>
      </c>
      <c r="H280" s="6" t="s">
        <v>388</v>
      </c>
    </row>
    <row r="281" spans="1:8">
      <c r="A281" s="6">
        <v>277</v>
      </c>
      <c r="B281" s="6" t="s">
        <v>1119</v>
      </c>
      <c r="C281" s="6" t="s">
        <v>336</v>
      </c>
      <c r="D281" s="6" t="s">
        <v>1120</v>
      </c>
      <c r="E281" s="6" t="s">
        <v>679</v>
      </c>
      <c r="F281" s="6" t="s">
        <v>339</v>
      </c>
      <c r="G281" s="6" t="s">
        <v>1121</v>
      </c>
      <c r="H281" s="6" t="s">
        <v>341</v>
      </c>
    </row>
    <row r="282" spans="1:8">
      <c r="A282" s="6">
        <v>278</v>
      </c>
      <c r="B282" s="6" t="s">
        <v>1122</v>
      </c>
      <c r="C282" s="6" t="s">
        <v>336</v>
      </c>
      <c r="D282" s="6" t="s">
        <v>1123</v>
      </c>
      <c r="E282" s="6" t="s">
        <v>583</v>
      </c>
      <c r="F282" s="6" t="s">
        <v>339</v>
      </c>
      <c r="G282" s="6" t="s">
        <v>1124</v>
      </c>
      <c r="H282" s="6" t="s">
        <v>341</v>
      </c>
    </row>
    <row r="283" spans="1:8">
      <c r="A283" s="6">
        <v>279</v>
      </c>
      <c r="B283" s="6" t="s">
        <v>1122</v>
      </c>
      <c r="C283" s="6" t="s">
        <v>336</v>
      </c>
      <c r="D283" s="6" t="s">
        <v>1125</v>
      </c>
      <c r="E283" s="6" t="s">
        <v>357</v>
      </c>
      <c r="F283" s="6" t="s">
        <v>339</v>
      </c>
      <c r="G283" s="6" t="s">
        <v>1126</v>
      </c>
      <c r="H283" s="6" t="s">
        <v>341</v>
      </c>
    </row>
    <row r="284" spans="1:8">
      <c r="A284" s="6">
        <v>280</v>
      </c>
      <c r="B284" s="6" t="s">
        <v>1127</v>
      </c>
      <c r="C284" s="6" t="s">
        <v>336</v>
      </c>
      <c r="D284" s="6" t="s">
        <v>1128</v>
      </c>
      <c r="E284" s="6" t="s">
        <v>1129</v>
      </c>
      <c r="F284" s="6" t="s">
        <v>339</v>
      </c>
      <c r="G284" s="6" t="s">
        <v>1130</v>
      </c>
      <c r="H284" s="6" t="s">
        <v>341</v>
      </c>
    </row>
    <row r="285" spans="1:8">
      <c r="A285" s="6">
        <v>281</v>
      </c>
      <c r="B285" s="6" t="s">
        <v>1131</v>
      </c>
      <c r="C285" s="6" t="s">
        <v>336</v>
      </c>
      <c r="D285" s="6" t="s">
        <v>1132</v>
      </c>
      <c r="E285" s="6" t="s">
        <v>701</v>
      </c>
      <c r="F285" s="6" t="s">
        <v>339</v>
      </c>
      <c r="G285" s="6" t="s">
        <v>1133</v>
      </c>
      <c r="H285" s="6" t="s">
        <v>341</v>
      </c>
    </row>
    <row r="286" spans="1:8">
      <c r="A286" s="6">
        <v>282</v>
      </c>
      <c r="B286" s="6" t="s">
        <v>1134</v>
      </c>
      <c r="C286" s="6" t="s">
        <v>336</v>
      </c>
      <c r="D286" s="6" t="s">
        <v>1135</v>
      </c>
      <c r="E286" s="6" t="s">
        <v>339</v>
      </c>
      <c r="F286" s="6" t="s">
        <v>1136</v>
      </c>
      <c r="G286" s="6" t="s">
        <v>1137</v>
      </c>
      <c r="H286" s="6" t="s">
        <v>388</v>
      </c>
    </row>
    <row r="287" spans="1:8">
      <c r="A287" s="6">
        <v>283</v>
      </c>
      <c r="B287" s="6" t="s">
        <v>1134</v>
      </c>
      <c r="C287" s="6" t="s">
        <v>1138</v>
      </c>
      <c r="D287" s="6" t="s">
        <v>1139</v>
      </c>
      <c r="E287" s="6" t="s">
        <v>339</v>
      </c>
      <c r="F287" s="6" t="s">
        <v>1140</v>
      </c>
      <c r="G287" s="6" t="s">
        <v>1141</v>
      </c>
    </row>
    <row r="288" spans="1:8">
      <c r="A288" s="6">
        <v>284</v>
      </c>
      <c r="B288" s="6" t="s">
        <v>1142</v>
      </c>
      <c r="C288" s="6" t="s">
        <v>1143</v>
      </c>
      <c r="D288" s="6" t="s">
        <v>1144</v>
      </c>
      <c r="E288" s="6" t="s">
        <v>339</v>
      </c>
      <c r="F288" s="6" t="s">
        <v>1145</v>
      </c>
      <c r="G288" s="6" t="s">
        <v>1146</v>
      </c>
    </row>
    <row r="289" spans="1:8">
      <c r="A289" s="6">
        <v>285</v>
      </c>
      <c r="B289" s="6" t="s">
        <v>1147</v>
      </c>
      <c r="C289" s="6" t="s">
        <v>336</v>
      </c>
      <c r="D289" s="6" t="s">
        <v>1148</v>
      </c>
      <c r="E289" s="6" t="s">
        <v>1087</v>
      </c>
      <c r="F289" s="6" t="s">
        <v>339</v>
      </c>
      <c r="G289" s="6" t="s">
        <v>1149</v>
      </c>
      <c r="H289" s="6" t="s">
        <v>341</v>
      </c>
    </row>
    <row r="290" spans="1:8">
      <c r="A290" s="6">
        <v>286</v>
      </c>
      <c r="B290" s="6" t="s">
        <v>1150</v>
      </c>
      <c r="C290" s="6" t="s">
        <v>336</v>
      </c>
      <c r="D290" s="6" t="s">
        <v>1151</v>
      </c>
      <c r="E290" s="6" t="s">
        <v>1152</v>
      </c>
      <c r="F290" s="6" t="s">
        <v>339</v>
      </c>
      <c r="G290" s="6" t="s">
        <v>1153</v>
      </c>
      <c r="H290" s="6" t="s">
        <v>341</v>
      </c>
    </row>
    <row r="291" spans="1:8">
      <c r="A291" s="6">
        <v>287</v>
      </c>
      <c r="B291" s="6" t="s">
        <v>1150</v>
      </c>
      <c r="C291" s="6" t="s">
        <v>336</v>
      </c>
      <c r="D291" s="6" t="s">
        <v>1154</v>
      </c>
      <c r="E291" s="6" t="s">
        <v>1155</v>
      </c>
      <c r="F291" s="6" t="s">
        <v>339</v>
      </c>
      <c r="G291" s="6" t="s">
        <v>1156</v>
      </c>
      <c r="H291" s="6" t="s">
        <v>341</v>
      </c>
    </row>
    <row r="292" spans="1:8">
      <c r="A292" s="6">
        <v>288</v>
      </c>
      <c r="B292" s="6" t="s">
        <v>1150</v>
      </c>
      <c r="C292" s="6" t="s">
        <v>336</v>
      </c>
      <c r="D292" s="6" t="s">
        <v>1157</v>
      </c>
      <c r="E292" s="6" t="s">
        <v>1158</v>
      </c>
      <c r="F292" s="6" t="s">
        <v>339</v>
      </c>
      <c r="G292" s="6" t="s">
        <v>1159</v>
      </c>
      <c r="H292" s="6" t="s">
        <v>341</v>
      </c>
    </row>
    <row r="293" spans="1:8">
      <c r="A293" s="6">
        <v>289</v>
      </c>
      <c r="B293" s="6" t="s">
        <v>1150</v>
      </c>
      <c r="C293" s="6" t="s">
        <v>336</v>
      </c>
      <c r="D293" s="6" t="s">
        <v>1160</v>
      </c>
      <c r="E293" s="6" t="s">
        <v>1161</v>
      </c>
      <c r="F293" s="6" t="s">
        <v>339</v>
      </c>
      <c r="G293" s="6" t="s">
        <v>1162</v>
      </c>
      <c r="H293" s="6" t="s">
        <v>341</v>
      </c>
    </row>
    <row r="294" spans="1:8">
      <c r="A294" s="6">
        <v>290</v>
      </c>
      <c r="B294" s="6" t="s">
        <v>1150</v>
      </c>
      <c r="C294" s="6" t="s">
        <v>336</v>
      </c>
      <c r="D294" s="6" t="s">
        <v>1163</v>
      </c>
      <c r="E294" s="6" t="s">
        <v>1164</v>
      </c>
      <c r="F294" s="6" t="s">
        <v>339</v>
      </c>
      <c r="G294" s="6" t="s">
        <v>1165</v>
      </c>
      <c r="H294" s="6" t="s">
        <v>341</v>
      </c>
    </row>
    <row r="295" spans="1:8">
      <c r="A295" s="6">
        <v>291</v>
      </c>
      <c r="B295" s="6" t="s">
        <v>1150</v>
      </c>
      <c r="C295" s="6" t="s">
        <v>336</v>
      </c>
      <c r="D295" s="6" t="s">
        <v>1166</v>
      </c>
      <c r="E295" s="6" t="s">
        <v>1167</v>
      </c>
      <c r="F295" s="6" t="s">
        <v>339</v>
      </c>
      <c r="G295" s="6" t="s">
        <v>1168</v>
      </c>
      <c r="H295" s="6" t="s">
        <v>341</v>
      </c>
    </row>
    <row r="296" spans="1:8">
      <c r="A296" s="6">
        <v>292</v>
      </c>
      <c r="B296" s="6" t="s">
        <v>1169</v>
      </c>
      <c r="C296" s="6" t="s">
        <v>336</v>
      </c>
      <c r="D296" s="6" t="s">
        <v>1170</v>
      </c>
      <c r="E296" s="6" t="s">
        <v>1171</v>
      </c>
      <c r="F296" s="6" t="s">
        <v>339</v>
      </c>
      <c r="G296" s="6" t="s">
        <v>1172</v>
      </c>
      <c r="H296" s="6" t="s">
        <v>341</v>
      </c>
    </row>
    <row r="297" spans="1:8">
      <c r="A297" s="6">
        <v>293</v>
      </c>
      <c r="B297" s="6" t="s">
        <v>1169</v>
      </c>
      <c r="C297" s="6" t="s">
        <v>336</v>
      </c>
      <c r="D297" s="6" t="s">
        <v>1173</v>
      </c>
      <c r="E297" s="6" t="s">
        <v>1174</v>
      </c>
      <c r="F297" s="6" t="s">
        <v>339</v>
      </c>
      <c r="G297" s="6" t="s">
        <v>1175</v>
      </c>
      <c r="H297" s="6" t="s">
        <v>341</v>
      </c>
    </row>
    <row r="298" spans="1:8">
      <c r="A298" s="6">
        <v>294</v>
      </c>
      <c r="B298" s="6" t="s">
        <v>1169</v>
      </c>
      <c r="C298" s="6" t="s">
        <v>336</v>
      </c>
      <c r="D298" s="6" t="s">
        <v>1176</v>
      </c>
      <c r="E298" s="6" t="s">
        <v>1177</v>
      </c>
      <c r="F298" s="6" t="s">
        <v>339</v>
      </c>
      <c r="G298" s="6" t="s">
        <v>1178</v>
      </c>
      <c r="H298" s="6" t="s">
        <v>341</v>
      </c>
    </row>
    <row r="299" spans="1:8">
      <c r="A299" s="6">
        <v>295</v>
      </c>
      <c r="B299" s="6" t="s">
        <v>1179</v>
      </c>
      <c r="C299" s="6" t="s">
        <v>336</v>
      </c>
      <c r="D299" s="6" t="s">
        <v>1180</v>
      </c>
      <c r="E299" s="6" t="s">
        <v>494</v>
      </c>
      <c r="F299" s="6" t="s">
        <v>339</v>
      </c>
      <c r="G299" s="6" t="s">
        <v>1181</v>
      </c>
      <c r="H299" s="6" t="s">
        <v>341</v>
      </c>
    </row>
    <row r="300" spans="1:8">
      <c r="A300" s="6">
        <v>296</v>
      </c>
      <c r="B300" s="6" t="s">
        <v>1179</v>
      </c>
      <c r="C300" s="6" t="s">
        <v>336</v>
      </c>
      <c r="D300" s="6" t="s">
        <v>469</v>
      </c>
      <c r="E300" s="6" t="s">
        <v>470</v>
      </c>
      <c r="F300" s="6" t="s">
        <v>339</v>
      </c>
      <c r="G300" s="6" t="s">
        <v>1182</v>
      </c>
      <c r="H300" s="6" t="s">
        <v>341</v>
      </c>
    </row>
    <row r="301" spans="1:8">
      <c r="A301" s="6">
        <v>297</v>
      </c>
      <c r="B301" s="6" t="s">
        <v>1179</v>
      </c>
      <c r="C301" s="6" t="s">
        <v>336</v>
      </c>
      <c r="D301" s="6" t="s">
        <v>472</v>
      </c>
      <c r="E301" s="6" t="s">
        <v>473</v>
      </c>
      <c r="F301" s="6" t="s">
        <v>339</v>
      </c>
      <c r="G301" s="6" t="s">
        <v>1183</v>
      </c>
      <c r="H301" s="6" t="s">
        <v>341</v>
      </c>
    </row>
    <row r="302" spans="1:8">
      <c r="A302" s="6">
        <v>298</v>
      </c>
      <c r="B302" s="6" t="s">
        <v>1184</v>
      </c>
      <c r="C302" s="6" t="s">
        <v>336</v>
      </c>
      <c r="D302" s="6" t="s">
        <v>1185</v>
      </c>
      <c r="E302" s="6" t="s">
        <v>360</v>
      </c>
      <c r="F302" s="6" t="s">
        <v>339</v>
      </c>
      <c r="G302" s="6" t="s">
        <v>1186</v>
      </c>
      <c r="H302" s="6" t="s">
        <v>341</v>
      </c>
    </row>
    <row r="303" spans="1:8">
      <c r="A303" s="6">
        <v>299</v>
      </c>
      <c r="B303" s="6" t="s">
        <v>1184</v>
      </c>
      <c r="C303" s="6" t="s">
        <v>336</v>
      </c>
      <c r="D303" s="6" t="s">
        <v>1187</v>
      </c>
      <c r="E303" s="6" t="s">
        <v>1188</v>
      </c>
      <c r="F303" s="6" t="s">
        <v>339</v>
      </c>
      <c r="G303" s="6" t="s">
        <v>1189</v>
      </c>
      <c r="H303" s="6" t="s">
        <v>341</v>
      </c>
    </row>
    <row r="304" spans="1:8">
      <c r="A304" s="6">
        <v>300</v>
      </c>
      <c r="B304" s="6" t="s">
        <v>1190</v>
      </c>
      <c r="C304" s="6" t="s">
        <v>336</v>
      </c>
      <c r="D304" s="6" t="s">
        <v>1191</v>
      </c>
      <c r="E304" s="6" t="s">
        <v>364</v>
      </c>
      <c r="F304" s="6" t="s">
        <v>339</v>
      </c>
      <c r="G304" s="6" t="s">
        <v>1192</v>
      </c>
      <c r="H304" s="6" t="s">
        <v>341</v>
      </c>
    </row>
    <row r="305" spans="1:8">
      <c r="A305" s="6">
        <v>301</v>
      </c>
      <c r="B305" s="6" t="s">
        <v>1190</v>
      </c>
      <c r="C305" s="6" t="s">
        <v>336</v>
      </c>
      <c r="D305" s="6" t="s">
        <v>1193</v>
      </c>
      <c r="E305" s="6" t="s">
        <v>1194</v>
      </c>
      <c r="F305" s="6" t="s">
        <v>339</v>
      </c>
      <c r="G305" s="6" t="s">
        <v>1195</v>
      </c>
      <c r="H305" s="6" t="s">
        <v>341</v>
      </c>
    </row>
    <row r="306" spans="1:8">
      <c r="A306" s="6">
        <v>302</v>
      </c>
      <c r="B306" s="6" t="s">
        <v>1196</v>
      </c>
      <c r="C306" s="6" t="s">
        <v>336</v>
      </c>
      <c r="D306" s="6" t="s">
        <v>1197</v>
      </c>
      <c r="E306" s="6" t="s">
        <v>651</v>
      </c>
      <c r="F306" s="6" t="s">
        <v>339</v>
      </c>
      <c r="G306" s="6" t="s">
        <v>1198</v>
      </c>
      <c r="H306" s="6" t="s">
        <v>341</v>
      </c>
    </row>
    <row r="307" spans="1:8">
      <c r="A307" s="6">
        <v>303</v>
      </c>
      <c r="B307" s="6" t="s">
        <v>1199</v>
      </c>
      <c r="C307" s="6" t="s">
        <v>1200</v>
      </c>
      <c r="D307" s="6" t="s">
        <v>1201</v>
      </c>
      <c r="E307" s="6" t="s">
        <v>339</v>
      </c>
      <c r="F307" s="6" t="s">
        <v>1202</v>
      </c>
      <c r="G307" s="6" t="s">
        <v>1203</v>
      </c>
    </row>
    <row r="308" spans="1:8">
      <c r="A308" s="6">
        <v>304</v>
      </c>
      <c r="B308" s="6" t="s">
        <v>1199</v>
      </c>
      <c r="C308" s="6" t="s">
        <v>1204</v>
      </c>
      <c r="D308" s="6" t="s">
        <v>1205</v>
      </c>
      <c r="E308" s="6" t="s">
        <v>339</v>
      </c>
      <c r="F308" s="6" t="s">
        <v>1206</v>
      </c>
      <c r="G308" s="6" t="s">
        <v>1207</v>
      </c>
    </row>
    <row r="309" spans="1:8">
      <c r="A309" s="6">
        <v>305</v>
      </c>
      <c r="B309" s="6" t="s">
        <v>1208</v>
      </c>
      <c r="C309" s="6" t="s">
        <v>336</v>
      </c>
      <c r="D309" s="6" t="s">
        <v>1209</v>
      </c>
      <c r="E309" s="6" t="s">
        <v>494</v>
      </c>
      <c r="F309" s="6" t="s">
        <v>339</v>
      </c>
      <c r="G309" s="6" t="s">
        <v>1210</v>
      </c>
      <c r="H309" s="6" t="s">
        <v>341</v>
      </c>
    </row>
    <row r="310" spans="1:8">
      <c r="A310" s="6">
        <v>306</v>
      </c>
      <c r="B310" s="6" t="s">
        <v>1211</v>
      </c>
      <c r="C310" s="6" t="s">
        <v>1212</v>
      </c>
      <c r="D310" s="6" t="s">
        <v>1213</v>
      </c>
      <c r="E310" s="6" t="s">
        <v>339</v>
      </c>
      <c r="F310" s="6" t="s">
        <v>1214</v>
      </c>
      <c r="G310" s="6" t="s">
        <v>1215</v>
      </c>
    </row>
    <row r="311" spans="1:8">
      <c r="A311" s="6">
        <v>307</v>
      </c>
      <c r="B311" s="6" t="s">
        <v>1216</v>
      </c>
      <c r="C311" s="6" t="s">
        <v>336</v>
      </c>
      <c r="D311" s="6" t="s">
        <v>1217</v>
      </c>
      <c r="E311" s="6" t="s">
        <v>947</v>
      </c>
      <c r="F311" s="6" t="s">
        <v>339</v>
      </c>
      <c r="G311" s="6" t="s">
        <v>1218</v>
      </c>
      <c r="H311" s="6" t="s">
        <v>341</v>
      </c>
    </row>
    <row r="312" spans="1:8">
      <c r="A312" s="6">
        <v>308</v>
      </c>
      <c r="B312" s="6" t="s">
        <v>1216</v>
      </c>
      <c r="C312" s="6" t="s">
        <v>336</v>
      </c>
      <c r="D312" s="6" t="s">
        <v>1219</v>
      </c>
      <c r="E312" s="6" t="s">
        <v>1220</v>
      </c>
      <c r="F312" s="6" t="s">
        <v>339</v>
      </c>
      <c r="G312" s="6" t="s">
        <v>1221</v>
      </c>
      <c r="H312" s="6" t="s">
        <v>341</v>
      </c>
    </row>
    <row r="313" spans="1:8">
      <c r="A313" s="6">
        <v>309</v>
      </c>
      <c r="B313" s="6" t="s">
        <v>1216</v>
      </c>
      <c r="C313" s="6" t="s">
        <v>336</v>
      </c>
      <c r="D313" s="6" t="s">
        <v>1222</v>
      </c>
      <c r="E313" s="6" t="s">
        <v>1223</v>
      </c>
      <c r="F313" s="6" t="s">
        <v>339</v>
      </c>
      <c r="G313" s="6" t="s">
        <v>1224</v>
      </c>
      <c r="H313" s="6" t="s">
        <v>341</v>
      </c>
    </row>
    <row r="314" spans="1:8">
      <c r="A314" s="6">
        <v>310</v>
      </c>
      <c r="B314" s="6" t="s">
        <v>1216</v>
      </c>
      <c r="C314" s="6" t="s">
        <v>1225</v>
      </c>
      <c r="D314" s="6" t="s">
        <v>1226</v>
      </c>
      <c r="E314" s="6" t="s">
        <v>339</v>
      </c>
      <c r="F314" s="6" t="s">
        <v>1227</v>
      </c>
      <c r="G314" s="6" t="s">
        <v>1228</v>
      </c>
    </row>
    <row r="315" spans="1:8">
      <c r="A315" s="6">
        <v>311</v>
      </c>
      <c r="B315" s="6" t="s">
        <v>1229</v>
      </c>
      <c r="C315" s="6" t="s">
        <v>336</v>
      </c>
      <c r="D315" s="6" t="s">
        <v>1230</v>
      </c>
      <c r="E315" s="6" t="s">
        <v>1231</v>
      </c>
      <c r="F315" s="6" t="s">
        <v>339</v>
      </c>
      <c r="G315" s="6" t="s">
        <v>1232</v>
      </c>
      <c r="H315" s="6" t="s">
        <v>341</v>
      </c>
    </row>
    <row r="316" spans="1:8">
      <c r="A316" s="6">
        <v>312</v>
      </c>
      <c r="B316" s="6" t="s">
        <v>1229</v>
      </c>
      <c r="C316" s="6" t="s">
        <v>336</v>
      </c>
      <c r="D316" s="6" t="s">
        <v>1233</v>
      </c>
      <c r="E316" s="6" t="s">
        <v>583</v>
      </c>
      <c r="F316" s="6" t="s">
        <v>339</v>
      </c>
      <c r="G316" s="6" t="s">
        <v>1234</v>
      </c>
      <c r="H316" s="6" t="s">
        <v>341</v>
      </c>
    </row>
    <row r="317" spans="1:8">
      <c r="A317" s="6">
        <v>313</v>
      </c>
      <c r="B317" s="6" t="s">
        <v>1229</v>
      </c>
      <c r="C317" s="6" t="s">
        <v>336</v>
      </c>
      <c r="D317" s="6" t="s">
        <v>1235</v>
      </c>
      <c r="E317" s="6" t="s">
        <v>583</v>
      </c>
      <c r="F317" s="6" t="s">
        <v>339</v>
      </c>
      <c r="G317" s="6" t="s">
        <v>1236</v>
      </c>
      <c r="H317" s="6" t="s">
        <v>341</v>
      </c>
    </row>
    <row r="318" spans="1:8">
      <c r="A318" s="6">
        <v>314</v>
      </c>
      <c r="B318" s="6" t="s">
        <v>1229</v>
      </c>
      <c r="C318" s="6" t="s">
        <v>336</v>
      </c>
      <c r="D318" s="6" t="s">
        <v>1237</v>
      </c>
      <c r="E318" s="6" t="s">
        <v>431</v>
      </c>
      <c r="F318" s="6" t="s">
        <v>339</v>
      </c>
      <c r="G318" s="6" t="s">
        <v>1238</v>
      </c>
      <c r="H318" s="6" t="s">
        <v>341</v>
      </c>
    </row>
    <row r="319" spans="1:8">
      <c r="A319" s="6">
        <v>315</v>
      </c>
      <c r="B319" s="6" t="s">
        <v>1229</v>
      </c>
      <c r="C319" s="6" t="s">
        <v>336</v>
      </c>
      <c r="D319" s="6" t="s">
        <v>1239</v>
      </c>
      <c r="E319" s="6" t="s">
        <v>679</v>
      </c>
      <c r="F319" s="6" t="s">
        <v>339</v>
      </c>
      <c r="G319" s="6" t="s">
        <v>1240</v>
      </c>
      <c r="H319" s="6" t="s">
        <v>341</v>
      </c>
    </row>
    <row r="320" spans="1:8">
      <c r="A320" s="6">
        <v>316</v>
      </c>
      <c r="B320" s="6" t="s">
        <v>1241</v>
      </c>
      <c r="C320" s="6" t="s">
        <v>336</v>
      </c>
      <c r="D320" s="6" t="s">
        <v>1242</v>
      </c>
      <c r="E320" s="6" t="s">
        <v>1243</v>
      </c>
      <c r="F320" s="6" t="s">
        <v>339</v>
      </c>
      <c r="G320" s="6" t="s">
        <v>1244</v>
      </c>
      <c r="H320" s="6" t="s">
        <v>341</v>
      </c>
    </row>
    <row r="321" spans="1:8">
      <c r="A321" s="6">
        <v>317</v>
      </c>
      <c r="B321" s="6" t="s">
        <v>1241</v>
      </c>
      <c r="C321" s="6" t="s">
        <v>336</v>
      </c>
      <c r="D321" s="6" t="s">
        <v>1245</v>
      </c>
      <c r="E321" s="6" t="s">
        <v>477</v>
      </c>
      <c r="F321" s="6" t="s">
        <v>339</v>
      </c>
      <c r="G321" s="6" t="s">
        <v>1246</v>
      </c>
      <c r="H321" s="6" t="s">
        <v>341</v>
      </c>
    </row>
    <row r="322" spans="1:8">
      <c r="A322" s="6">
        <v>318</v>
      </c>
      <c r="B322" s="6" t="s">
        <v>1247</v>
      </c>
      <c r="C322" s="6" t="s">
        <v>336</v>
      </c>
      <c r="D322" s="6" t="s">
        <v>1248</v>
      </c>
      <c r="E322" s="6" t="s">
        <v>1249</v>
      </c>
      <c r="F322" s="6" t="s">
        <v>339</v>
      </c>
      <c r="G322" s="6" t="s">
        <v>1250</v>
      </c>
      <c r="H322" s="6" t="s">
        <v>341</v>
      </c>
    </row>
    <row r="323" spans="1:8">
      <c r="A323" s="6">
        <v>319</v>
      </c>
      <c r="B323" s="6" t="s">
        <v>1251</v>
      </c>
      <c r="C323" s="6" t="s">
        <v>336</v>
      </c>
      <c r="D323" s="6" t="s">
        <v>1252</v>
      </c>
      <c r="E323" s="6" t="s">
        <v>1253</v>
      </c>
      <c r="F323" s="6" t="s">
        <v>339</v>
      </c>
      <c r="G323" s="6" t="s">
        <v>1254</v>
      </c>
      <c r="H323" s="6" t="s">
        <v>341</v>
      </c>
    </row>
    <row r="324" spans="1:8">
      <c r="A324" s="6">
        <v>320</v>
      </c>
      <c r="B324" s="6" t="s">
        <v>1255</v>
      </c>
      <c r="C324" s="6" t="s">
        <v>336</v>
      </c>
      <c r="D324" s="6" t="s">
        <v>1256</v>
      </c>
      <c r="E324" s="6" t="s">
        <v>339</v>
      </c>
      <c r="F324" s="6" t="s">
        <v>947</v>
      </c>
      <c r="G324" s="6" t="s">
        <v>1257</v>
      </c>
      <c r="H324" s="6" t="s">
        <v>388</v>
      </c>
    </row>
    <row r="325" spans="1:8">
      <c r="A325" s="6">
        <v>321</v>
      </c>
      <c r="B325" s="6" t="s">
        <v>1258</v>
      </c>
      <c r="C325" s="6" t="s">
        <v>336</v>
      </c>
      <c r="D325" s="6" t="s">
        <v>1259</v>
      </c>
      <c r="E325" s="6" t="s">
        <v>339</v>
      </c>
      <c r="F325" s="6" t="s">
        <v>467</v>
      </c>
      <c r="G325" s="6" t="s">
        <v>1260</v>
      </c>
      <c r="H325" s="6" t="s">
        <v>341</v>
      </c>
    </row>
    <row r="326" spans="1:8">
      <c r="A326" s="6">
        <v>322</v>
      </c>
      <c r="B326" s="6" t="s">
        <v>1258</v>
      </c>
      <c r="C326" s="6" t="s">
        <v>336</v>
      </c>
      <c r="D326" s="6" t="s">
        <v>1261</v>
      </c>
      <c r="E326" s="6" t="s">
        <v>339</v>
      </c>
      <c r="F326" s="6" t="s">
        <v>1262</v>
      </c>
      <c r="G326" s="6" t="s">
        <v>1263</v>
      </c>
      <c r="H326" s="6" t="s">
        <v>341</v>
      </c>
    </row>
    <row r="327" spans="1:8">
      <c r="A327" s="6">
        <v>323</v>
      </c>
      <c r="B327" s="6" t="s">
        <v>1258</v>
      </c>
      <c r="C327" s="6" t="s">
        <v>336</v>
      </c>
      <c r="D327" s="6" t="s">
        <v>1264</v>
      </c>
      <c r="E327" s="6" t="s">
        <v>431</v>
      </c>
      <c r="F327" s="6" t="s">
        <v>339</v>
      </c>
      <c r="G327" s="6" t="s">
        <v>1265</v>
      </c>
      <c r="H327" s="6" t="s">
        <v>341</v>
      </c>
    </row>
    <row r="328" spans="1:8">
      <c r="A328" s="6">
        <v>324</v>
      </c>
      <c r="B328" s="6" t="s">
        <v>1266</v>
      </c>
      <c r="C328" s="6" t="s">
        <v>336</v>
      </c>
      <c r="D328" s="6" t="s">
        <v>1267</v>
      </c>
      <c r="E328" s="6" t="s">
        <v>431</v>
      </c>
      <c r="F328" s="6" t="s">
        <v>339</v>
      </c>
      <c r="G328" s="6" t="s">
        <v>1268</v>
      </c>
      <c r="H328" s="6" t="s">
        <v>341</v>
      </c>
    </row>
    <row r="329" spans="1:8">
      <c r="A329" s="6">
        <v>325</v>
      </c>
      <c r="B329" s="6" t="s">
        <v>1266</v>
      </c>
      <c r="C329" s="6" t="s">
        <v>336</v>
      </c>
      <c r="D329" s="6" t="s">
        <v>1269</v>
      </c>
      <c r="E329" s="6" t="s">
        <v>349</v>
      </c>
      <c r="F329" s="6" t="s">
        <v>339</v>
      </c>
      <c r="G329" s="6" t="s">
        <v>1270</v>
      </c>
      <c r="H329" s="6" t="s">
        <v>341</v>
      </c>
    </row>
    <row r="330" spans="1:8">
      <c r="A330" s="6">
        <v>326</v>
      </c>
      <c r="B330" s="6" t="s">
        <v>1266</v>
      </c>
      <c r="C330" s="6" t="s">
        <v>336</v>
      </c>
      <c r="D330" s="6" t="s">
        <v>1271</v>
      </c>
      <c r="E330" s="6" t="s">
        <v>349</v>
      </c>
      <c r="F330" s="6" t="s">
        <v>339</v>
      </c>
      <c r="G330" s="6" t="s">
        <v>1272</v>
      </c>
      <c r="H330" s="6" t="s">
        <v>341</v>
      </c>
    </row>
    <row r="331" spans="1:8">
      <c r="A331" s="6">
        <v>327</v>
      </c>
      <c r="B331" s="6" t="s">
        <v>1273</v>
      </c>
      <c r="C331" s="6" t="s">
        <v>336</v>
      </c>
      <c r="D331" s="6" t="s">
        <v>1274</v>
      </c>
      <c r="E331" s="6" t="s">
        <v>1275</v>
      </c>
      <c r="F331" s="6" t="s">
        <v>339</v>
      </c>
      <c r="G331" s="6" t="s">
        <v>1276</v>
      </c>
      <c r="H331" s="6" t="s">
        <v>341</v>
      </c>
    </row>
    <row r="332" spans="1:8">
      <c r="A332" s="6">
        <v>328</v>
      </c>
      <c r="B332" s="6" t="s">
        <v>1273</v>
      </c>
      <c r="C332" s="6" t="s">
        <v>336</v>
      </c>
      <c r="D332" s="6" t="s">
        <v>1277</v>
      </c>
      <c r="E332" s="6" t="s">
        <v>1278</v>
      </c>
      <c r="F332" s="6" t="s">
        <v>339</v>
      </c>
      <c r="G332" s="6" t="s">
        <v>1279</v>
      </c>
      <c r="H332" s="6" t="s">
        <v>341</v>
      </c>
    </row>
    <row r="333" spans="1:8">
      <c r="A333" s="6">
        <v>329</v>
      </c>
      <c r="B333" s="6" t="s">
        <v>1273</v>
      </c>
      <c r="C333" s="6" t="s">
        <v>336</v>
      </c>
      <c r="D333" s="6" t="s">
        <v>1280</v>
      </c>
      <c r="E333" s="6" t="s">
        <v>339</v>
      </c>
      <c r="F333" s="6" t="s">
        <v>360</v>
      </c>
      <c r="G333" s="6" t="s">
        <v>1281</v>
      </c>
      <c r="H333" s="6" t="s">
        <v>341</v>
      </c>
    </row>
    <row r="334" spans="1:8">
      <c r="A334" s="6">
        <v>330</v>
      </c>
      <c r="B334" s="6" t="s">
        <v>1273</v>
      </c>
      <c r="C334" s="6" t="s">
        <v>1282</v>
      </c>
      <c r="D334" s="6" t="s">
        <v>1283</v>
      </c>
      <c r="E334" s="6" t="s">
        <v>339</v>
      </c>
      <c r="F334" s="6" t="s">
        <v>1284</v>
      </c>
      <c r="G334" s="6" t="s">
        <v>1285</v>
      </c>
    </row>
    <row r="335" spans="1:8">
      <c r="A335" s="6">
        <v>331</v>
      </c>
      <c r="B335" s="6" t="s">
        <v>1273</v>
      </c>
      <c r="C335" s="6" t="s">
        <v>1286</v>
      </c>
      <c r="D335" s="6" t="s">
        <v>1287</v>
      </c>
      <c r="E335" s="6" t="s">
        <v>339</v>
      </c>
      <c r="F335" s="6" t="s">
        <v>1288</v>
      </c>
      <c r="G335" s="6" t="s">
        <v>1289</v>
      </c>
    </row>
    <row r="336" spans="1:8">
      <c r="A336" s="6">
        <v>332</v>
      </c>
      <c r="B336" s="6" t="s">
        <v>1290</v>
      </c>
      <c r="C336" s="6" t="s">
        <v>336</v>
      </c>
      <c r="D336" s="6" t="s">
        <v>1291</v>
      </c>
      <c r="E336" s="6" t="s">
        <v>947</v>
      </c>
      <c r="F336" s="6" t="s">
        <v>339</v>
      </c>
      <c r="G336" s="6" t="s">
        <v>1292</v>
      </c>
      <c r="H336" s="6" t="s">
        <v>341</v>
      </c>
    </row>
    <row r="337" spans="1:8">
      <c r="A337" s="6">
        <v>333</v>
      </c>
      <c r="B337" s="6" t="s">
        <v>1290</v>
      </c>
      <c r="C337" s="6" t="s">
        <v>336</v>
      </c>
      <c r="D337" s="6" t="s">
        <v>1293</v>
      </c>
      <c r="E337" s="6" t="s">
        <v>1294</v>
      </c>
      <c r="F337" s="6" t="s">
        <v>339</v>
      </c>
      <c r="G337" s="6" t="s">
        <v>1295</v>
      </c>
      <c r="H337" s="6" t="s">
        <v>341</v>
      </c>
    </row>
    <row r="338" spans="1:8">
      <c r="A338" s="6">
        <v>334</v>
      </c>
      <c r="B338" s="6" t="s">
        <v>1296</v>
      </c>
      <c r="C338" s="6" t="s">
        <v>336</v>
      </c>
      <c r="D338" s="6" t="s">
        <v>1297</v>
      </c>
      <c r="E338" s="6" t="s">
        <v>1298</v>
      </c>
      <c r="F338" s="6" t="s">
        <v>339</v>
      </c>
      <c r="G338" s="6" t="s">
        <v>1299</v>
      </c>
      <c r="H338" s="6" t="s">
        <v>341</v>
      </c>
    </row>
    <row r="339" spans="1:8">
      <c r="A339" s="6">
        <v>335</v>
      </c>
      <c r="B339" s="6" t="s">
        <v>1296</v>
      </c>
      <c r="C339" s="6" t="s">
        <v>1300</v>
      </c>
      <c r="D339" s="6" t="s">
        <v>1301</v>
      </c>
      <c r="E339" s="6" t="s">
        <v>339</v>
      </c>
      <c r="F339" s="6" t="s">
        <v>1302</v>
      </c>
      <c r="G339" s="6" t="s">
        <v>1303</v>
      </c>
    </row>
    <row r="340" spans="1:8">
      <c r="A340" s="6">
        <v>336</v>
      </c>
      <c r="B340" s="6" t="s">
        <v>1296</v>
      </c>
      <c r="C340" s="6" t="s">
        <v>1304</v>
      </c>
      <c r="D340" s="6" t="s">
        <v>1305</v>
      </c>
      <c r="E340" s="6" t="s">
        <v>339</v>
      </c>
      <c r="F340" s="6" t="s">
        <v>1306</v>
      </c>
      <c r="G340" s="6" t="s">
        <v>1307</v>
      </c>
    </row>
    <row r="341" spans="1:8">
      <c r="A341" s="6">
        <v>337</v>
      </c>
      <c r="B341" s="6" t="s">
        <v>1308</v>
      </c>
      <c r="C341" s="6" t="s">
        <v>336</v>
      </c>
      <c r="D341" s="6" t="s">
        <v>1309</v>
      </c>
      <c r="E341" s="6" t="s">
        <v>1310</v>
      </c>
      <c r="F341" s="6" t="s">
        <v>339</v>
      </c>
      <c r="G341" s="6" t="s">
        <v>1311</v>
      </c>
      <c r="H341" s="6" t="s">
        <v>341</v>
      </c>
    </row>
    <row r="342" spans="1:8">
      <c r="A342" s="6">
        <v>338</v>
      </c>
      <c r="B342" s="6" t="s">
        <v>1308</v>
      </c>
      <c r="C342" s="6" t="s">
        <v>336</v>
      </c>
      <c r="D342" s="6" t="s">
        <v>1312</v>
      </c>
      <c r="E342" s="6" t="s">
        <v>524</v>
      </c>
      <c r="F342" s="6" t="s">
        <v>339</v>
      </c>
      <c r="G342" s="6" t="s">
        <v>1313</v>
      </c>
      <c r="H342" s="6" t="s">
        <v>341</v>
      </c>
    </row>
    <row r="343" spans="1:8">
      <c r="A343" s="6">
        <v>339</v>
      </c>
      <c r="B343" s="6" t="s">
        <v>1314</v>
      </c>
      <c r="C343" s="6" t="s">
        <v>336</v>
      </c>
      <c r="D343" s="6" t="s">
        <v>1315</v>
      </c>
      <c r="E343" s="6" t="s">
        <v>1316</v>
      </c>
      <c r="F343" s="6" t="s">
        <v>339</v>
      </c>
      <c r="G343" s="6" t="s">
        <v>1317</v>
      </c>
      <c r="H343" s="6" t="s">
        <v>341</v>
      </c>
    </row>
    <row r="344" spans="1:8">
      <c r="A344" s="6">
        <v>340</v>
      </c>
      <c r="B344" s="6" t="s">
        <v>1314</v>
      </c>
      <c r="C344" s="6" t="s">
        <v>336</v>
      </c>
      <c r="D344" s="6" t="s">
        <v>1318</v>
      </c>
      <c r="E344" s="6" t="s">
        <v>494</v>
      </c>
      <c r="F344" s="6" t="s">
        <v>339</v>
      </c>
      <c r="G344" s="6" t="s">
        <v>1319</v>
      </c>
      <c r="H344" s="6" t="s">
        <v>341</v>
      </c>
    </row>
    <row r="345" spans="1:8">
      <c r="A345" s="6">
        <v>341</v>
      </c>
      <c r="B345" s="6" t="s">
        <v>1314</v>
      </c>
      <c r="C345" s="6" t="s">
        <v>336</v>
      </c>
      <c r="D345" s="6" t="s">
        <v>1320</v>
      </c>
      <c r="E345" s="6" t="s">
        <v>494</v>
      </c>
      <c r="F345" s="6" t="s">
        <v>339</v>
      </c>
      <c r="G345" s="6" t="s">
        <v>1321</v>
      </c>
      <c r="H345" s="6" t="s">
        <v>341</v>
      </c>
    </row>
    <row r="346" spans="1:8">
      <c r="A346" s="6">
        <v>342</v>
      </c>
      <c r="B346" s="6" t="s">
        <v>1322</v>
      </c>
      <c r="C346" s="6" t="s">
        <v>336</v>
      </c>
      <c r="D346" s="6" t="s">
        <v>1323</v>
      </c>
      <c r="E346" s="6" t="s">
        <v>963</v>
      </c>
      <c r="F346" s="6" t="s">
        <v>339</v>
      </c>
      <c r="G346" s="6" t="s">
        <v>1324</v>
      </c>
      <c r="H346" s="6" t="s">
        <v>341</v>
      </c>
    </row>
    <row r="347" spans="1:8">
      <c r="A347" s="6">
        <v>343</v>
      </c>
      <c r="B347" s="6" t="s">
        <v>1322</v>
      </c>
      <c r="C347" s="6" t="s">
        <v>336</v>
      </c>
      <c r="D347" s="6" t="s">
        <v>1325</v>
      </c>
      <c r="E347" s="6" t="s">
        <v>1326</v>
      </c>
      <c r="F347" s="6" t="s">
        <v>339</v>
      </c>
      <c r="G347" s="6" t="s">
        <v>1327</v>
      </c>
      <c r="H347" s="6" t="s">
        <v>341</v>
      </c>
    </row>
    <row r="348" spans="1:8">
      <c r="A348" s="6">
        <v>344</v>
      </c>
      <c r="B348" s="6" t="s">
        <v>1322</v>
      </c>
      <c r="C348" s="6" t="s">
        <v>336</v>
      </c>
      <c r="D348" s="6" t="s">
        <v>1328</v>
      </c>
      <c r="E348" s="6" t="s">
        <v>532</v>
      </c>
      <c r="F348" s="6" t="s">
        <v>339</v>
      </c>
      <c r="G348" s="6" t="s">
        <v>1329</v>
      </c>
      <c r="H348" s="6" t="s">
        <v>341</v>
      </c>
    </row>
    <row r="349" spans="1:8">
      <c r="A349" s="6">
        <v>345</v>
      </c>
      <c r="B349" s="6" t="s">
        <v>1330</v>
      </c>
      <c r="C349" s="6" t="s">
        <v>336</v>
      </c>
      <c r="D349" s="6" t="s">
        <v>1331</v>
      </c>
      <c r="E349" s="6" t="s">
        <v>1332</v>
      </c>
      <c r="F349" s="6" t="s">
        <v>339</v>
      </c>
      <c r="G349" s="6" t="s">
        <v>1333</v>
      </c>
      <c r="H349" s="6" t="s">
        <v>341</v>
      </c>
    </row>
    <row r="350" spans="1:8">
      <c r="A350" s="6">
        <v>346</v>
      </c>
      <c r="B350" s="6" t="s">
        <v>1330</v>
      </c>
      <c r="C350" s="6" t="s">
        <v>336</v>
      </c>
      <c r="D350" s="6" t="s">
        <v>1334</v>
      </c>
      <c r="E350" s="6" t="s">
        <v>1335</v>
      </c>
      <c r="F350" s="6" t="s">
        <v>339</v>
      </c>
      <c r="G350" s="6" t="s">
        <v>1336</v>
      </c>
      <c r="H350" s="6" t="s">
        <v>341</v>
      </c>
    </row>
    <row r="351" spans="1:8">
      <c r="A351" s="6">
        <v>347</v>
      </c>
      <c r="B351" s="6" t="s">
        <v>1330</v>
      </c>
      <c r="C351" s="6" t="s">
        <v>336</v>
      </c>
      <c r="D351" s="6" t="s">
        <v>1337</v>
      </c>
      <c r="E351" s="6" t="s">
        <v>1338</v>
      </c>
      <c r="F351" s="6" t="s">
        <v>339</v>
      </c>
      <c r="G351" s="6" t="s">
        <v>1339</v>
      </c>
      <c r="H351" s="6" t="s">
        <v>341</v>
      </c>
    </row>
    <row r="352" spans="1:8">
      <c r="A352" s="6">
        <v>348</v>
      </c>
      <c r="B352" s="6" t="s">
        <v>1330</v>
      </c>
      <c r="C352" s="6" t="s">
        <v>336</v>
      </c>
      <c r="D352" s="6" t="s">
        <v>1340</v>
      </c>
      <c r="E352" s="6" t="s">
        <v>1341</v>
      </c>
      <c r="F352" s="6" t="s">
        <v>339</v>
      </c>
      <c r="G352" s="6" t="s">
        <v>1342</v>
      </c>
      <c r="H352" s="6" t="s">
        <v>341</v>
      </c>
    </row>
    <row r="353" spans="1:8">
      <c r="A353" s="6">
        <v>349</v>
      </c>
      <c r="B353" s="6" t="s">
        <v>1330</v>
      </c>
      <c r="C353" s="6" t="s">
        <v>336</v>
      </c>
      <c r="D353" s="6" t="s">
        <v>1343</v>
      </c>
      <c r="E353" s="6" t="s">
        <v>1344</v>
      </c>
      <c r="F353" s="6" t="s">
        <v>339</v>
      </c>
      <c r="G353" s="6" t="s">
        <v>1345</v>
      </c>
      <c r="H353" s="6" t="s">
        <v>341</v>
      </c>
    </row>
    <row r="354" spans="1:8">
      <c r="A354" s="6">
        <v>350</v>
      </c>
      <c r="B354" s="6" t="s">
        <v>1330</v>
      </c>
      <c r="C354" s="6" t="s">
        <v>336</v>
      </c>
      <c r="D354" s="6" t="s">
        <v>1346</v>
      </c>
      <c r="E354" s="6" t="s">
        <v>1347</v>
      </c>
      <c r="F354" s="6" t="s">
        <v>339</v>
      </c>
      <c r="G354" s="6" t="s">
        <v>1348</v>
      </c>
      <c r="H354" s="6" t="s">
        <v>341</v>
      </c>
    </row>
    <row r="355" spans="1:8">
      <c r="A355" s="6">
        <v>351</v>
      </c>
      <c r="B355" s="6" t="s">
        <v>1349</v>
      </c>
      <c r="C355" s="6" t="s">
        <v>336</v>
      </c>
      <c r="D355" s="6" t="s">
        <v>1350</v>
      </c>
      <c r="E355" s="6" t="s">
        <v>1351</v>
      </c>
      <c r="F355" s="6" t="s">
        <v>339</v>
      </c>
      <c r="G355" s="6" t="s">
        <v>1352</v>
      </c>
      <c r="H355" s="6" t="s">
        <v>341</v>
      </c>
    </row>
    <row r="356" spans="1:8">
      <c r="A356" s="6">
        <v>352</v>
      </c>
      <c r="B356" s="6" t="s">
        <v>1349</v>
      </c>
      <c r="C356" s="6" t="s">
        <v>336</v>
      </c>
      <c r="D356" s="6" t="s">
        <v>1353</v>
      </c>
      <c r="E356" s="6" t="s">
        <v>1354</v>
      </c>
      <c r="F356" s="6" t="s">
        <v>339</v>
      </c>
      <c r="G356" s="6" t="s">
        <v>1355</v>
      </c>
      <c r="H356" s="6" t="s">
        <v>341</v>
      </c>
    </row>
    <row r="357" spans="1:8">
      <c r="A357" s="6">
        <v>353</v>
      </c>
      <c r="B357" s="6" t="s">
        <v>1349</v>
      </c>
      <c r="C357" s="6" t="s">
        <v>336</v>
      </c>
      <c r="D357" s="6" t="s">
        <v>1356</v>
      </c>
      <c r="E357" s="6" t="s">
        <v>1177</v>
      </c>
      <c r="F357" s="6" t="s">
        <v>339</v>
      </c>
      <c r="G357" s="6" t="s">
        <v>1357</v>
      </c>
      <c r="H357" s="6" t="s">
        <v>341</v>
      </c>
    </row>
    <row r="358" spans="1:8">
      <c r="A358" s="6">
        <v>354</v>
      </c>
      <c r="B358" s="6" t="s">
        <v>1349</v>
      </c>
      <c r="C358" s="6" t="s">
        <v>336</v>
      </c>
      <c r="D358" s="6" t="s">
        <v>1358</v>
      </c>
      <c r="E358" s="6" t="s">
        <v>701</v>
      </c>
      <c r="F358" s="6" t="s">
        <v>339</v>
      </c>
      <c r="G358" s="6" t="s">
        <v>1359</v>
      </c>
      <c r="H358" s="6" t="s">
        <v>341</v>
      </c>
    </row>
    <row r="359" spans="1:8">
      <c r="A359" s="6">
        <v>355</v>
      </c>
      <c r="B359" s="6" t="s">
        <v>1349</v>
      </c>
      <c r="C359" s="6" t="s">
        <v>336</v>
      </c>
      <c r="D359" s="6" t="s">
        <v>1360</v>
      </c>
      <c r="E359" s="6" t="s">
        <v>1361</v>
      </c>
      <c r="F359" s="6" t="s">
        <v>339</v>
      </c>
      <c r="G359" s="6" t="s">
        <v>1362</v>
      </c>
      <c r="H359" s="6" t="s">
        <v>341</v>
      </c>
    </row>
    <row r="360" spans="1:8">
      <c r="A360" s="6">
        <v>356</v>
      </c>
      <c r="B360" s="6" t="s">
        <v>1349</v>
      </c>
      <c r="C360" s="6" t="s">
        <v>336</v>
      </c>
      <c r="D360" s="6" t="s">
        <v>1363</v>
      </c>
      <c r="E360" s="6" t="s">
        <v>1364</v>
      </c>
      <c r="F360" s="6" t="s">
        <v>339</v>
      </c>
      <c r="G360" s="6" t="s">
        <v>1365</v>
      </c>
      <c r="H360" s="6" t="s">
        <v>341</v>
      </c>
    </row>
    <row r="361" spans="1:8">
      <c r="A361" s="6">
        <v>357</v>
      </c>
      <c r="B361" s="6" t="s">
        <v>1349</v>
      </c>
      <c r="C361" s="6" t="s">
        <v>336</v>
      </c>
      <c r="D361" s="6" t="s">
        <v>1366</v>
      </c>
      <c r="E361" s="6" t="s">
        <v>1367</v>
      </c>
      <c r="F361" s="6" t="s">
        <v>339</v>
      </c>
      <c r="G361" s="6" t="s">
        <v>1368</v>
      </c>
      <c r="H361" s="6" t="s">
        <v>341</v>
      </c>
    </row>
    <row r="362" spans="1:8">
      <c r="A362" s="6">
        <v>358</v>
      </c>
      <c r="B362" s="6" t="s">
        <v>1349</v>
      </c>
      <c r="C362" s="6" t="s">
        <v>336</v>
      </c>
      <c r="D362" s="6" t="s">
        <v>1369</v>
      </c>
      <c r="E362" s="6" t="s">
        <v>494</v>
      </c>
      <c r="F362" s="6" t="s">
        <v>339</v>
      </c>
      <c r="G362" s="6" t="s">
        <v>1370</v>
      </c>
      <c r="H362" s="6" t="s">
        <v>341</v>
      </c>
    </row>
    <row r="363" spans="1:8">
      <c r="A363" s="6">
        <v>359</v>
      </c>
      <c r="B363" s="6" t="s">
        <v>1349</v>
      </c>
      <c r="C363" s="6" t="s">
        <v>336</v>
      </c>
      <c r="D363" s="6" t="s">
        <v>1371</v>
      </c>
      <c r="E363" s="6" t="s">
        <v>360</v>
      </c>
      <c r="F363" s="6" t="s">
        <v>339</v>
      </c>
      <c r="G363" s="6" t="s">
        <v>1372</v>
      </c>
      <c r="H363" s="6" t="s">
        <v>341</v>
      </c>
    </row>
    <row r="364" spans="1:8">
      <c r="A364" s="6">
        <v>360</v>
      </c>
      <c r="B364" s="6" t="s">
        <v>1349</v>
      </c>
      <c r="C364" s="6" t="s">
        <v>336</v>
      </c>
      <c r="D364" s="6" t="s">
        <v>1373</v>
      </c>
      <c r="E364" s="6" t="s">
        <v>1374</v>
      </c>
      <c r="F364" s="6" t="s">
        <v>339</v>
      </c>
      <c r="G364" s="6" t="s">
        <v>1375</v>
      </c>
      <c r="H364" s="6" t="s">
        <v>341</v>
      </c>
    </row>
    <row r="365" spans="1:8">
      <c r="A365" s="6">
        <v>361</v>
      </c>
      <c r="B365" s="6" t="s">
        <v>1376</v>
      </c>
      <c r="C365" s="6" t="s">
        <v>336</v>
      </c>
      <c r="D365" s="6" t="s">
        <v>1377</v>
      </c>
      <c r="E365" s="6" t="s">
        <v>1378</v>
      </c>
      <c r="F365" s="6" t="s">
        <v>339</v>
      </c>
      <c r="G365" s="6" t="s">
        <v>1379</v>
      </c>
      <c r="H365" s="6" t="s">
        <v>341</v>
      </c>
    </row>
    <row r="366" spans="1:8">
      <c r="A366" s="6">
        <v>362</v>
      </c>
      <c r="B366" s="6" t="s">
        <v>1380</v>
      </c>
      <c r="C366" s="6" t="s">
        <v>336</v>
      </c>
      <c r="D366" s="6" t="s">
        <v>1381</v>
      </c>
      <c r="E366" s="6" t="s">
        <v>1382</v>
      </c>
      <c r="F366" s="6" t="s">
        <v>339</v>
      </c>
      <c r="G366" s="6" t="s">
        <v>1383</v>
      </c>
      <c r="H366" s="6" t="s">
        <v>341</v>
      </c>
    </row>
    <row r="367" spans="1:8">
      <c r="A367" s="6">
        <v>363</v>
      </c>
      <c r="B367" s="6" t="s">
        <v>1384</v>
      </c>
      <c r="C367" s="6" t="s">
        <v>336</v>
      </c>
      <c r="D367" s="6" t="s">
        <v>1385</v>
      </c>
      <c r="E367" s="6" t="s">
        <v>431</v>
      </c>
      <c r="F367" s="6" t="s">
        <v>339</v>
      </c>
      <c r="G367" s="6" t="s">
        <v>1386</v>
      </c>
      <c r="H367" s="6" t="s">
        <v>341</v>
      </c>
    </row>
    <row r="368" spans="1:8">
      <c r="A368" s="6">
        <v>364</v>
      </c>
      <c r="B368" s="6" t="s">
        <v>1384</v>
      </c>
      <c r="C368" s="6" t="s">
        <v>336</v>
      </c>
      <c r="D368" s="6" t="s">
        <v>1387</v>
      </c>
      <c r="E368" s="6" t="s">
        <v>339</v>
      </c>
      <c r="F368" s="6" t="s">
        <v>1388</v>
      </c>
      <c r="G368" s="6" t="s">
        <v>1389</v>
      </c>
      <c r="H368" s="6" t="s">
        <v>388</v>
      </c>
    </row>
    <row r="369" spans="1:8">
      <c r="A369" s="6">
        <v>365</v>
      </c>
      <c r="B369" s="6" t="s">
        <v>1390</v>
      </c>
      <c r="C369" s="6" t="s">
        <v>336</v>
      </c>
      <c r="D369" s="6" t="s">
        <v>1391</v>
      </c>
      <c r="E369" s="6" t="s">
        <v>339</v>
      </c>
      <c r="F369" s="6" t="s">
        <v>947</v>
      </c>
      <c r="G369" s="6" t="s">
        <v>1392</v>
      </c>
      <c r="H369" s="6" t="s">
        <v>388</v>
      </c>
    </row>
    <row r="370" spans="1:8">
      <c r="A370" s="6">
        <v>366</v>
      </c>
      <c r="B370" s="6" t="s">
        <v>1393</v>
      </c>
      <c r="C370" s="6" t="s">
        <v>336</v>
      </c>
      <c r="D370" s="6" t="s">
        <v>1394</v>
      </c>
      <c r="E370" s="6" t="s">
        <v>349</v>
      </c>
      <c r="F370" s="6" t="s">
        <v>339</v>
      </c>
      <c r="G370" s="6" t="s">
        <v>1395</v>
      </c>
      <c r="H370" s="6" t="s">
        <v>341</v>
      </c>
    </row>
    <row r="371" spans="1:8">
      <c r="A371" s="6">
        <v>367</v>
      </c>
      <c r="B371" s="6" t="s">
        <v>1393</v>
      </c>
      <c r="C371" s="6" t="s">
        <v>1396</v>
      </c>
      <c r="D371" s="6" t="s">
        <v>1397</v>
      </c>
      <c r="E371" s="6" t="s">
        <v>339</v>
      </c>
      <c r="F371" s="6" t="s">
        <v>1398</v>
      </c>
      <c r="G371" s="6" t="s">
        <v>1399</v>
      </c>
    </row>
    <row r="372" spans="1:8">
      <c r="A372" s="6">
        <v>368</v>
      </c>
      <c r="B372" s="6" t="s">
        <v>1393</v>
      </c>
      <c r="C372" s="6" t="s">
        <v>1400</v>
      </c>
      <c r="D372" s="6" t="s">
        <v>1401</v>
      </c>
      <c r="E372" s="6" t="s">
        <v>339</v>
      </c>
      <c r="F372" s="6" t="s">
        <v>1402</v>
      </c>
      <c r="G372" s="6" t="s">
        <v>1403</v>
      </c>
    </row>
    <row r="373" spans="1:8">
      <c r="A373" s="6">
        <v>369</v>
      </c>
      <c r="B373" s="6" t="s">
        <v>1393</v>
      </c>
      <c r="C373" s="6" t="s">
        <v>1404</v>
      </c>
      <c r="D373" s="6" t="s">
        <v>1405</v>
      </c>
      <c r="E373" s="6" t="s">
        <v>339</v>
      </c>
      <c r="F373" s="6" t="s">
        <v>1406</v>
      </c>
      <c r="G373" s="6" t="s">
        <v>1407</v>
      </c>
    </row>
    <row r="374" spans="1:8">
      <c r="A374" s="6">
        <v>370</v>
      </c>
      <c r="B374" s="6" t="s">
        <v>1408</v>
      </c>
      <c r="C374" s="6" t="s">
        <v>1409</v>
      </c>
      <c r="D374" s="6" t="s">
        <v>1410</v>
      </c>
      <c r="E374" s="6" t="s">
        <v>339</v>
      </c>
      <c r="F374" s="6" t="s">
        <v>1411</v>
      </c>
      <c r="G374" s="6" t="s">
        <v>1412</v>
      </c>
    </row>
    <row r="375" spans="1:8">
      <c r="A375" s="6">
        <v>371</v>
      </c>
      <c r="B375" s="6" t="s">
        <v>1413</v>
      </c>
      <c r="C375" s="6" t="s">
        <v>336</v>
      </c>
      <c r="D375" s="6" t="s">
        <v>1414</v>
      </c>
      <c r="E375" s="6" t="s">
        <v>1415</v>
      </c>
      <c r="F375" s="6" t="s">
        <v>339</v>
      </c>
      <c r="G375" s="6" t="s">
        <v>1416</v>
      </c>
      <c r="H375" s="6" t="s">
        <v>341</v>
      </c>
    </row>
    <row r="376" spans="1:8">
      <c r="A376" s="6">
        <v>372</v>
      </c>
      <c r="B376" s="6" t="s">
        <v>1413</v>
      </c>
      <c r="C376" s="6" t="s">
        <v>336</v>
      </c>
      <c r="D376" s="6" t="s">
        <v>1417</v>
      </c>
      <c r="E376" s="6" t="s">
        <v>1418</v>
      </c>
      <c r="F376" s="6" t="s">
        <v>339</v>
      </c>
      <c r="G376" s="6" t="s">
        <v>1419</v>
      </c>
      <c r="H376" s="6" t="s">
        <v>341</v>
      </c>
    </row>
    <row r="377" spans="1:8">
      <c r="A377" s="6">
        <v>373</v>
      </c>
      <c r="B377" s="6" t="s">
        <v>1413</v>
      </c>
      <c r="C377" s="6" t="s">
        <v>336</v>
      </c>
      <c r="D377" s="6" t="s">
        <v>1420</v>
      </c>
      <c r="E377" s="6" t="s">
        <v>1421</v>
      </c>
      <c r="F377" s="6" t="s">
        <v>339</v>
      </c>
      <c r="G377" s="6" t="s">
        <v>1422</v>
      </c>
      <c r="H377" s="6" t="s">
        <v>341</v>
      </c>
    </row>
    <row r="378" spans="1:8">
      <c r="A378" s="6">
        <v>374</v>
      </c>
      <c r="B378" s="6" t="s">
        <v>1413</v>
      </c>
      <c r="C378" s="6" t="s">
        <v>336</v>
      </c>
      <c r="D378" s="6" t="s">
        <v>1423</v>
      </c>
      <c r="E378" s="6" t="s">
        <v>494</v>
      </c>
      <c r="F378" s="6" t="s">
        <v>339</v>
      </c>
      <c r="G378" s="6" t="s">
        <v>1424</v>
      </c>
      <c r="H378" s="6" t="s">
        <v>341</v>
      </c>
    </row>
    <row r="379" spans="1:8">
      <c r="A379" s="6">
        <v>375</v>
      </c>
      <c r="B379" s="6" t="s">
        <v>1413</v>
      </c>
      <c r="C379" s="6" t="s">
        <v>336</v>
      </c>
      <c r="D379" s="6" t="s">
        <v>1425</v>
      </c>
      <c r="E379" s="6" t="s">
        <v>1426</v>
      </c>
      <c r="F379" s="6" t="s">
        <v>339</v>
      </c>
      <c r="G379" s="6" t="s">
        <v>1427</v>
      </c>
      <c r="H379" s="6" t="s">
        <v>341</v>
      </c>
    </row>
    <row r="380" spans="1:8">
      <c r="A380" s="6">
        <v>376</v>
      </c>
      <c r="B380" s="6" t="s">
        <v>1413</v>
      </c>
      <c r="C380" s="6" t="s">
        <v>336</v>
      </c>
      <c r="D380" s="6" t="s">
        <v>1428</v>
      </c>
      <c r="E380" s="6" t="s">
        <v>1429</v>
      </c>
      <c r="F380" s="6" t="s">
        <v>339</v>
      </c>
      <c r="G380" s="6" t="s">
        <v>1430</v>
      </c>
      <c r="H380" s="6" t="s">
        <v>341</v>
      </c>
    </row>
    <row r="381" spans="1:8">
      <c r="A381" s="6">
        <v>377</v>
      </c>
      <c r="B381" s="6" t="s">
        <v>1413</v>
      </c>
      <c r="C381" s="6" t="s">
        <v>1431</v>
      </c>
      <c r="D381" s="6" t="s">
        <v>1432</v>
      </c>
      <c r="E381" s="6" t="s">
        <v>339</v>
      </c>
      <c r="F381" s="6" t="s">
        <v>1433</v>
      </c>
      <c r="G381" s="6" t="s">
        <v>1434</v>
      </c>
    </row>
    <row r="382" spans="1:8">
      <c r="A382" s="6">
        <v>378</v>
      </c>
      <c r="B382" s="6" t="s">
        <v>1413</v>
      </c>
      <c r="C382" s="6" t="s">
        <v>1435</v>
      </c>
      <c r="D382" s="6" t="s">
        <v>1436</v>
      </c>
      <c r="E382" s="6" t="s">
        <v>339</v>
      </c>
      <c r="F382" s="6" t="s">
        <v>1437</v>
      </c>
      <c r="G382" s="6" t="s">
        <v>1438</v>
      </c>
    </row>
    <row r="383" spans="1:8">
      <c r="A383" s="6">
        <v>379</v>
      </c>
      <c r="B383" s="6" t="s">
        <v>1413</v>
      </c>
      <c r="C383" s="6" t="s">
        <v>1439</v>
      </c>
      <c r="D383" s="6" t="s">
        <v>1440</v>
      </c>
      <c r="E383" s="6" t="s">
        <v>339</v>
      </c>
      <c r="F383" s="6" t="s">
        <v>1441</v>
      </c>
      <c r="G383" s="6" t="s">
        <v>1442</v>
      </c>
    </row>
    <row r="384" spans="1:8">
      <c r="A384" s="6">
        <v>380</v>
      </c>
      <c r="B384" s="6" t="s">
        <v>1443</v>
      </c>
      <c r="C384" s="6" t="s">
        <v>336</v>
      </c>
      <c r="D384" s="6" t="s">
        <v>1444</v>
      </c>
      <c r="E384" s="6" t="s">
        <v>1445</v>
      </c>
      <c r="F384" s="6" t="s">
        <v>339</v>
      </c>
      <c r="G384" s="6" t="s">
        <v>1446</v>
      </c>
      <c r="H384" s="6" t="s">
        <v>341</v>
      </c>
    </row>
    <row r="385" spans="1:8">
      <c r="A385" s="6">
        <v>381</v>
      </c>
      <c r="B385" s="6" t="s">
        <v>1447</v>
      </c>
      <c r="C385" s="6" t="s">
        <v>336</v>
      </c>
      <c r="D385" s="6" t="s">
        <v>1448</v>
      </c>
      <c r="E385" s="6" t="s">
        <v>473</v>
      </c>
      <c r="F385" s="6" t="s">
        <v>339</v>
      </c>
      <c r="G385" s="6" t="s">
        <v>1449</v>
      </c>
      <c r="H385" s="6" t="s">
        <v>341</v>
      </c>
    </row>
    <row r="386" spans="1:8">
      <c r="A386" s="6">
        <v>382</v>
      </c>
      <c r="B386" s="6" t="s">
        <v>1447</v>
      </c>
      <c r="C386" s="6" t="s">
        <v>336</v>
      </c>
      <c r="D386" s="6" t="s">
        <v>1450</v>
      </c>
      <c r="E386" s="6" t="s">
        <v>470</v>
      </c>
      <c r="F386" s="6" t="s">
        <v>339</v>
      </c>
      <c r="G386" s="6" t="s">
        <v>1451</v>
      </c>
      <c r="H386" s="6" t="s">
        <v>341</v>
      </c>
    </row>
    <row r="387" spans="1:8">
      <c r="A387" s="6">
        <v>383</v>
      </c>
      <c r="B387" s="6" t="s">
        <v>1452</v>
      </c>
      <c r="C387" s="6" t="s">
        <v>336</v>
      </c>
      <c r="D387" s="6" t="s">
        <v>1453</v>
      </c>
      <c r="E387" s="6" t="s">
        <v>583</v>
      </c>
      <c r="F387" s="6" t="s">
        <v>339</v>
      </c>
      <c r="G387" s="6" t="s">
        <v>1454</v>
      </c>
      <c r="H387" s="6" t="s">
        <v>341</v>
      </c>
    </row>
    <row r="388" spans="1:8">
      <c r="A388" s="6">
        <v>384</v>
      </c>
      <c r="B388" s="6" t="s">
        <v>1452</v>
      </c>
      <c r="C388" s="6" t="s">
        <v>336</v>
      </c>
      <c r="D388" s="6" t="s">
        <v>1455</v>
      </c>
      <c r="E388" s="6" t="s">
        <v>431</v>
      </c>
      <c r="F388" s="6" t="s">
        <v>339</v>
      </c>
      <c r="G388" s="6" t="s">
        <v>1456</v>
      </c>
      <c r="H388" s="6" t="s">
        <v>341</v>
      </c>
    </row>
    <row r="389" spans="1:8">
      <c r="A389" s="6">
        <v>385</v>
      </c>
      <c r="B389" s="6" t="s">
        <v>1452</v>
      </c>
      <c r="C389" s="6" t="s">
        <v>336</v>
      </c>
      <c r="D389" s="6" t="s">
        <v>1457</v>
      </c>
      <c r="E389" s="6" t="s">
        <v>679</v>
      </c>
      <c r="F389" s="6" t="s">
        <v>339</v>
      </c>
      <c r="G389" s="6" t="s">
        <v>1458</v>
      </c>
      <c r="H389" s="6" t="s">
        <v>341</v>
      </c>
    </row>
    <row r="390" spans="1:8">
      <c r="A390" s="6">
        <v>386</v>
      </c>
      <c r="B390" s="6" t="s">
        <v>1452</v>
      </c>
      <c r="C390" s="6" t="s">
        <v>336</v>
      </c>
      <c r="D390" s="6" t="s">
        <v>1459</v>
      </c>
      <c r="E390" s="6" t="s">
        <v>679</v>
      </c>
      <c r="F390" s="6" t="s">
        <v>339</v>
      </c>
      <c r="G390" s="6" t="s">
        <v>1460</v>
      </c>
      <c r="H390" s="6" t="s">
        <v>341</v>
      </c>
    </row>
    <row r="391" spans="1:8">
      <c r="A391" s="6">
        <v>387</v>
      </c>
      <c r="B391" s="6" t="s">
        <v>1452</v>
      </c>
      <c r="C391" s="6" t="s">
        <v>336</v>
      </c>
      <c r="D391" s="6" t="s">
        <v>1461</v>
      </c>
      <c r="E391" s="6" t="s">
        <v>431</v>
      </c>
      <c r="F391" s="6" t="s">
        <v>339</v>
      </c>
      <c r="G391" s="6" t="s">
        <v>1462</v>
      </c>
      <c r="H391" s="6" t="s">
        <v>341</v>
      </c>
    </row>
    <row r="392" spans="1:8">
      <c r="A392" s="6">
        <v>388</v>
      </c>
      <c r="B392" s="6" t="s">
        <v>1452</v>
      </c>
      <c r="C392" s="6" t="s">
        <v>336</v>
      </c>
      <c r="D392" s="6" t="s">
        <v>1463</v>
      </c>
      <c r="E392" s="6" t="s">
        <v>431</v>
      </c>
      <c r="F392" s="6" t="s">
        <v>339</v>
      </c>
      <c r="G392" s="6" t="s">
        <v>1464</v>
      </c>
      <c r="H392" s="6" t="s">
        <v>341</v>
      </c>
    </row>
    <row r="393" spans="1:8">
      <c r="A393" s="6">
        <v>389</v>
      </c>
      <c r="B393" s="6" t="s">
        <v>1452</v>
      </c>
      <c r="C393" s="6" t="s">
        <v>336</v>
      </c>
      <c r="D393" s="6" t="s">
        <v>1465</v>
      </c>
      <c r="E393" s="6" t="s">
        <v>357</v>
      </c>
      <c r="F393" s="6" t="s">
        <v>339</v>
      </c>
      <c r="G393" s="6" t="s">
        <v>1466</v>
      </c>
      <c r="H393" s="6" t="s">
        <v>341</v>
      </c>
    </row>
    <row r="394" spans="1:8">
      <c r="A394" s="6">
        <v>390</v>
      </c>
      <c r="B394" s="6" t="s">
        <v>1452</v>
      </c>
      <c r="C394" s="6" t="s">
        <v>336</v>
      </c>
      <c r="D394" s="6" t="s">
        <v>1467</v>
      </c>
      <c r="E394" s="6" t="s">
        <v>494</v>
      </c>
      <c r="F394" s="6" t="s">
        <v>339</v>
      </c>
      <c r="G394" s="6" t="s">
        <v>1468</v>
      </c>
      <c r="H394" s="6" t="s">
        <v>341</v>
      </c>
    </row>
    <row r="395" spans="1:8">
      <c r="A395" s="6">
        <v>391</v>
      </c>
      <c r="B395" s="6" t="s">
        <v>1452</v>
      </c>
      <c r="C395" s="6" t="s">
        <v>336</v>
      </c>
      <c r="D395" s="6" t="s">
        <v>1469</v>
      </c>
      <c r="E395" s="6" t="s">
        <v>431</v>
      </c>
      <c r="F395" s="6" t="s">
        <v>339</v>
      </c>
      <c r="G395" s="6" t="s">
        <v>1470</v>
      </c>
      <c r="H395" s="6" t="s">
        <v>341</v>
      </c>
    </row>
    <row r="396" spans="1:8">
      <c r="A396" s="6">
        <v>392</v>
      </c>
      <c r="B396" s="6" t="s">
        <v>1452</v>
      </c>
      <c r="C396" s="6" t="s">
        <v>336</v>
      </c>
      <c r="D396" s="6" t="s">
        <v>1471</v>
      </c>
      <c r="E396" s="6" t="s">
        <v>583</v>
      </c>
      <c r="F396" s="6" t="s">
        <v>339</v>
      </c>
      <c r="G396" s="6" t="s">
        <v>1472</v>
      </c>
      <c r="H396" s="6" t="s">
        <v>341</v>
      </c>
    </row>
    <row r="397" spans="1:8">
      <c r="A397" s="6">
        <v>393</v>
      </c>
      <c r="B397" s="6" t="s">
        <v>1452</v>
      </c>
      <c r="C397" s="6" t="s">
        <v>336</v>
      </c>
      <c r="D397" s="6" t="s">
        <v>1473</v>
      </c>
      <c r="E397" s="6" t="s">
        <v>1347</v>
      </c>
      <c r="F397" s="6" t="s">
        <v>339</v>
      </c>
      <c r="G397" s="6" t="s">
        <v>1474</v>
      </c>
      <c r="H397" s="6" t="s">
        <v>341</v>
      </c>
    </row>
    <row r="398" spans="1:8">
      <c r="A398" s="6">
        <v>394</v>
      </c>
      <c r="B398" s="6" t="s">
        <v>1452</v>
      </c>
      <c r="C398" s="6" t="s">
        <v>1475</v>
      </c>
      <c r="D398" s="6" t="s">
        <v>1476</v>
      </c>
      <c r="E398" s="6" t="s">
        <v>339</v>
      </c>
      <c r="F398" s="6" t="s">
        <v>1477</v>
      </c>
      <c r="G398" s="6" t="s">
        <v>1478</v>
      </c>
    </row>
    <row r="399" spans="1:8">
      <c r="A399" s="6">
        <v>395</v>
      </c>
      <c r="B399" s="6" t="s">
        <v>1452</v>
      </c>
      <c r="C399" s="6" t="s">
        <v>336</v>
      </c>
      <c r="D399" s="6" t="s">
        <v>1479</v>
      </c>
      <c r="E399" s="6" t="s">
        <v>1480</v>
      </c>
      <c r="F399" s="6" t="s">
        <v>339</v>
      </c>
      <c r="G399" s="6" t="s">
        <v>1481</v>
      </c>
      <c r="H399" s="6" t="s">
        <v>341</v>
      </c>
    </row>
    <row r="400" spans="1:8">
      <c r="A400" s="6">
        <v>396</v>
      </c>
      <c r="B400" s="6" t="s">
        <v>1482</v>
      </c>
      <c r="C400" s="6" t="s">
        <v>336</v>
      </c>
      <c r="D400" s="6" t="s">
        <v>1483</v>
      </c>
      <c r="E400" s="6" t="s">
        <v>1484</v>
      </c>
      <c r="F400" s="6" t="s">
        <v>339</v>
      </c>
      <c r="G400" s="6" t="s">
        <v>1485</v>
      </c>
      <c r="H400" s="6" t="s">
        <v>341</v>
      </c>
    </row>
    <row r="401" spans="1:8">
      <c r="A401" s="6">
        <v>397</v>
      </c>
      <c r="B401" s="6" t="s">
        <v>1482</v>
      </c>
      <c r="C401" s="6" t="s">
        <v>336</v>
      </c>
      <c r="D401" s="6" t="s">
        <v>1486</v>
      </c>
      <c r="E401" s="6" t="s">
        <v>1487</v>
      </c>
      <c r="F401" s="6" t="s">
        <v>339</v>
      </c>
      <c r="G401" s="6" t="s">
        <v>1488</v>
      </c>
      <c r="H401" s="6" t="s">
        <v>341</v>
      </c>
    </row>
    <row r="402" spans="1:8">
      <c r="A402" s="6">
        <v>398</v>
      </c>
      <c r="B402" s="6" t="s">
        <v>1482</v>
      </c>
      <c r="C402" s="6" t="s">
        <v>336</v>
      </c>
      <c r="D402" s="6" t="s">
        <v>1489</v>
      </c>
      <c r="E402" s="6" t="s">
        <v>1087</v>
      </c>
      <c r="F402" s="6" t="s">
        <v>339</v>
      </c>
      <c r="G402" s="6" t="s">
        <v>1490</v>
      </c>
      <c r="H402" s="6" t="s">
        <v>341</v>
      </c>
    </row>
    <row r="403" spans="1:8">
      <c r="A403" s="6">
        <v>399</v>
      </c>
      <c r="B403" s="6" t="s">
        <v>1482</v>
      </c>
      <c r="C403" s="6" t="s">
        <v>336</v>
      </c>
      <c r="D403" s="6" t="s">
        <v>1491</v>
      </c>
      <c r="E403" s="6" t="s">
        <v>1492</v>
      </c>
      <c r="F403" s="6" t="s">
        <v>339</v>
      </c>
      <c r="G403" s="6" t="s">
        <v>1493</v>
      </c>
      <c r="H403" s="6" t="s">
        <v>341</v>
      </c>
    </row>
    <row r="404" spans="1:8">
      <c r="A404" s="6">
        <v>400</v>
      </c>
      <c r="B404" s="6" t="s">
        <v>1494</v>
      </c>
      <c r="C404" s="6" t="s">
        <v>336</v>
      </c>
      <c r="D404" s="6" t="s">
        <v>1495</v>
      </c>
      <c r="E404" s="6" t="s">
        <v>1496</v>
      </c>
      <c r="F404" s="6" t="s">
        <v>339</v>
      </c>
      <c r="G404" s="6" t="s">
        <v>1497</v>
      </c>
      <c r="H404" s="6" t="s">
        <v>341</v>
      </c>
    </row>
    <row r="405" spans="1:8">
      <c r="A405" s="6">
        <v>401</v>
      </c>
      <c r="B405" s="6" t="s">
        <v>1494</v>
      </c>
      <c r="C405" s="6" t="s">
        <v>1498</v>
      </c>
      <c r="D405" s="6" t="s">
        <v>1499</v>
      </c>
      <c r="E405" s="6" t="s">
        <v>339</v>
      </c>
      <c r="F405" s="6" t="s">
        <v>1500</v>
      </c>
      <c r="G405" s="6" t="s">
        <v>1372</v>
      </c>
    </row>
    <row r="406" spans="1:8">
      <c r="A406" s="6">
        <v>402</v>
      </c>
      <c r="B406" s="6" t="s">
        <v>1494</v>
      </c>
      <c r="C406" s="6" t="s">
        <v>1501</v>
      </c>
      <c r="D406" s="6" t="s">
        <v>1502</v>
      </c>
      <c r="E406" s="6" t="s">
        <v>339</v>
      </c>
      <c r="F406" s="6" t="s">
        <v>1503</v>
      </c>
      <c r="G406" s="6" t="s">
        <v>1504</v>
      </c>
    </row>
    <row r="407" spans="1:8">
      <c r="A407" s="6">
        <v>403</v>
      </c>
      <c r="B407" s="6" t="s">
        <v>1494</v>
      </c>
      <c r="C407" s="6" t="s">
        <v>1505</v>
      </c>
      <c r="D407" s="6" t="s">
        <v>1506</v>
      </c>
      <c r="E407" s="6" t="s">
        <v>339</v>
      </c>
      <c r="F407" s="6" t="s">
        <v>1507</v>
      </c>
      <c r="G407" s="6" t="s">
        <v>1508</v>
      </c>
    </row>
    <row r="408" spans="1:8">
      <c r="A408" s="6">
        <v>404</v>
      </c>
      <c r="B408" s="6" t="s">
        <v>1509</v>
      </c>
      <c r="C408" s="6" t="s">
        <v>1510</v>
      </c>
      <c r="D408" s="6" t="s">
        <v>1511</v>
      </c>
      <c r="E408" s="6" t="s">
        <v>339</v>
      </c>
      <c r="F408" s="6" t="s">
        <v>1512</v>
      </c>
      <c r="G408" s="6" t="s">
        <v>1513</v>
      </c>
    </row>
    <row r="409" spans="1:8">
      <c r="A409" s="6">
        <v>405</v>
      </c>
      <c r="B409" s="6" t="s">
        <v>1509</v>
      </c>
      <c r="C409" s="6" t="s">
        <v>1514</v>
      </c>
      <c r="D409" s="6" t="s">
        <v>1515</v>
      </c>
      <c r="E409" s="6" t="s">
        <v>339</v>
      </c>
      <c r="F409" s="6" t="s">
        <v>1516</v>
      </c>
      <c r="G409" s="6" t="s">
        <v>1517</v>
      </c>
    </row>
    <row r="410" spans="1:8">
      <c r="A410" s="6">
        <v>406</v>
      </c>
      <c r="B410" s="6" t="s">
        <v>1518</v>
      </c>
      <c r="C410" s="6" t="s">
        <v>336</v>
      </c>
      <c r="D410" s="6" t="s">
        <v>1519</v>
      </c>
      <c r="E410" s="6" t="s">
        <v>1520</v>
      </c>
      <c r="F410" s="6" t="s">
        <v>339</v>
      </c>
      <c r="G410" s="6" t="s">
        <v>1521</v>
      </c>
      <c r="H410" s="6" t="s">
        <v>341</v>
      </c>
    </row>
    <row r="411" spans="1:8">
      <c r="A411" s="6">
        <v>407</v>
      </c>
      <c r="B411" s="6" t="s">
        <v>1518</v>
      </c>
      <c r="C411" s="6" t="s">
        <v>336</v>
      </c>
      <c r="D411" s="6" t="s">
        <v>1522</v>
      </c>
      <c r="E411" s="6" t="s">
        <v>583</v>
      </c>
      <c r="F411" s="6" t="s">
        <v>339</v>
      </c>
      <c r="G411" s="6" t="s">
        <v>1523</v>
      </c>
      <c r="H411" s="6" t="s">
        <v>341</v>
      </c>
    </row>
    <row r="412" spans="1:8">
      <c r="A412" s="6">
        <v>408</v>
      </c>
      <c r="B412" s="6" t="s">
        <v>1518</v>
      </c>
      <c r="C412" s="6" t="s">
        <v>336</v>
      </c>
      <c r="D412" s="6" t="s">
        <v>1524</v>
      </c>
      <c r="E412" s="6" t="s">
        <v>364</v>
      </c>
      <c r="F412" s="6" t="s">
        <v>339</v>
      </c>
      <c r="G412" s="6" t="s">
        <v>1525</v>
      </c>
      <c r="H412" s="6" t="s">
        <v>341</v>
      </c>
    </row>
    <row r="413" spans="1:8">
      <c r="A413" s="6">
        <v>409</v>
      </c>
      <c r="B413" s="6" t="s">
        <v>1526</v>
      </c>
      <c r="C413" s="6" t="s">
        <v>336</v>
      </c>
      <c r="D413" s="6" t="s">
        <v>1527</v>
      </c>
      <c r="E413" s="6" t="s">
        <v>364</v>
      </c>
      <c r="F413" s="6" t="s">
        <v>339</v>
      </c>
      <c r="G413" s="6" t="s">
        <v>1528</v>
      </c>
      <c r="H413" s="6" t="s">
        <v>341</v>
      </c>
    </row>
    <row r="414" spans="1:8">
      <c r="A414" s="6">
        <v>410</v>
      </c>
      <c r="B414" s="6" t="s">
        <v>1526</v>
      </c>
      <c r="C414" s="6" t="s">
        <v>336</v>
      </c>
      <c r="D414" s="6" t="s">
        <v>1529</v>
      </c>
      <c r="E414" s="6" t="s">
        <v>524</v>
      </c>
      <c r="F414" s="6" t="s">
        <v>339</v>
      </c>
      <c r="G414" s="6" t="s">
        <v>1530</v>
      </c>
      <c r="H414" s="6" t="s">
        <v>341</v>
      </c>
    </row>
    <row r="415" spans="1:8">
      <c r="A415" s="6">
        <v>411</v>
      </c>
      <c r="B415" s="6" t="s">
        <v>1526</v>
      </c>
      <c r="C415" s="6" t="s">
        <v>336</v>
      </c>
      <c r="D415" s="6" t="s">
        <v>1531</v>
      </c>
      <c r="E415" s="6" t="s">
        <v>339</v>
      </c>
      <c r="F415" s="6" t="s">
        <v>583</v>
      </c>
      <c r="G415" s="6" t="s">
        <v>1532</v>
      </c>
      <c r="H415" s="6" t="s">
        <v>341</v>
      </c>
    </row>
    <row r="416" spans="1:8">
      <c r="A416" s="6">
        <v>412</v>
      </c>
      <c r="B416" s="6" t="s">
        <v>1533</v>
      </c>
      <c r="C416" s="6" t="s">
        <v>336</v>
      </c>
      <c r="D416" s="6" t="s">
        <v>1534</v>
      </c>
      <c r="E416" s="6" t="s">
        <v>1535</v>
      </c>
      <c r="F416" s="6" t="s">
        <v>339</v>
      </c>
      <c r="G416" s="6" t="s">
        <v>1536</v>
      </c>
      <c r="H416" s="6" t="s">
        <v>341</v>
      </c>
    </row>
    <row r="417" spans="1:8">
      <c r="A417" s="6">
        <v>413</v>
      </c>
      <c r="B417" s="6" t="s">
        <v>1533</v>
      </c>
      <c r="C417" s="6" t="s">
        <v>336</v>
      </c>
      <c r="D417" s="6" t="s">
        <v>1537</v>
      </c>
      <c r="E417" s="6" t="s">
        <v>494</v>
      </c>
      <c r="F417" s="6" t="s">
        <v>339</v>
      </c>
      <c r="G417" s="6" t="s">
        <v>1538</v>
      </c>
      <c r="H417" s="6" t="s">
        <v>341</v>
      </c>
    </row>
    <row r="418" spans="1:8">
      <c r="A418" s="6">
        <v>414</v>
      </c>
      <c r="B418" s="6" t="s">
        <v>1533</v>
      </c>
      <c r="C418" s="6" t="s">
        <v>336</v>
      </c>
      <c r="D418" s="6" t="s">
        <v>1539</v>
      </c>
      <c r="E418" s="6" t="s">
        <v>1347</v>
      </c>
      <c r="F418" s="6" t="s">
        <v>339</v>
      </c>
      <c r="G418" s="6" t="s">
        <v>1540</v>
      </c>
      <c r="H418" s="6" t="s">
        <v>341</v>
      </c>
    </row>
    <row r="419" spans="1:8">
      <c r="A419" s="6">
        <v>415</v>
      </c>
      <c r="B419" s="6" t="s">
        <v>1533</v>
      </c>
      <c r="C419" s="6" t="s">
        <v>336</v>
      </c>
      <c r="D419" s="6" t="s">
        <v>1541</v>
      </c>
      <c r="E419" s="6" t="s">
        <v>364</v>
      </c>
      <c r="F419" s="6" t="s">
        <v>339</v>
      </c>
      <c r="G419" s="6" t="s">
        <v>1542</v>
      </c>
      <c r="H419" s="6" t="s">
        <v>341</v>
      </c>
    </row>
    <row r="420" spans="1:8">
      <c r="A420" s="6">
        <v>416</v>
      </c>
      <c r="B420" s="6" t="s">
        <v>1543</v>
      </c>
      <c r="C420" s="6" t="s">
        <v>336</v>
      </c>
      <c r="D420" s="6" t="s">
        <v>1544</v>
      </c>
      <c r="E420" s="6" t="s">
        <v>404</v>
      </c>
      <c r="F420" s="6" t="s">
        <v>339</v>
      </c>
      <c r="G420" s="6" t="s">
        <v>1545</v>
      </c>
      <c r="H420" s="6" t="s">
        <v>341</v>
      </c>
    </row>
    <row r="421" spans="1:8">
      <c r="A421" s="6">
        <v>417</v>
      </c>
      <c r="B421" s="6" t="s">
        <v>1543</v>
      </c>
      <c r="C421" s="6" t="s">
        <v>336</v>
      </c>
      <c r="D421" s="6" t="s">
        <v>1546</v>
      </c>
      <c r="E421" s="6" t="s">
        <v>1547</v>
      </c>
      <c r="F421" s="6" t="s">
        <v>339</v>
      </c>
      <c r="G421" s="6" t="s">
        <v>1548</v>
      </c>
      <c r="H421" s="6" t="s">
        <v>341</v>
      </c>
    </row>
    <row r="422" spans="1:8">
      <c r="A422" s="6">
        <v>418</v>
      </c>
      <c r="B422" s="6" t="s">
        <v>1549</v>
      </c>
      <c r="C422" s="6" t="s">
        <v>336</v>
      </c>
      <c r="D422" s="6" t="s">
        <v>1550</v>
      </c>
      <c r="E422" s="6" t="s">
        <v>1551</v>
      </c>
      <c r="F422" s="6" t="s">
        <v>339</v>
      </c>
      <c r="G422" s="6" t="s">
        <v>1552</v>
      </c>
      <c r="H422" s="6" t="s">
        <v>341</v>
      </c>
    </row>
    <row r="423" spans="1:8">
      <c r="A423" s="6">
        <v>419</v>
      </c>
      <c r="B423" s="6" t="s">
        <v>1549</v>
      </c>
      <c r="C423" s="6" t="s">
        <v>336</v>
      </c>
      <c r="D423" s="6" t="s">
        <v>1553</v>
      </c>
      <c r="E423" s="6" t="s">
        <v>339</v>
      </c>
      <c r="F423" s="6" t="s">
        <v>1554</v>
      </c>
      <c r="G423" s="6" t="s">
        <v>1555</v>
      </c>
      <c r="H423" s="6" t="s">
        <v>341</v>
      </c>
    </row>
    <row r="424" spans="1:8">
      <c r="A424" s="6">
        <v>420</v>
      </c>
      <c r="B424" s="6" t="s">
        <v>1549</v>
      </c>
      <c r="C424" s="6" t="s">
        <v>336</v>
      </c>
      <c r="D424" s="6" t="s">
        <v>1556</v>
      </c>
      <c r="E424" s="6" t="s">
        <v>364</v>
      </c>
      <c r="F424" s="6" t="s">
        <v>339</v>
      </c>
      <c r="G424" s="6" t="s">
        <v>1557</v>
      </c>
      <c r="H424" s="6" t="s">
        <v>341</v>
      </c>
    </row>
    <row r="425" spans="1:8">
      <c r="A425" s="6">
        <v>421</v>
      </c>
      <c r="B425" s="6" t="s">
        <v>1549</v>
      </c>
      <c r="C425" s="6" t="s">
        <v>1558</v>
      </c>
      <c r="D425" s="6" t="s">
        <v>1559</v>
      </c>
      <c r="E425" s="6" t="s">
        <v>339</v>
      </c>
      <c r="F425" s="6" t="s">
        <v>1560</v>
      </c>
      <c r="G425" s="6" t="s">
        <v>1561</v>
      </c>
    </row>
    <row r="426" spans="1:8">
      <c r="A426" s="6">
        <v>422</v>
      </c>
      <c r="B426" s="6" t="s">
        <v>1562</v>
      </c>
      <c r="C426" s="6" t="s">
        <v>336</v>
      </c>
      <c r="D426" s="6" t="s">
        <v>1563</v>
      </c>
      <c r="E426" s="6" t="s">
        <v>364</v>
      </c>
      <c r="F426" s="6" t="s">
        <v>339</v>
      </c>
      <c r="G426" s="6" t="s">
        <v>1564</v>
      </c>
      <c r="H426" s="6" t="s">
        <v>341</v>
      </c>
    </row>
    <row r="427" spans="1:8">
      <c r="A427" s="6">
        <v>423</v>
      </c>
      <c r="B427" s="6" t="s">
        <v>1562</v>
      </c>
      <c r="C427" s="6" t="s">
        <v>336</v>
      </c>
      <c r="D427" s="6" t="s">
        <v>1565</v>
      </c>
      <c r="E427" s="6" t="s">
        <v>1566</v>
      </c>
      <c r="F427" s="6" t="s">
        <v>339</v>
      </c>
      <c r="G427" s="6" t="s">
        <v>1567</v>
      </c>
      <c r="H427" s="6" t="s">
        <v>341</v>
      </c>
    </row>
    <row r="428" spans="1:8">
      <c r="A428" s="6">
        <v>424</v>
      </c>
      <c r="B428" s="6" t="s">
        <v>1562</v>
      </c>
      <c r="C428" s="6" t="s">
        <v>1568</v>
      </c>
      <c r="D428" s="6" t="s">
        <v>1569</v>
      </c>
      <c r="E428" s="6" t="s">
        <v>339</v>
      </c>
      <c r="F428" s="6" t="s">
        <v>1570</v>
      </c>
      <c r="G428" s="6" t="s">
        <v>1571</v>
      </c>
    </row>
    <row r="429" spans="1:8">
      <c r="A429" s="6">
        <v>425</v>
      </c>
      <c r="B429" s="6" t="s">
        <v>1562</v>
      </c>
      <c r="C429" s="6" t="s">
        <v>336</v>
      </c>
      <c r="D429" s="6" t="s">
        <v>1572</v>
      </c>
      <c r="E429" s="6" t="s">
        <v>494</v>
      </c>
      <c r="F429" s="6" t="s">
        <v>339</v>
      </c>
      <c r="G429" s="6" t="s">
        <v>1573</v>
      </c>
      <c r="H429" s="6" t="s">
        <v>341</v>
      </c>
    </row>
    <row r="430" spans="1:8">
      <c r="A430" s="6">
        <v>426</v>
      </c>
      <c r="B430" s="6" t="s">
        <v>1574</v>
      </c>
      <c r="C430" s="6" t="s">
        <v>336</v>
      </c>
      <c r="D430" s="6" t="s">
        <v>1575</v>
      </c>
      <c r="E430" s="6" t="s">
        <v>494</v>
      </c>
      <c r="F430" s="6" t="s">
        <v>339</v>
      </c>
      <c r="G430" s="6" t="s">
        <v>1576</v>
      </c>
      <c r="H430" s="6" t="s">
        <v>341</v>
      </c>
    </row>
    <row r="431" spans="1:8">
      <c r="A431" s="6">
        <v>427</v>
      </c>
      <c r="B431" s="6" t="s">
        <v>1574</v>
      </c>
      <c r="C431" s="6" t="s">
        <v>1577</v>
      </c>
      <c r="D431" s="6" t="s">
        <v>1578</v>
      </c>
      <c r="E431" s="6" t="s">
        <v>339</v>
      </c>
      <c r="F431" s="6" t="s">
        <v>1579</v>
      </c>
      <c r="G431" s="6" t="s">
        <v>1580</v>
      </c>
    </row>
    <row r="432" spans="1:8">
      <c r="A432" s="6">
        <v>428</v>
      </c>
      <c r="B432" s="6" t="s">
        <v>1574</v>
      </c>
      <c r="C432" s="6" t="s">
        <v>1581</v>
      </c>
      <c r="D432" s="6" t="s">
        <v>1582</v>
      </c>
      <c r="E432" s="6" t="s">
        <v>339</v>
      </c>
      <c r="F432" s="6" t="s">
        <v>1583</v>
      </c>
      <c r="G432" s="6" t="s">
        <v>1584</v>
      </c>
    </row>
    <row r="433" spans="1:8">
      <c r="A433" s="6">
        <v>429</v>
      </c>
      <c r="B433" s="6" t="s">
        <v>1574</v>
      </c>
      <c r="C433" s="6" t="s">
        <v>1585</v>
      </c>
      <c r="D433" s="6" t="s">
        <v>1586</v>
      </c>
      <c r="E433" s="6" t="s">
        <v>339</v>
      </c>
      <c r="F433" s="6" t="s">
        <v>1587</v>
      </c>
      <c r="G433" s="6" t="s">
        <v>1588</v>
      </c>
    </row>
    <row r="434" spans="1:8">
      <c r="A434" s="6">
        <v>430</v>
      </c>
      <c r="B434" s="6" t="s">
        <v>1589</v>
      </c>
      <c r="C434" s="6" t="s">
        <v>336</v>
      </c>
      <c r="D434" s="6" t="s">
        <v>1590</v>
      </c>
      <c r="E434" s="6" t="s">
        <v>524</v>
      </c>
      <c r="F434" s="6" t="s">
        <v>339</v>
      </c>
      <c r="G434" s="6" t="s">
        <v>1591</v>
      </c>
      <c r="H434" s="6" t="s">
        <v>341</v>
      </c>
    </row>
    <row r="435" spans="1:8">
      <c r="A435" s="6">
        <v>431</v>
      </c>
      <c r="B435" s="6" t="s">
        <v>1589</v>
      </c>
      <c r="C435" s="6" t="s">
        <v>336</v>
      </c>
      <c r="D435" s="6" t="s">
        <v>1592</v>
      </c>
      <c r="E435" s="6" t="s">
        <v>1593</v>
      </c>
      <c r="F435" s="6" t="s">
        <v>339</v>
      </c>
      <c r="G435" s="6" t="s">
        <v>1594</v>
      </c>
      <c r="H435" s="6" t="s">
        <v>341</v>
      </c>
    </row>
    <row r="436" spans="1:8">
      <c r="A436" s="6">
        <v>432</v>
      </c>
      <c r="B436" s="6" t="s">
        <v>1589</v>
      </c>
      <c r="C436" s="6" t="s">
        <v>336</v>
      </c>
      <c r="D436" s="6" t="s">
        <v>1595</v>
      </c>
      <c r="E436" s="6" t="s">
        <v>364</v>
      </c>
      <c r="F436" s="6" t="s">
        <v>339</v>
      </c>
      <c r="G436" s="6" t="s">
        <v>1596</v>
      </c>
      <c r="H436" s="6" t="s">
        <v>341</v>
      </c>
    </row>
    <row r="437" spans="1:8">
      <c r="A437" s="6">
        <v>433</v>
      </c>
      <c r="B437" s="6" t="s">
        <v>1589</v>
      </c>
      <c r="C437" s="6" t="s">
        <v>1597</v>
      </c>
      <c r="D437" s="6" t="s">
        <v>1598</v>
      </c>
      <c r="E437" s="6" t="s">
        <v>339</v>
      </c>
      <c r="F437" s="6" t="s">
        <v>1599</v>
      </c>
      <c r="G437" s="6" t="s">
        <v>1600</v>
      </c>
    </row>
    <row r="438" spans="1:8">
      <c r="A438" s="6">
        <v>434</v>
      </c>
      <c r="B438" s="6" t="s">
        <v>1589</v>
      </c>
      <c r="C438" s="6" t="s">
        <v>1601</v>
      </c>
      <c r="D438" s="6" t="s">
        <v>1602</v>
      </c>
      <c r="E438" s="6" t="s">
        <v>339</v>
      </c>
      <c r="F438" s="6" t="s">
        <v>1603</v>
      </c>
      <c r="G438" s="6" t="s">
        <v>1604</v>
      </c>
    </row>
    <row r="439" spans="1:8">
      <c r="A439" s="6">
        <v>435</v>
      </c>
      <c r="B439" s="6" t="s">
        <v>1589</v>
      </c>
      <c r="C439" s="6" t="s">
        <v>336</v>
      </c>
      <c r="D439" s="6" t="s">
        <v>1605</v>
      </c>
      <c r="E439" s="6" t="s">
        <v>524</v>
      </c>
      <c r="F439" s="6" t="s">
        <v>339</v>
      </c>
      <c r="G439" s="6" t="s">
        <v>1606</v>
      </c>
      <c r="H439" s="6" t="s">
        <v>341</v>
      </c>
    </row>
    <row r="440" spans="1:8">
      <c r="A440" s="6">
        <v>436</v>
      </c>
      <c r="B440" s="6" t="s">
        <v>1607</v>
      </c>
      <c r="C440" s="6" t="s">
        <v>1608</v>
      </c>
      <c r="D440" s="6" t="s">
        <v>1609</v>
      </c>
      <c r="E440" s="6" t="s">
        <v>339</v>
      </c>
      <c r="F440" s="6" t="s">
        <v>1610</v>
      </c>
      <c r="G440" s="6" t="s">
        <v>1611</v>
      </c>
    </row>
    <row r="441" spans="1:8">
      <c r="A441" s="6">
        <v>437</v>
      </c>
      <c r="B441" s="6" t="s">
        <v>1612</v>
      </c>
      <c r="C441" s="6" t="s">
        <v>336</v>
      </c>
      <c r="D441" s="6" t="s">
        <v>1613</v>
      </c>
      <c r="E441" s="6" t="s">
        <v>494</v>
      </c>
      <c r="F441" s="6" t="s">
        <v>339</v>
      </c>
      <c r="G441" s="6" t="s">
        <v>1614</v>
      </c>
      <c r="H441" s="6" t="s">
        <v>341</v>
      </c>
    </row>
    <row r="442" spans="1:8">
      <c r="A442" s="6">
        <v>438</v>
      </c>
      <c r="B442" s="6" t="s">
        <v>1612</v>
      </c>
      <c r="C442" s="6" t="s">
        <v>336</v>
      </c>
      <c r="D442" s="6" t="s">
        <v>1615</v>
      </c>
      <c r="E442" s="6" t="s">
        <v>1616</v>
      </c>
      <c r="F442" s="6" t="s">
        <v>339</v>
      </c>
      <c r="G442" s="6" t="s">
        <v>1617</v>
      </c>
      <c r="H442" s="6" t="s">
        <v>341</v>
      </c>
    </row>
    <row r="443" spans="1:8">
      <c r="A443" s="6">
        <v>439</v>
      </c>
      <c r="B443" s="6" t="s">
        <v>1612</v>
      </c>
      <c r="C443" s="6" t="s">
        <v>336</v>
      </c>
      <c r="D443" s="6" t="s">
        <v>1618</v>
      </c>
      <c r="E443" s="6" t="s">
        <v>1619</v>
      </c>
      <c r="F443" s="6" t="s">
        <v>339</v>
      </c>
      <c r="G443" s="6" t="s">
        <v>1620</v>
      </c>
      <c r="H443" s="6" t="s">
        <v>341</v>
      </c>
    </row>
    <row r="444" spans="1:8">
      <c r="A444" s="6">
        <v>440</v>
      </c>
      <c r="B444" s="6" t="s">
        <v>1612</v>
      </c>
      <c r="C444" s="6" t="s">
        <v>336</v>
      </c>
      <c r="D444" s="6" t="s">
        <v>1621</v>
      </c>
      <c r="E444" s="6" t="s">
        <v>357</v>
      </c>
      <c r="F444" s="6" t="s">
        <v>339</v>
      </c>
      <c r="G444" s="6" t="s">
        <v>1622</v>
      </c>
      <c r="H444" s="6" t="s">
        <v>341</v>
      </c>
    </row>
    <row r="445" spans="1:8">
      <c r="A445" s="6">
        <v>441</v>
      </c>
      <c r="B445" s="6" t="s">
        <v>1612</v>
      </c>
      <c r="C445" s="6" t="s">
        <v>336</v>
      </c>
      <c r="D445" s="6" t="s">
        <v>1623</v>
      </c>
      <c r="E445" s="6" t="s">
        <v>1624</v>
      </c>
      <c r="F445" s="6" t="s">
        <v>339</v>
      </c>
      <c r="G445" s="6" t="s">
        <v>1625</v>
      </c>
      <c r="H445" s="6" t="s">
        <v>341</v>
      </c>
    </row>
    <row r="446" spans="1:8">
      <c r="A446" s="6">
        <v>442</v>
      </c>
      <c r="B446" s="6" t="s">
        <v>1612</v>
      </c>
      <c r="C446" s="6" t="s">
        <v>336</v>
      </c>
      <c r="D446" s="6" t="s">
        <v>1626</v>
      </c>
      <c r="E446" s="6" t="s">
        <v>1627</v>
      </c>
      <c r="F446" s="6" t="s">
        <v>339</v>
      </c>
      <c r="G446" s="6" t="s">
        <v>1628</v>
      </c>
      <c r="H446" s="6" t="s">
        <v>341</v>
      </c>
    </row>
    <row r="447" spans="1:8">
      <c r="A447" s="6">
        <v>443</v>
      </c>
      <c r="B447" s="6" t="s">
        <v>1612</v>
      </c>
      <c r="C447" s="6" t="s">
        <v>336</v>
      </c>
      <c r="D447" s="6" t="s">
        <v>1629</v>
      </c>
      <c r="E447" s="6" t="s">
        <v>1630</v>
      </c>
      <c r="F447" s="6" t="s">
        <v>339</v>
      </c>
      <c r="G447" s="6" t="s">
        <v>1631</v>
      </c>
      <c r="H447" s="6" t="s">
        <v>341</v>
      </c>
    </row>
    <row r="448" spans="1:8">
      <c r="A448" s="6">
        <v>444</v>
      </c>
      <c r="B448" s="6" t="s">
        <v>1612</v>
      </c>
      <c r="C448" s="6" t="s">
        <v>336</v>
      </c>
      <c r="D448" s="6" t="s">
        <v>1632</v>
      </c>
      <c r="E448" s="6" t="s">
        <v>1630</v>
      </c>
      <c r="F448" s="6" t="s">
        <v>339</v>
      </c>
      <c r="G448" s="6" t="s">
        <v>1633</v>
      </c>
      <c r="H448" s="6" t="s">
        <v>341</v>
      </c>
    </row>
    <row r="449" spans="1:8">
      <c r="A449" s="6">
        <v>445</v>
      </c>
      <c r="B449" s="6" t="s">
        <v>1612</v>
      </c>
      <c r="C449" s="6" t="s">
        <v>336</v>
      </c>
      <c r="D449" s="6" t="s">
        <v>1634</v>
      </c>
      <c r="E449" s="6" t="s">
        <v>494</v>
      </c>
      <c r="F449" s="6" t="s">
        <v>339</v>
      </c>
      <c r="G449" s="6" t="s">
        <v>1635</v>
      </c>
      <c r="H449" s="6" t="s">
        <v>341</v>
      </c>
    </row>
    <row r="450" spans="1:8">
      <c r="A450" s="6">
        <v>446</v>
      </c>
      <c r="B450" s="6" t="s">
        <v>1612</v>
      </c>
      <c r="C450" s="6" t="s">
        <v>336</v>
      </c>
      <c r="D450" s="6" t="s">
        <v>1636</v>
      </c>
      <c r="E450" s="6" t="s">
        <v>404</v>
      </c>
      <c r="F450" s="6" t="s">
        <v>339</v>
      </c>
      <c r="G450" s="6" t="s">
        <v>1637</v>
      </c>
      <c r="H450" s="6" t="s">
        <v>341</v>
      </c>
    </row>
    <row r="451" spans="1:8">
      <c r="A451" s="6">
        <v>447</v>
      </c>
      <c r="B451" s="6" t="s">
        <v>1612</v>
      </c>
      <c r="C451" s="6" t="s">
        <v>336</v>
      </c>
      <c r="D451" s="6" t="s">
        <v>1638</v>
      </c>
      <c r="E451" s="6" t="s">
        <v>1639</v>
      </c>
      <c r="F451" s="6" t="s">
        <v>339</v>
      </c>
      <c r="G451" s="6" t="s">
        <v>1640</v>
      </c>
      <c r="H451" s="6" t="s">
        <v>341</v>
      </c>
    </row>
    <row r="452" spans="1:8">
      <c r="A452" s="6">
        <v>448</v>
      </c>
      <c r="B452" s="6" t="s">
        <v>1641</v>
      </c>
      <c r="C452" s="6" t="s">
        <v>336</v>
      </c>
      <c r="D452" s="6" t="s">
        <v>1642</v>
      </c>
      <c r="E452" s="6" t="s">
        <v>360</v>
      </c>
      <c r="F452" s="6" t="s">
        <v>339</v>
      </c>
      <c r="G452" s="6" t="s">
        <v>1643</v>
      </c>
      <c r="H452" s="6" t="s">
        <v>341</v>
      </c>
    </row>
    <row r="453" spans="1:8">
      <c r="A453" s="6">
        <v>449</v>
      </c>
      <c r="B453" s="6" t="s">
        <v>1641</v>
      </c>
      <c r="C453" s="6" t="s">
        <v>336</v>
      </c>
      <c r="D453" s="6" t="s">
        <v>1644</v>
      </c>
      <c r="E453" s="6" t="s">
        <v>1087</v>
      </c>
      <c r="F453" s="6" t="s">
        <v>339</v>
      </c>
      <c r="G453" s="6" t="s">
        <v>1645</v>
      </c>
      <c r="H453" s="6" t="s">
        <v>341</v>
      </c>
    </row>
    <row r="454" spans="1:8">
      <c r="A454" s="6">
        <v>450</v>
      </c>
      <c r="B454" s="6" t="s">
        <v>1641</v>
      </c>
      <c r="C454" s="6" t="s">
        <v>336</v>
      </c>
      <c r="D454" s="6" t="s">
        <v>1646</v>
      </c>
      <c r="E454" s="6" t="s">
        <v>1647</v>
      </c>
      <c r="F454" s="6" t="s">
        <v>339</v>
      </c>
      <c r="G454" s="6" t="s">
        <v>1648</v>
      </c>
      <c r="H454" s="6" t="s">
        <v>341</v>
      </c>
    </row>
    <row r="455" spans="1:8">
      <c r="A455" s="6">
        <v>451</v>
      </c>
      <c r="B455" s="6" t="s">
        <v>1641</v>
      </c>
      <c r="C455" s="6" t="s">
        <v>336</v>
      </c>
      <c r="D455" s="6" t="s">
        <v>1649</v>
      </c>
      <c r="E455" s="6" t="s">
        <v>1650</v>
      </c>
      <c r="F455" s="6" t="s">
        <v>339</v>
      </c>
      <c r="G455" s="6" t="s">
        <v>1651</v>
      </c>
      <c r="H455" s="6" t="s">
        <v>341</v>
      </c>
    </row>
    <row r="456" spans="1:8">
      <c r="A456" s="6">
        <v>452</v>
      </c>
      <c r="B456" s="6" t="s">
        <v>1641</v>
      </c>
      <c r="C456" s="6" t="s">
        <v>336</v>
      </c>
      <c r="D456" s="6" t="s">
        <v>1652</v>
      </c>
      <c r="E456" s="6" t="s">
        <v>1653</v>
      </c>
      <c r="F456" s="6" t="s">
        <v>339</v>
      </c>
      <c r="G456" s="6" t="s">
        <v>1654</v>
      </c>
      <c r="H456" s="6" t="s">
        <v>341</v>
      </c>
    </row>
    <row r="457" spans="1:8">
      <c r="A457" s="6">
        <v>453</v>
      </c>
      <c r="B457" s="6" t="s">
        <v>1655</v>
      </c>
      <c r="C457" s="6" t="s">
        <v>336</v>
      </c>
      <c r="D457" s="6" t="s">
        <v>1656</v>
      </c>
      <c r="E457" s="6" t="s">
        <v>1657</v>
      </c>
      <c r="F457" s="6" t="s">
        <v>339</v>
      </c>
      <c r="G457" s="6" t="s">
        <v>1658</v>
      </c>
      <c r="H457" s="6" t="s">
        <v>341</v>
      </c>
    </row>
    <row r="458" spans="1:8">
      <c r="A458" s="6">
        <v>454</v>
      </c>
      <c r="B458" s="6" t="s">
        <v>1655</v>
      </c>
      <c r="C458" s="6" t="s">
        <v>336</v>
      </c>
      <c r="D458" s="6" t="s">
        <v>1659</v>
      </c>
      <c r="E458" s="6" t="s">
        <v>1660</v>
      </c>
      <c r="F458" s="6" t="s">
        <v>339</v>
      </c>
      <c r="G458" s="6" t="s">
        <v>1661</v>
      </c>
      <c r="H458" s="6" t="s">
        <v>341</v>
      </c>
    </row>
    <row r="459" spans="1:8">
      <c r="A459" s="6">
        <v>455</v>
      </c>
      <c r="B459" s="6" t="s">
        <v>1655</v>
      </c>
      <c r="C459" s="6" t="s">
        <v>336</v>
      </c>
      <c r="D459" s="6" t="s">
        <v>1662</v>
      </c>
      <c r="E459" s="6" t="s">
        <v>1663</v>
      </c>
      <c r="F459" s="6" t="s">
        <v>339</v>
      </c>
      <c r="G459" s="6" t="s">
        <v>1664</v>
      </c>
      <c r="H459" s="6" t="s">
        <v>341</v>
      </c>
    </row>
    <row r="460" spans="1:8">
      <c r="A460" s="6">
        <v>456</v>
      </c>
      <c r="B460" s="6" t="s">
        <v>1655</v>
      </c>
      <c r="C460" s="6" t="s">
        <v>336</v>
      </c>
      <c r="D460" s="6" t="s">
        <v>1665</v>
      </c>
      <c r="E460" s="6" t="s">
        <v>1666</v>
      </c>
      <c r="F460" s="6" t="s">
        <v>339</v>
      </c>
      <c r="G460" s="6" t="s">
        <v>1667</v>
      </c>
      <c r="H460" s="6" t="s">
        <v>341</v>
      </c>
    </row>
    <row r="461" spans="1:8">
      <c r="A461" s="6">
        <v>457</v>
      </c>
      <c r="B461" s="6" t="s">
        <v>1655</v>
      </c>
      <c r="C461" s="6" t="s">
        <v>336</v>
      </c>
      <c r="D461" s="6" t="s">
        <v>1668</v>
      </c>
      <c r="E461" s="6" t="s">
        <v>1243</v>
      </c>
      <c r="F461" s="6" t="s">
        <v>339</v>
      </c>
      <c r="G461" s="6" t="s">
        <v>1669</v>
      </c>
      <c r="H461" s="6" t="s">
        <v>341</v>
      </c>
    </row>
    <row r="462" spans="1:8">
      <c r="A462" s="6">
        <v>458</v>
      </c>
      <c r="B462" s="6" t="s">
        <v>1655</v>
      </c>
      <c r="C462" s="6" t="s">
        <v>336</v>
      </c>
      <c r="D462" s="6" t="s">
        <v>1670</v>
      </c>
      <c r="E462" s="6" t="s">
        <v>1347</v>
      </c>
      <c r="F462" s="6" t="s">
        <v>339</v>
      </c>
      <c r="G462" s="6" t="s">
        <v>1671</v>
      </c>
      <c r="H462" s="6" t="s">
        <v>341</v>
      </c>
    </row>
    <row r="463" spans="1:8">
      <c r="A463" s="6">
        <v>459</v>
      </c>
      <c r="B463" s="6" t="s">
        <v>1655</v>
      </c>
      <c r="C463" s="6" t="s">
        <v>336</v>
      </c>
      <c r="D463" s="6" t="s">
        <v>1672</v>
      </c>
      <c r="E463" s="6" t="s">
        <v>413</v>
      </c>
      <c r="F463" s="6" t="s">
        <v>339</v>
      </c>
      <c r="G463" s="6" t="s">
        <v>1673</v>
      </c>
      <c r="H463" s="6" t="s">
        <v>341</v>
      </c>
    </row>
    <row r="464" spans="1:8">
      <c r="A464" s="6">
        <v>460</v>
      </c>
      <c r="B464" s="6" t="s">
        <v>1655</v>
      </c>
      <c r="C464" s="6" t="s">
        <v>336</v>
      </c>
      <c r="D464" s="6" t="s">
        <v>1674</v>
      </c>
      <c r="E464" s="6" t="s">
        <v>1080</v>
      </c>
      <c r="F464" s="6" t="s">
        <v>339</v>
      </c>
      <c r="G464" s="6" t="s">
        <v>1675</v>
      </c>
      <c r="H464" s="6" t="s">
        <v>341</v>
      </c>
    </row>
    <row r="465" spans="1:8">
      <c r="A465" s="6">
        <v>461</v>
      </c>
      <c r="B465" s="6" t="s">
        <v>1676</v>
      </c>
      <c r="C465" s="6" t="s">
        <v>336</v>
      </c>
      <c r="D465" s="6" t="s">
        <v>1677</v>
      </c>
      <c r="E465" s="6" t="s">
        <v>1678</v>
      </c>
      <c r="F465" s="6" t="s">
        <v>339</v>
      </c>
      <c r="G465" s="6" t="s">
        <v>1679</v>
      </c>
      <c r="H465" s="6" t="s">
        <v>341</v>
      </c>
    </row>
    <row r="466" spans="1:8">
      <c r="A466" s="6">
        <v>462</v>
      </c>
      <c r="B466" s="6" t="s">
        <v>1676</v>
      </c>
      <c r="C466" s="6" t="s">
        <v>336</v>
      </c>
      <c r="D466" s="6" t="s">
        <v>1680</v>
      </c>
      <c r="E466" s="6" t="s">
        <v>477</v>
      </c>
      <c r="F466" s="6" t="s">
        <v>339</v>
      </c>
      <c r="G466" s="6" t="s">
        <v>1681</v>
      </c>
      <c r="H466" s="6" t="s">
        <v>341</v>
      </c>
    </row>
    <row r="467" spans="1:8">
      <c r="A467" s="6">
        <v>463</v>
      </c>
      <c r="B467" s="6" t="s">
        <v>1676</v>
      </c>
      <c r="C467" s="6" t="s">
        <v>336</v>
      </c>
      <c r="D467" s="6" t="s">
        <v>1682</v>
      </c>
      <c r="E467" s="6" t="s">
        <v>1593</v>
      </c>
      <c r="F467" s="6" t="s">
        <v>339</v>
      </c>
      <c r="G467" s="6" t="s">
        <v>1683</v>
      </c>
      <c r="H467" s="6" t="s">
        <v>341</v>
      </c>
    </row>
    <row r="468" spans="1:8">
      <c r="A468" s="6">
        <v>464</v>
      </c>
      <c r="B468" s="6" t="s">
        <v>1676</v>
      </c>
      <c r="C468" s="6" t="s">
        <v>336</v>
      </c>
      <c r="D468" s="6" t="s">
        <v>1684</v>
      </c>
      <c r="E468" s="6" t="s">
        <v>1685</v>
      </c>
      <c r="F468" s="6" t="s">
        <v>339</v>
      </c>
      <c r="G468" s="6" t="s">
        <v>1686</v>
      </c>
      <c r="H468" s="6" t="s">
        <v>341</v>
      </c>
    </row>
    <row r="469" spans="1:8">
      <c r="A469" s="6">
        <v>465</v>
      </c>
      <c r="B469" s="6" t="s">
        <v>1676</v>
      </c>
      <c r="C469" s="6" t="s">
        <v>336</v>
      </c>
      <c r="D469" s="6" t="s">
        <v>1687</v>
      </c>
      <c r="E469" s="6" t="s">
        <v>1688</v>
      </c>
      <c r="F469" s="6" t="s">
        <v>339</v>
      </c>
      <c r="G469" s="6" t="s">
        <v>1689</v>
      </c>
      <c r="H469" s="6" t="s">
        <v>341</v>
      </c>
    </row>
    <row r="470" spans="1:8">
      <c r="A470" s="6">
        <v>466</v>
      </c>
      <c r="B470" s="6" t="s">
        <v>1690</v>
      </c>
      <c r="C470" s="6" t="s">
        <v>336</v>
      </c>
      <c r="D470" s="6" t="s">
        <v>1691</v>
      </c>
      <c r="E470" s="6" t="s">
        <v>1692</v>
      </c>
      <c r="F470" s="6" t="s">
        <v>339</v>
      </c>
      <c r="G470" s="6" t="s">
        <v>1693</v>
      </c>
      <c r="H470" s="6" t="s">
        <v>341</v>
      </c>
    </row>
    <row r="471" spans="1:8">
      <c r="A471" s="6">
        <v>467</v>
      </c>
      <c r="B471" s="6" t="s">
        <v>1690</v>
      </c>
      <c r="C471" s="6" t="s">
        <v>336</v>
      </c>
      <c r="D471" s="6" t="s">
        <v>1694</v>
      </c>
      <c r="E471" s="6" t="s">
        <v>583</v>
      </c>
      <c r="F471" s="6" t="s">
        <v>339</v>
      </c>
      <c r="G471" s="6" t="s">
        <v>1695</v>
      </c>
      <c r="H471" s="6" t="s">
        <v>341</v>
      </c>
    </row>
    <row r="472" spans="1:8">
      <c r="A472" s="6">
        <v>468</v>
      </c>
      <c r="B472" s="6" t="s">
        <v>1696</v>
      </c>
      <c r="C472" s="6" t="s">
        <v>336</v>
      </c>
      <c r="D472" s="6" t="s">
        <v>1697</v>
      </c>
      <c r="E472" s="6" t="s">
        <v>494</v>
      </c>
      <c r="F472" s="6" t="s">
        <v>339</v>
      </c>
      <c r="G472" s="6" t="s">
        <v>1698</v>
      </c>
      <c r="H472" s="6" t="s">
        <v>341</v>
      </c>
    </row>
    <row r="473" spans="1:8">
      <c r="A473" s="6">
        <v>469</v>
      </c>
      <c r="B473" s="6" t="s">
        <v>1696</v>
      </c>
      <c r="C473" s="6" t="s">
        <v>336</v>
      </c>
      <c r="D473" s="6" t="s">
        <v>1699</v>
      </c>
      <c r="E473" s="6" t="s">
        <v>494</v>
      </c>
      <c r="F473" s="6" t="s">
        <v>339</v>
      </c>
      <c r="G473" s="6" t="s">
        <v>1700</v>
      </c>
      <c r="H473" s="6" t="s">
        <v>341</v>
      </c>
    </row>
    <row r="474" spans="1:8">
      <c r="A474" s="6">
        <v>470</v>
      </c>
      <c r="B474" s="6" t="s">
        <v>1696</v>
      </c>
      <c r="C474" s="6" t="s">
        <v>336</v>
      </c>
      <c r="D474" s="6" t="s">
        <v>1701</v>
      </c>
      <c r="E474" s="6" t="s">
        <v>1702</v>
      </c>
      <c r="F474" s="6" t="s">
        <v>339</v>
      </c>
      <c r="G474" s="6" t="s">
        <v>1703</v>
      </c>
      <c r="H474" s="6" t="s">
        <v>341</v>
      </c>
    </row>
    <row r="475" spans="1:8">
      <c r="A475" s="6">
        <v>471</v>
      </c>
      <c r="B475" s="6" t="s">
        <v>1704</v>
      </c>
      <c r="C475" s="6" t="s">
        <v>336</v>
      </c>
      <c r="D475" s="6" t="s">
        <v>1705</v>
      </c>
      <c r="E475" s="6" t="s">
        <v>1706</v>
      </c>
      <c r="F475" s="6" t="s">
        <v>339</v>
      </c>
      <c r="G475" s="6" t="s">
        <v>1707</v>
      </c>
      <c r="H475" s="6" t="s">
        <v>341</v>
      </c>
    </row>
    <row r="476" spans="1:8">
      <c r="A476" s="6">
        <v>472</v>
      </c>
      <c r="B476" s="6" t="s">
        <v>1708</v>
      </c>
      <c r="C476" s="6" t="s">
        <v>336</v>
      </c>
      <c r="D476" s="6" t="s">
        <v>1709</v>
      </c>
      <c r="E476" s="6" t="s">
        <v>1710</v>
      </c>
      <c r="F476" s="6" t="s">
        <v>339</v>
      </c>
      <c r="G476" s="6" t="s">
        <v>1711</v>
      </c>
      <c r="H476" s="6" t="s">
        <v>341</v>
      </c>
    </row>
    <row r="477" spans="1:8">
      <c r="A477" s="6">
        <v>473</v>
      </c>
      <c r="B477" s="6" t="s">
        <v>1708</v>
      </c>
      <c r="C477" s="6" t="s">
        <v>1712</v>
      </c>
      <c r="D477" s="6" t="s">
        <v>1713</v>
      </c>
      <c r="E477" s="6" t="s">
        <v>339</v>
      </c>
      <c r="F477" s="6" t="s">
        <v>1714</v>
      </c>
      <c r="G477" s="6" t="s">
        <v>1715</v>
      </c>
    </row>
    <row r="478" spans="1:8">
      <c r="A478" s="6">
        <v>474</v>
      </c>
      <c r="B478" s="6" t="s">
        <v>1708</v>
      </c>
      <c r="C478" s="6" t="s">
        <v>336</v>
      </c>
      <c r="D478" s="6" t="s">
        <v>1716</v>
      </c>
      <c r="E478" s="6" t="s">
        <v>1714</v>
      </c>
      <c r="F478" s="6" t="s">
        <v>339</v>
      </c>
      <c r="G478" s="6" t="s">
        <v>1711</v>
      </c>
      <c r="H478" s="6" t="s">
        <v>1717</v>
      </c>
    </row>
    <row r="479" spans="1:8">
      <c r="A479" s="6">
        <v>475</v>
      </c>
      <c r="B479" s="6" t="s">
        <v>1708</v>
      </c>
      <c r="C479" s="6" t="s">
        <v>1718</v>
      </c>
      <c r="D479" s="6" t="s">
        <v>1719</v>
      </c>
      <c r="E479" s="6" t="s">
        <v>339</v>
      </c>
      <c r="F479" s="6" t="s">
        <v>1720</v>
      </c>
      <c r="G479" s="6" t="s">
        <v>1721</v>
      </c>
    </row>
    <row r="480" spans="1:8">
      <c r="A480" s="6">
        <v>476</v>
      </c>
      <c r="B480" s="6" t="s">
        <v>1708</v>
      </c>
      <c r="C480" s="6" t="s">
        <v>1722</v>
      </c>
      <c r="D480" s="6" t="s">
        <v>1723</v>
      </c>
      <c r="E480" s="6" t="s">
        <v>339</v>
      </c>
      <c r="F480" s="6" t="s">
        <v>1724</v>
      </c>
      <c r="G480" s="6" t="s">
        <v>1725</v>
      </c>
    </row>
    <row r="481" spans="1:8">
      <c r="A481" s="6">
        <v>477</v>
      </c>
      <c r="B481" s="6" t="s">
        <v>1708</v>
      </c>
      <c r="C481" s="6" t="s">
        <v>1726</v>
      </c>
      <c r="D481" s="6" t="s">
        <v>1727</v>
      </c>
      <c r="E481" s="6" t="s">
        <v>339</v>
      </c>
      <c r="F481" s="6" t="s">
        <v>1728</v>
      </c>
      <c r="G481" s="6" t="s">
        <v>1729</v>
      </c>
    </row>
    <row r="482" spans="1:8">
      <c r="A482" s="6">
        <v>478</v>
      </c>
      <c r="B482" s="6" t="s">
        <v>1730</v>
      </c>
      <c r="C482" s="6" t="s">
        <v>1712</v>
      </c>
      <c r="D482" s="6" t="s">
        <v>1713</v>
      </c>
      <c r="E482" s="6" t="s">
        <v>339</v>
      </c>
      <c r="F482" s="6" t="s">
        <v>1714</v>
      </c>
      <c r="G482" s="6" t="s">
        <v>1731</v>
      </c>
    </row>
    <row r="483" spans="1:8">
      <c r="A483" s="6">
        <v>479</v>
      </c>
      <c r="B483" s="6" t="s">
        <v>1730</v>
      </c>
      <c r="C483" s="6" t="s">
        <v>336</v>
      </c>
      <c r="D483" s="6" t="s">
        <v>1448</v>
      </c>
      <c r="E483" s="6" t="s">
        <v>473</v>
      </c>
      <c r="F483" s="6" t="s">
        <v>339</v>
      </c>
      <c r="G483" s="6" t="s">
        <v>1732</v>
      </c>
      <c r="H483" s="6" t="s">
        <v>341</v>
      </c>
    </row>
    <row r="484" spans="1:8">
      <c r="A484" s="6">
        <v>480</v>
      </c>
      <c r="B484" s="6" t="s">
        <v>1730</v>
      </c>
      <c r="C484" s="6" t="s">
        <v>336</v>
      </c>
      <c r="D484" s="6" t="s">
        <v>1450</v>
      </c>
      <c r="E484" s="6" t="s">
        <v>470</v>
      </c>
      <c r="F484" s="6" t="s">
        <v>339</v>
      </c>
      <c r="G484" s="6" t="s">
        <v>1733</v>
      </c>
      <c r="H484" s="6" t="s">
        <v>341</v>
      </c>
    </row>
    <row r="485" spans="1:8">
      <c r="A485" s="6">
        <v>481</v>
      </c>
      <c r="B485" s="6" t="s">
        <v>1734</v>
      </c>
      <c r="C485" s="6" t="s">
        <v>336</v>
      </c>
      <c r="D485" s="6" t="s">
        <v>1735</v>
      </c>
      <c r="E485" s="6" t="s">
        <v>360</v>
      </c>
      <c r="F485" s="6" t="s">
        <v>339</v>
      </c>
      <c r="G485" s="6" t="s">
        <v>1736</v>
      </c>
      <c r="H485" s="6" t="s">
        <v>341</v>
      </c>
    </row>
    <row r="486" spans="1:8">
      <c r="A486" s="6">
        <v>482</v>
      </c>
      <c r="B486" s="6" t="s">
        <v>1734</v>
      </c>
      <c r="C486" s="6" t="s">
        <v>1737</v>
      </c>
      <c r="D486" s="6" t="s">
        <v>1738</v>
      </c>
      <c r="E486" s="6" t="s">
        <v>339</v>
      </c>
      <c r="F486" s="6" t="s">
        <v>1739</v>
      </c>
      <c r="G486" s="6" t="s">
        <v>1740</v>
      </c>
    </row>
    <row r="487" spans="1:8">
      <c r="A487" s="6">
        <v>483</v>
      </c>
      <c r="B487" s="6" t="s">
        <v>1734</v>
      </c>
      <c r="C487" s="6" t="s">
        <v>336</v>
      </c>
      <c r="D487" s="6" t="s">
        <v>1741</v>
      </c>
      <c r="E487" s="6" t="s">
        <v>1742</v>
      </c>
      <c r="F487" s="6" t="s">
        <v>339</v>
      </c>
      <c r="G487" s="6" t="s">
        <v>1743</v>
      </c>
      <c r="H487" s="6" t="s">
        <v>341</v>
      </c>
    </row>
    <row r="488" spans="1:8">
      <c r="A488" s="6">
        <v>484</v>
      </c>
      <c r="B488" s="6" t="s">
        <v>1744</v>
      </c>
      <c r="C488" s="6" t="s">
        <v>336</v>
      </c>
      <c r="D488" s="6" t="s">
        <v>1745</v>
      </c>
      <c r="E488" s="6" t="s">
        <v>1746</v>
      </c>
      <c r="F488" s="6" t="s">
        <v>339</v>
      </c>
      <c r="G488" s="6" t="s">
        <v>1747</v>
      </c>
      <c r="H488" s="6" t="s">
        <v>341</v>
      </c>
    </row>
    <row r="489" spans="1:8">
      <c r="A489" s="6">
        <v>485</v>
      </c>
      <c r="B489" s="6" t="s">
        <v>1744</v>
      </c>
      <c r="C489" s="6" t="s">
        <v>336</v>
      </c>
      <c r="D489" s="6" t="s">
        <v>1748</v>
      </c>
      <c r="E489" s="6" t="s">
        <v>339</v>
      </c>
      <c r="F489" s="6" t="s">
        <v>1749</v>
      </c>
      <c r="G489" s="6" t="s">
        <v>1750</v>
      </c>
      <c r="H489" s="6" t="s">
        <v>388</v>
      </c>
    </row>
    <row r="490" spans="1:8">
      <c r="A490" s="6">
        <v>486</v>
      </c>
      <c r="B490" s="6" t="s">
        <v>1744</v>
      </c>
      <c r="C490" s="6" t="s">
        <v>336</v>
      </c>
      <c r="D490" s="6" t="s">
        <v>1751</v>
      </c>
      <c r="E490" s="6" t="s">
        <v>339</v>
      </c>
      <c r="F490" s="6" t="s">
        <v>1752</v>
      </c>
      <c r="G490" s="6" t="s">
        <v>1753</v>
      </c>
      <c r="H490" s="6" t="s">
        <v>341</v>
      </c>
    </row>
    <row r="491" spans="1:8">
      <c r="A491" s="6">
        <v>487</v>
      </c>
      <c r="B491" s="6" t="s">
        <v>1744</v>
      </c>
      <c r="C491" s="6" t="s">
        <v>336</v>
      </c>
      <c r="D491" s="6" t="s">
        <v>1754</v>
      </c>
      <c r="E491" s="6" t="s">
        <v>339</v>
      </c>
      <c r="F491" s="6" t="s">
        <v>1755</v>
      </c>
      <c r="G491" s="6" t="s">
        <v>1756</v>
      </c>
      <c r="H491" s="6" t="s">
        <v>388</v>
      </c>
    </row>
    <row r="492" spans="1:8">
      <c r="A492" s="6">
        <v>488</v>
      </c>
      <c r="B492" s="6" t="s">
        <v>1744</v>
      </c>
      <c r="C492" s="6" t="s">
        <v>336</v>
      </c>
      <c r="D492" s="6" t="s">
        <v>1757</v>
      </c>
      <c r="E492" s="6" t="s">
        <v>1593</v>
      </c>
      <c r="F492" s="6" t="s">
        <v>339</v>
      </c>
      <c r="G492" s="6" t="s">
        <v>1758</v>
      </c>
      <c r="H492" s="6" t="s">
        <v>341</v>
      </c>
    </row>
    <row r="493" spans="1:8">
      <c r="A493" s="6">
        <v>489</v>
      </c>
      <c r="B493" s="6" t="s">
        <v>1759</v>
      </c>
      <c r="C493" s="6" t="s">
        <v>336</v>
      </c>
      <c r="D493" s="6" t="s">
        <v>1760</v>
      </c>
      <c r="E493" s="6" t="s">
        <v>679</v>
      </c>
      <c r="F493" s="6" t="s">
        <v>339</v>
      </c>
      <c r="G493" s="6" t="s">
        <v>1761</v>
      </c>
      <c r="H493" s="6" t="s">
        <v>341</v>
      </c>
    </row>
    <row r="494" spans="1:8">
      <c r="A494" s="6">
        <v>490</v>
      </c>
      <c r="B494" s="6" t="s">
        <v>1762</v>
      </c>
      <c r="C494" s="6" t="s">
        <v>336</v>
      </c>
      <c r="D494" s="6" t="s">
        <v>1763</v>
      </c>
      <c r="E494" s="6" t="s">
        <v>494</v>
      </c>
      <c r="F494" s="6" t="s">
        <v>339</v>
      </c>
      <c r="G494" s="6" t="s">
        <v>1764</v>
      </c>
      <c r="H494" s="6" t="s">
        <v>341</v>
      </c>
    </row>
    <row r="495" spans="1:8">
      <c r="A495" s="6">
        <v>491</v>
      </c>
      <c r="B495" s="6" t="s">
        <v>1762</v>
      </c>
      <c r="C495" s="6" t="s">
        <v>336</v>
      </c>
      <c r="D495" s="6" t="s">
        <v>1765</v>
      </c>
      <c r="E495" s="6" t="s">
        <v>477</v>
      </c>
      <c r="F495" s="6" t="s">
        <v>339</v>
      </c>
      <c r="G495" s="6" t="s">
        <v>1766</v>
      </c>
      <c r="H495" s="6" t="s">
        <v>341</v>
      </c>
    </row>
    <row r="496" spans="1:8">
      <c r="A496" s="6">
        <v>492</v>
      </c>
      <c r="B496" s="6" t="s">
        <v>1762</v>
      </c>
      <c r="C496" s="6" t="s">
        <v>336</v>
      </c>
      <c r="D496" s="6" t="s">
        <v>1767</v>
      </c>
      <c r="E496" s="6" t="s">
        <v>339</v>
      </c>
      <c r="F496" s="6" t="s">
        <v>1768</v>
      </c>
      <c r="G496" s="6" t="s">
        <v>1769</v>
      </c>
      <c r="H496" s="6" t="s">
        <v>388</v>
      </c>
    </row>
    <row r="497" spans="1:8">
      <c r="A497" s="6">
        <v>493</v>
      </c>
      <c r="B497" s="6" t="s">
        <v>1762</v>
      </c>
      <c r="C497" s="6" t="s">
        <v>336</v>
      </c>
      <c r="D497" s="6" t="s">
        <v>1770</v>
      </c>
      <c r="E497" s="6" t="s">
        <v>1630</v>
      </c>
      <c r="F497" s="6" t="s">
        <v>339</v>
      </c>
      <c r="G497" s="6" t="s">
        <v>1771</v>
      </c>
      <c r="H497" s="6" t="s">
        <v>341</v>
      </c>
    </row>
    <row r="498" spans="1:8">
      <c r="A498" s="6">
        <v>494</v>
      </c>
      <c r="B498" s="6" t="s">
        <v>1762</v>
      </c>
      <c r="C498" s="6" t="s">
        <v>336</v>
      </c>
      <c r="D498" s="6" t="s">
        <v>1772</v>
      </c>
      <c r="E498" s="6" t="s">
        <v>339</v>
      </c>
      <c r="F498" s="6" t="s">
        <v>1773</v>
      </c>
      <c r="G498" s="6" t="s">
        <v>1774</v>
      </c>
      <c r="H498" s="6" t="s">
        <v>388</v>
      </c>
    </row>
    <row r="499" spans="1:8">
      <c r="A499" s="6">
        <v>495</v>
      </c>
      <c r="B499" s="6" t="s">
        <v>1762</v>
      </c>
      <c r="C499" s="6" t="s">
        <v>336</v>
      </c>
      <c r="D499" s="6" t="s">
        <v>1775</v>
      </c>
      <c r="E499" s="6" t="s">
        <v>404</v>
      </c>
      <c r="F499" s="6" t="s">
        <v>339</v>
      </c>
      <c r="G499" s="6" t="s">
        <v>1776</v>
      </c>
      <c r="H499" s="6" t="s">
        <v>341</v>
      </c>
    </row>
    <row r="500" spans="1:8">
      <c r="A500" s="6">
        <v>496</v>
      </c>
      <c r="B500" s="6" t="s">
        <v>1762</v>
      </c>
      <c r="C500" s="6" t="s">
        <v>336</v>
      </c>
      <c r="D500" s="6" t="s">
        <v>1777</v>
      </c>
      <c r="E500" s="6" t="s">
        <v>494</v>
      </c>
      <c r="F500" s="6" t="s">
        <v>339</v>
      </c>
      <c r="G500" s="6" t="s">
        <v>1778</v>
      </c>
      <c r="H500" s="6" t="s">
        <v>341</v>
      </c>
    </row>
    <row r="501" spans="1:8">
      <c r="A501" s="6">
        <v>497</v>
      </c>
      <c r="B501" s="6" t="s">
        <v>1779</v>
      </c>
      <c r="C501" s="6" t="s">
        <v>336</v>
      </c>
      <c r="D501" s="6" t="s">
        <v>1780</v>
      </c>
      <c r="E501" s="6" t="s">
        <v>360</v>
      </c>
      <c r="F501" s="6" t="s">
        <v>339</v>
      </c>
      <c r="G501" s="6" t="s">
        <v>1781</v>
      </c>
      <c r="H501" s="6" t="s">
        <v>341</v>
      </c>
    </row>
    <row r="502" spans="1:8">
      <c r="A502" s="6">
        <v>498</v>
      </c>
      <c r="B502" s="6" t="s">
        <v>1782</v>
      </c>
      <c r="C502" s="6" t="s">
        <v>336</v>
      </c>
      <c r="D502" s="6" t="s">
        <v>1783</v>
      </c>
      <c r="E502" s="6" t="s">
        <v>1616</v>
      </c>
      <c r="F502" s="6" t="s">
        <v>339</v>
      </c>
      <c r="G502" s="6" t="s">
        <v>1784</v>
      </c>
      <c r="H502" s="6" t="s">
        <v>341</v>
      </c>
    </row>
    <row r="503" spans="1:8">
      <c r="A503" s="6">
        <v>499</v>
      </c>
      <c r="B503" s="6" t="s">
        <v>1782</v>
      </c>
      <c r="C503" s="6" t="s">
        <v>336</v>
      </c>
      <c r="D503" s="6" t="s">
        <v>1785</v>
      </c>
      <c r="E503" s="6" t="s">
        <v>1087</v>
      </c>
      <c r="F503" s="6" t="s">
        <v>339</v>
      </c>
      <c r="G503" s="6" t="s">
        <v>1786</v>
      </c>
      <c r="H503" s="6" t="s">
        <v>341</v>
      </c>
    </row>
    <row r="504" spans="1:8">
      <c r="A504" s="6">
        <v>500</v>
      </c>
      <c r="B504" s="6" t="s">
        <v>1782</v>
      </c>
      <c r="C504" s="6" t="s">
        <v>336</v>
      </c>
      <c r="D504" s="6" t="s">
        <v>1787</v>
      </c>
      <c r="E504" s="6" t="s">
        <v>535</v>
      </c>
      <c r="F504" s="6" t="s">
        <v>339</v>
      </c>
      <c r="G504" s="6" t="s">
        <v>1788</v>
      </c>
      <c r="H504" s="6" t="s">
        <v>341</v>
      </c>
    </row>
    <row r="505" spans="1:8">
      <c r="A505" s="6">
        <v>501</v>
      </c>
      <c r="B505" s="6" t="s">
        <v>1782</v>
      </c>
      <c r="C505" s="6" t="s">
        <v>336</v>
      </c>
      <c r="D505" s="6" t="s">
        <v>1789</v>
      </c>
      <c r="E505" s="6" t="s">
        <v>679</v>
      </c>
      <c r="F505" s="6" t="s">
        <v>339</v>
      </c>
      <c r="G505" s="6" t="s">
        <v>1790</v>
      </c>
      <c r="H505" s="6" t="s">
        <v>341</v>
      </c>
    </row>
    <row r="506" spans="1:8">
      <c r="A506" s="6">
        <v>502</v>
      </c>
      <c r="B506" s="6" t="s">
        <v>1782</v>
      </c>
      <c r="C506" s="6" t="s">
        <v>336</v>
      </c>
      <c r="D506" s="6" t="s">
        <v>1791</v>
      </c>
      <c r="E506" s="6" t="s">
        <v>535</v>
      </c>
      <c r="F506" s="6" t="s">
        <v>339</v>
      </c>
      <c r="G506" s="6" t="s">
        <v>1792</v>
      </c>
      <c r="H506" s="6" t="s">
        <v>341</v>
      </c>
    </row>
    <row r="507" spans="1:8">
      <c r="A507" s="6">
        <v>503</v>
      </c>
      <c r="B507" s="6" t="s">
        <v>1782</v>
      </c>
      <c r="C507" s="6" t="s">
        <v>336</v>
      </c>
      <c r="D507" s="6" t="s">
        <v>1793</v>
      </c>
      <c r="E507" s="6" t="s">
        <v>1243</v>
      </c>
      <c r="F507" s="6" t="s">
        <v>339</v>
      </c>
      <c r="G507" s="6" t="s">
        <v>1794</v>
      </c>
      <c r="H507" s="6" t="s">
        <v>341</v>
      </c>
    </row>
    <row r="508" spans="1:8">
      <c r="A508" s="6">
        <v>504</v>
      </c>
      <c r="B508" s="6" t="s">
        <v>1782</v>
      </c>
      <c r="C508" s="6" t="s">
        <v>336</v>
      </c>
      <c r="D508" s="6" t="s">
        <v>1795</v>
      </c>
      <c r="E508" s="6" t="s">
        <v>583</v>
      </c>
      <c r="F508" s="6" t="s">
        <v>339</v>
      </c>
      <c r="G508" s="6" t="s">
        <v>1796</v>
      </c>
      <c r="H508" s="6" t="s">
        <v>341</v>
      </c>
    </row>
    <row r="509" spans="1:8">
      <c r="A509" s="6">
        <v>505</v>
      </c>
      <c r="B509" s="6" t="s">
        <v>1782</v>
      </c>
      <c r="C509" s="6" t="s">
        <v>336</v>
      </c>
      <c r="D509" s="6" t="s">
        <v>1797</v>
      </c>
      <c r="E509" s="6" t="s">
        <v>431</v>
      </c>
      <c r="F509" s="6" t="s">
        <v>339</v>
      </c>
      <c r="G509" s="6" t="s">
        <v>1798</v>
      </c>
      <c r="H509" s="6" t="s">
        <v>341</v>
      </c>
    </row>
    <row r="510" spans="1:8">
      <c r="A510" s="6">
        <v>506</v>
      </c>
      <c r="B510" s="6" t="s">
        <v>1782</v>
      </c>
      <c r="C510" s="6" t="s">
        <v>336</v>
      </c>
      <c r="D510" s="6" t="s">
        <v>1799</v>
      </c>
      <c r="E510" s="6" t="s">
        <v>404</v>
      </c>
      <c r="F510" s="6" t="s">
        <v>339</v>
      </c>
      <c r="G510" s="6" t="s">
        <v>1800</v>
      </c>
      <c r="H510" s="6" t="s">
        <v>341</v>
      </c>
    </row>
    <row r="511" spans="1:8">
      <c r="A511" s="6">
        <v>507</v>
      </c>
      <c r="B511" s="6" t="s">
        <v>1782</v>
      </c>
      <c r="C511" s="6" t="s">
        <v>336</v>
      </c>
      <c r="D511" s="6" t="s">
        <v>1801</v>
      </c>
      <c r="E511" s="6" t="s">
        <v>1087</v>
      </c>
      <c r="F511" s="6" t="s">
        <v>339</v>
      </c>
      <c r="G511" s="6" t="s">
        <v>1802</v>
      </c>
      <c r="H511" s="6" t="s">
        <v>341</v>
      </c>
    </row>
    <row r="512" spans="1:8">
      <c r="A512" s="6">
        <v>508</v>
      </c>
      <c r="B512" s="6" t="s">
        <v>1782</v>
      </c>
      <c r="C512" s="6" t="s">
        <v>336</v>
      </c>
      <c r="D512" s="6" t="s">
        <v>1803</v>
      </c>
      <c r="E512" s="6" t="s">
        <v>524</v>
      </c>
      <c r="F512" s="6" t="s">
        <v>339</v>
      </c>
      <c r="G512" s="6" t="s">
        <v>1804</v>
      </c>
      <c r="H512" s="6" t="s">
        <v>341</v>
      </c>
    </row>
    <row r="513" spans="1:8">
      <c r="A513" s="6">
        <v>509</v>
      </c>
      <c r="B513" s="6" t="s">
        <v>1805</v>
      </c>
      <c r="C513" s="6" t="s">
        <v>336</v>
      </c>
      <c r="D513" s="6" t="s">
        <v>1806</v>
      </c>
      <c r="E513" s="6" t="s">
        <v>360</v>
      </c>
      <c r="F513" s="6" t="s">
        <v>339</v>
      </c>
      <c r="G513" s="6" t="s">
        <v>1807</v>
      </c>
      <c r="H513" s="6" t="s">
        <v>341</v>
      </c>
    </row>
    <row r="514" spans="1:8">
      <c r="A514" s="6">
        <v>510</v>
      </c>
      <c r="B514" s="6" t="s">
        <v>1805</v>
      </c>
      <c r="C514" s="6" t="s">
        <v>336</v>
      </c>
      <c r="D514" s="6" t="s">
        <v>1808</v>
      </c>
      <c r="E514" s="6" t="s">
        <v>1809</v>
      </c>
      <c r="F514" s="6" t="s">
        <v>339</v>
      </c>
      <c r="G514" s="6" t="s">
        <v>1810</v>
      </c>
      <c r="H514" s="6" t="s">
        <v>341</v>
      </c>
    </row>
    <row r="515" spans="1:8">
      <c r="A515" s="6">
        <v>511</v>
      </c>
      <c r="B515" s="6" t="s">
        <v>1805</v>
      </c>
      <c r="C515" s="6" t="s">
        <v>336</v>
      </c>
      <c r="D515" s="6" t="s">
        <v>1811</v>
      </c>
      <c r="E515" s="6" t="s">
        <v>1812</v>
      </c>
      <c r="F515" s="6" t="s">
        <v>339</v>
      </c>
      <c r="G515" s="6" t="s">
        <v>1813</v>
      </c>
      <c r="H515" s="6" t="s">
        <v>341</v>
      </c>
    </row>
    <row r="516" spans="1:8">
      <c r="A516" s="6">
        <v>512</v>
      </c>
      <c r="B516" s="6" t="s">
        <v>1805</v>
      </c>
      <c r="C516" s="6" t="s">
        <v>336</v>
      </c>
      <c r="D516" s="6" t="s">
        <v>1814</v>
      </c>
      <c r="E516" s="6" t="s">
        <v>404</v>
      </c>
      <c r="F516" s="6" t="s">
        <v>339</v>
      </c>
      <c r="G516" s="6" t="s">
        <v>1815</v>
      </c>
      <c r="H516" s="6" t="s">
        <v>341</v>
      </c>
    </row>
    <row r="517" spans="1:8">
      <c r="A517" s="6">
        <v>513</v>
      </c>
      <c r="B517" s="6" t="s">
        <v>1805</v>
      </c>
      <c r="C517" s="6" t="s">
        <v>336</v>
      </c>
      <c r="D517" s="6" t="s">
        <v>1816</v>
      </c>
      <c r="E517" s="6" t="s">
        <v>343</v>
      </c>
      <c r="F517" s="6" t="s">
        <v>339</v>
      </c>
      <c r="G517" s="6" t="s">
        <v>1817</v>
      </c>
      <c r="H517" s="6" t="s">
        <v>341</v>
      </c>
    </row>
    <row r="518" spans="1:8">
      <c r="A518" s="6">
        <v>514</v>
      </c>
      <c r="B518" s="6" t="s">
        <v>1805</v>
      </c>
      <c r="C518" s="6" t="s">
        <v>336</v>
      </c>
      <c r="D518" s="6" t="s">
        <v>1818</v>
      </c>
      <c r="E518" s="6" t="s">
        <v>494</v>
      </c>
      <c r="F518" s="6" t="s">
        <v>339</v>
      </c>
      <c r="G518" s="6" t="s">
        <v>1819</v>
      </c>
      <c r="H518" s="6" t="s">
        <v>341</v>
      </c>
    </row>
    <row r="519" spans="1:8">
      <c r="A519" s="6">
        <v>515</v>
      </c>
      <c r="B519" s="6" t="s">
        <v>1805</v>
      </c>
      <c r="C519" s="6" t="s">
        <v>336</v>
      </c>
      <c r="D519" s="6" t="s">
        <v>1820</v>
      </c>
      <c r="E519" s="6" t="s">
        <v>343</v>
      </c>
      <c r="F519" s="6" t="s">
        <v>339</v>
      </c>
      <c r="G519" s="6" t="s">
        <v>1821</v>
      </c>
      <c r="H519" s="6" t="s">
        <v>341</v>
      </c>
    </row>
    <row r="520" spans="1:8">
      <c r="A520" s="6">
        <v>516</v>
      </c>
      <c r="B520" s="6" t="s">
        <v>1805</v>
      </c>
      <c r="C520" s="6" t="s">
        <v>336</v>
      </c>
      <c r="D520" s="6" t="s">
        <v>1822</v>
      </c>
      <c r="E520" s="6" t="s">
        <v>1666</v>
      </c>
      <c r="F520" s="6" t="s">
        <v>339</v>
      </c>
      <c r="G520" s="6" t="s">
        <v>1823</v>
      </c>
      <c r="H520" s="6" t="s">
        <v>341</v>
      </c>
    </row>
    <row r="521" spans="1:8">
      <c r="A521" s="6">
        <v>517</v>
      </c>
      <c r="B521" s="6" t="s">
        <v>1805</v>
      </c>
      <c r="C521" s="6" t="s">
        <v>336</v>
      </c>
      <c r="D521" s="6" t="s">
        <v>1824</v>
      </c>
      <c r="E521" s="6" t="s">
        <v>1087</v>
      </c>
      <c r="F521" s="6" t="s">
        <v>339</v>
      </c>
      <c r="G521" s="6" t="s">
        <v>1825</v>
      </c>
      <c r="H521" s="6" t="s">
        <v>341</v>
      </c>
    </row>
    <row r="522" spans="1:8">
      <c r="A522" s="6">
        <v>518</v>
      </c>
      <c r="B522" s="6" t="s">
        <v>1805</v>
      </c>
      <c r="C522" s="6" t="s">
        <v>336</v>
      </c>
      <c r="D522" s="6" t="s">
        <v>1826</v>
      </c>
      <c r="E522" s="6" t="s">
        <v>364</v>
      </c>
      <c r="F522" s="6" t="s">
        <v>339</v>
      </c>
      <c r="G522" s="6" t="s">
        <v>1827</v>
      </c>
      <c r="H522" s="6" t="s">
        <v>341</v>
      </c>
    </row>
    <row r="523" spans="1:8">
      <c r="A523" s="6">
        <v>519</v>
      </c>
      <c r="B523" s="6" t="s">
        <v>1805</v>
      </c>
      <c r="C523" s="6" t="s">
        <v>336</v>
      </c>
      <c r="D523" s="6" t="s">
        <v>1828</v>
      </c>
      <c r="E523" s="6" t="s">
        <v>1593</v>
      </c>
      <c r="F523" s="6" t="s">
        <v>339</v>
      </c>
      <c r="G523" s="6" t="s">
        <v>1829</v>
      </c>
      <c r="H523" s="6" t="s">
        <v>341</v>
      </c>
    </row>
    <row r="524" spans="1:8">
      <c r="A524" s="6">
        <v>520</v>
      </c>
      <c r="B524" s="6" t="s">
        <v>1830</v>
      </c>
      <c r="C524" s="6" t="s">
        <v>336</v>
      </c>
      <c r="D524" s="6" t="s">
        <v>1831</v>
      </c>
      <c r="E524" s="6" t="s">
        <v>360</v>
      </c>
      <c r="F524" s="6" t="s">
        <v>339</v>
      </c>
      <c r="G524" s="6" t="s">
        <v>1832</v>
      </c>
      <c r="H524" s="6" t="s">
        <v>341</v>
      </c>
    </row>
    <row r="525" spans="1:8">
      <c r="A525" s="6">
        <v>521</v>
      </c>
      <c r="B525" s="6" t="s">
        <v>1830</v>
      </c>
      <c r="C525" s="6" t="s">
        <v>336</v>
      </c>
      <c r="D525" s="6" t="s">
        <v>1833</v>
      </c>
      <c r="E525" s="6" t="s">
        <v>1834</v>
      </c>
      <c r="F525" s="6" t="s">
        <v>339</v>
      </c>
      <c r="G525" s="6" t="s">
        <v>1835</v>
      </c>
      <c r="H525" s="6" t="s">
        <v>341</v>
      </c>
    </row>
    <row r="526" spans="1:8">
      <c r="A526" s="6">
        <v>522</v>
      </c>
      <c r="B526" s="6" t="s">
        <v>1830</v>
      </c>
      <c r="C526" s="6" t="s">
        <v>1836</v>
      </c>
      <c r="D526" s="6" t="s">
        <v>1837</v>
      </c>
      <c r="E526" s="6" t="s">
        <v>339</v>
      </c>
      <c r="F526" s="6" t="s">
        <v>1838</v>
      </c>
      <c r="G526" s="6" t="s">
        <v>1839</v>
      </c>
    </row>
    <row r="527" spans="1:8">
      <c r="A527" s="6">
        <v>523</v>
      </c>
      <c r="B527" s="6" t="s">
        <v>1840</v>
      </c>
      <c r="C527" s="6" t="s">
        <v>336</v>
      </c>
      <c r="D527" s="6" t="s">
        <v>1841</v>
      </c>
      <c r="E527" s="6" t="s">
        <v>1842</v>
      </c>
      <c r="F527" s="6" t="s">
        <v>339</v>
      </c>
      <c r="G527" s="6" t="s">
        <v>1843</v>
      </c>
      <c r="H527" s="6" t="s">
        <v>341</v>
      </c>
    </row>
    <row r="528" spans="1:8">
      <c r="A528" s="6">
        <v>524</v>
      </c>
      <c r="B528" s="6" t="s">
        <v>1840</v>
      </c>
      <c r="C528" s="6" t="s">
        <v>336</v>
      </c>
      <c r="D528" s="6" t="s">
        <v>1844</v>
      </c>
      <c r="E528" s="6" t="s">
        <v>1845</v>
      </c>
      <c r="F528" s="6" t="s">
        <v>339</v>
      </c>
      <c r="G528" s="6" t="s">
        <v>1846</v>
      </c>
      <c r="H528" s="6" t="s">
        <v>341</v>
      </c>
    </row>
    <row r="529" spans="1:8">
      <c r="A529" s="6">
        <v>525</v>
      </c>
      <c r="B529" s="6" t="s">
        <v>1847</v>
      </c>
      <c r="C529" s="6" t="s">
        <v>336</v>
      </c>
      <c r="D529" s="6" t="s">
        <v>1848</v>
      </c>
      <c r="E529" s="6" t="s">
        <v>1849</v>
      </c>
      <c r="F529" s="6" t="s">
        <v>339</v>
      </c>
      <c r="G529" s="6" t="s">
        <v>1850</v>
      </c>
      <c r="H529" s="6" t="s">
        <v>341</v>
      </c>
    </row>
    <row r="530" spans="1:8">
      <c r="A530" s="6">
        <v>526</v>
      </c>
      <c r="B530" s="6" t="s">
        <v>1851</v>
      </c>
      <c r="C530" s="6" t="s">
        <v>336</v>
      </c>
      <c r="D530" s="6" t="s">
        <v>1852</v>
      </c>
      <c r="E530" s="6" t="s">
        <v>404</v>
      </c>
      <c r="F530" s="6" t="s">
        <v>339</v>
      </c>
      <c r="G530" s="6" t="s">
        <v>1853</v>
      </c>
      <c r="H530" s="6" t="s">
        <v>341</v>
      </c>
    </row>
    <row r="531" spans="1:8">
      <c r="A531" s="6">
        <v>527</v>
      </c>
      <c r="B531" s="6" t="s">
        <v>1851</v>
      </c>
      <c r="C531" s="6" t="s">
        <v>336</v>
      </c>
      <c r="D531" s="6" t="s">
        <v>1854</v>
      </c>
      <c r="E531" s="6" t="s">
        <v>364</v>
      </c>
      <c r="F531" s="6" t="s">
        <v>339</v>
      </c>
      <c r="G531" s="6" t="s">
        <v>1855</v>
      </c>
      <c r="H531" s="6" t="s">
        <v>341</v>
      </c>
    </row>
    <row r="532" spans="1:8">
      <c r="A532" s="6">
        <v>528</v>
      </c>
      <c r="B532" s="6" t="s">
        <v>1851</v>
      </c>
      <c r="C532" s="6" t="s">
        <v>336</v>
      </c>
      <c r="D532" s="6" t="s">
        <v>1856</v>
      </c>
      <c r="E532" s="6" t="s">
        <v>494</v>
      </c>
      <c r="F532" s="6" t="s">
        <v>339</v>
      </c>
      <c r="G532" s="6" t="s">
        <v>1857</v>
      </c>
      <c r="H532" s="6" t="s">
        <v>341</v>
      </c>
    </row>
    <row r="533" spans="1:8">
      <c r="A533" s="6">
        <v>529</v>
      </c>
      <c r="B533" s="6" t="s">
        <v>1851</v>
      </c>
      <c r="C533" s="6" t="s">
        <v>336</v>
      </c>
      <c r="D533" s="6" t="s">
        <v>1858</v>
      </c>
      <c r="E533" s="6" t="s">
        <v>1859</v>
      </c>
      <c r="F533" s="6" t="s">
        <v>339</v>
      </c>
      <c r="G533" s="6" t="s">
        <v>1860</v>
      </c>
      <c r="H533" s="6" t="s">
        <v>341</v>
      </c>
    </row>
    <row r="534" spans="1:8">
      <c r="A534" s="6">
        <v>530</v>
      </c>
      <c r="B534" s="6" t="s">
        <v>1861</v>
      </c>
      <c r="C534" s="6" t="s">
        <v>336</v>
      </c>
      <c r="D534" s="6" t="s">
        <v>1862</v>
      </c>
      <c r="E534" s="6" t="s">
        <v>1863</v>
      </c>
      <c r="F534" s="6" t="s">
        <v>339</v>
      </c>
      <c r="G534" s="6" t="s">
        <v>1864</v>
      </c>
      <c r="H534" s="6" t="s">
        <v>341</v>
      </c>
    </row>
    <row r="535" spans="1:8">
      <c r="A535" s="6">
        <v>531</v>
      </c>
      <c r="B535" s="6" t="s">
        <v>1861</v>
      </c>
      <c r="C535" s="6" t="s">
        <v>336</v>
      </c>
      <c r="D535" s="6" t="s">
        <v>1865</v>
      </c>
      <c r="E535" s="6" t="s">
        <v>1866</v>
      </c>
      <c r="F535" s="6" t="s">
        <v>339</v>
      </c>
      <c r="G535" s="6" t="s">
        <v>1867</v>
      </c>
      <c r="H535" s="6" t="s">
        <v>341</v>
      </c>
    </row>
    <row r="536" spans="1:8">
      <c r="A536" s="6">
        <v>532</v>
      </c>
      <c r="B536" s="6" t="s">
        <v>1868</v>
      </c>
      <c r="C536" s="6" t="s">
        <v>336</v>
      </c>
      <c r="D536" s="6" t="s">
        <v>1869</v>
      </c>
      <c r="E536" s="6" t="s">
        <v>1870</v>
      </c>
      <c r="F536" s="6" t="s">
        <v>339</v>
      </c>
      <c r="G536" s="6" t="s">
        <v>1871</v>
      </c>
      <c r="H536" s="6" t="s">
        <v>341</v>
      </c>
    </row>
    <row r="537" spans="1:8">
      <c r="A537" s="6">
        <v>533</v>
      </c>
      <c r="B537" s="6" t="s">
        <v>1872</v>
      </c>
      <c r="C537" s="6" t="s">
        <v>336</v>
      </c>
      <c r="D537" s="6" t="s">
        <v>1873</v>
      </c>
      <c r="E537" s="6" t="s">
        <v>431</v>
      </c>
      <c r="F537" s="6" t="s">
        <v>339</v>
      </c>
      <c r="G537" s="6" t="s">
        <v>1874</v>
      </c>
      <c r="H537" s="6" t="s">
        <v>341</v>
      </c>
    </row>
    <row r="538" spans="1:8">
      <c r="A538" s="6">
        <v>534</v>
      </c>
      <c r="B538" s="6" t="s">
        <v>1872</v>
      </c>
      <c r="C538" s="6" t="s">
        <v>1875</v>
      </c>
      <c r="D538" s="6" t="s">
        <v>1876</v>
      </c>
      <c r="E538" s="6" t="s">
        <v>339</v>
      </c>
      <c r="F538" s="6" t="s">
        <v>1877</v>
      </c>
      <c r="G538" s="6" t="s">
        <v>1878</v>
      </c>
    </row>
    <row r="539" spans="1:8">
      <c r="A539" s="6">
        <v>535</v>
      </c>
      <c r="B539" s="6" t="s">
        <v>1872</v>
      </c>
      <c r="C539" s="6" t="s">
        <v>1879</v>
      </c>
      <c r="D539" s="6" t="s">
        <v>1880</v>
      </c>
      <c r="E539" s="6" t="s">
        <v>339</v>
      </c>
      <c r="F539" s="6" t="s">
        <v>1881</v>
      </c>
      <c r="G539" s="6" t="s">
        <v>1882</v>
      </c>
    </row>
    <row r="540" spans="1:8">
      <c r="A540" s="6">
        <v>536</v>
      </c>
      <c r="B540" s="6" t="s">
        <v>1872</v>
      </c>
      <c r="C540" s="6" t="s">
        <v>336</v>
      </c>
      <c r="D540" s="6" t="s">
        <v>1883</v>
      </c>
      <c r="E540" s="6" t="s">
        <v>1884</v>
      </c>
      <c r="F540" s="6" t="s">
        <v>339</v>
      </c>
      <c r="G540" s="6" t="s">
        <v>1885</v>
      </c>
      <c r="H540" s="6" t="s">
        <v>341</v>
      </c>
    </row>
    <row r="541" spans="1:8">
      <c r="A541" s="6">
        <v>537</v>
      </c>
      <c r="B541" s="6" t="s">
        <v>1886</v>
      </c>
      <c r="C541" s="6" t="s">
        <v>1887</v>
      </c>
      <c r="D541" s="6" t="s">
        <v>1888</v>
      </c>
      <c r="E541" s="6" t="s">
        <v>339</v>
      </c>
      <c r="F541" s="6" t="s">
        <v>1889</v>
      </c>
      <c r="G541" s="6" t="s">
        <v>1890</v>
      </c>
    </row>
    <row r="542" spans="1:8">
      <c r="A542" s="6">
        <v>538</v>
      </c>
      <c r="B542" s="6" t="s">
        <v>1891</v>
      </c>
      <c r="C542" s="6" t="s">
        <v>336</v>
      </c>
      <c r="D542" s="6" t="s">
        <v>1892</v>
      </c>
      <c r="E542" s="6" t="s">
        <v>339</v>
      </c>
      <c r="F542" s="6" t="s">
        <v>1893</v>
      </c>
      <c r="G542" s="6" t="s">
        <v>1894</v>
      </c>
      <c r="H542" s="6" t="s">
        <v>388</v>
      </c>
    </row>
    <row r="543" spans="1:8">
      <c r="A543" s="6">
        <v>539</v>
      </c>
      <c r="B543" s="6" t="s">
        <v>1891</v>
      </c>
      <c r="C543" s="6" t="s">
        <v>336</v>
      </c>
      <c r="D543" s="6" t="s">
        <v>1895</v>
      </c>
      <c r="E543" s="6" t="s">
        <v>339</v>
      </c>
      <c r="F543" s="6" t="s">
        <v>1896</v>
      </c>
      <c r="G543" s="6" t="s">
        <v>1897</v>
      </c>
      <c r="H543" s="6" t="s">
        <v>388</v>
      </c>
    </row>
    <row r="544" spans="1:8">
      <c r="A544" s="6">
        <v>540</v>
      </c>
      <c r="B544" s="6" t="s">
        <v>1898</v>
      </c>
      <c r="C544" s="6" t="s">
        <v>336</v>
      </c>
      <c r="D544" s="6" t="s">
        <v>1899</v>
      </c>
      <c r="E544" s="6" t="s">
        <v>1900</v>
      </c>
      <c r="F544" s="6" t="s">
        <v>339</v>
      </c>
      <c r="G544" s="6" t="s">
        <v>1901</v>
      </c>
      <c r="H544" s="6" t="s">
        <v>341</v>
      </c>
    </row>
    <row r="545" spans="1:8">
      <c r="A545" s="6">
        <v>541</v>
      </c>
      <c r="B545" s="6" t="s">
        <v>1898</v>
      </c>
      <c r="C545" s="6" t="s">
        <v>1902</v>
      </c>
      <c r="D545" s="6" t="s">
        <v>1903</v>
      </c>
      <c r="E545" s="6" t="s">
        <v>339</v>
      </c>
      <c r="F545" s="6" t="s">
        <v>1904</v>
      </c>
      <c r="G545" s="6" t="s">
        <v>1905</v>
      </c>
    </row>
    <row r="546" spans="1:8">
      <c r="A546" s="6">
        <v>542</v>
      </c>
      <c r="B546" s="6" t="s">
        <v>1906</v>
      </c>
      <c r="C546" s="6" t="s">
        <v>336</v>
      </c>
      <c r="D546" s="6" t="s">
        <v>1907</v>
      </c>
      <c r="E546" s="6" t="s">
        <v>349</v>
      </c>
      <c r="F546" s="6" t="s">
        <v>339</v>
      </c>
      <c r="G546" s="6" t="s">
        <v>1908</v>
      </c>
      <c r="H546" s="6" t="s">
        <v>341</v>
      </c>
    </row>
    <row r="547" spans="1:8">
      <c r="A547" s="6">
        <v>543</v>
      </c>
      <c r="B547" s="6" t="s">
        <v>1906</v>
      </c>
      <c r="C547" s="6" t="s">
        <v>336</v>
      </c>
      <c r="D547" s="6" t="s">
        <v>1909</v>
      </c>
      <c r="E547" s="6" t="s">
        <v>1910</v>
      </c>
      <c r="F547" s="6" t="s">
        <v>339</v>
      </c>
      <c r="G547" s="6" t="s">
        <v>1911</v>
      </c>
      <c r="H547" s="6" t="s">
        <v>341</v>
      </c>
    </row>
    <row r="548" spans="1:8">
      <c r="A548" s="6">
        <v>544</v>
      </c>
      <c r="B548" s="6" t="s">
        <v>1912</v>
      </c>
      <c r="C548" s="6" t="s">
        <v>336</v>
      </c>
      <c r="D548" s="6" t="s">
        <v>1913</v>
      </c>
      <c r="E548" s="6" t="s">
        <v>1914</v>
      </c>
      <c r="F548" s="6" t="s">
        <v>339</v>
      </c>
      <c r="G548" s="6" t="s">
        <v>1915</v>
      </c>
      <c r="H548" s="6" t="s">
        <v>341</v>
      </c>
    </row>
    <row r="549" spans="1:8">
      <c r="A549" s="6">
        <v>545</v>
      </c>
      <c r="B549" s="6" t="s">
        <v>1912</v>
      </c>
      <c r="C549" s="6" t="s">
        <v>336</v>
      </c>
      <c r="D549" s="6" t="s">
        <v>1916</v>
      </c>
      <c r="E549" s="6" t="s">
        <v>1421</v>
      </c>
      <c r="F549" s="6" t="s">
        <v>339</v>
      </c>
      <c r="G549" s="6" t="s">
        <v>1917</v>
      </c>
      <c r="H549" s="6" t="s">
        <v>341</v>
      </c>
    </row>
    <row r="550" spans="1:8">
      <c r="A550" s="6">
        <v>546</v>
      </c>
      <c r="B550" s="6" t="s">
        <v>1912</v>
      </c>
      <c r="C550" s="6" t="s">
        <v>336</v>
      </c>
      <c r="D550" s="6" t="s">
        <v>1918</v>
      </c>
      <c r="E550" s="6" t="s">
        <v>846</v>
      </c>
      <c r="F550" s="6" t="s">
        <v>339</v>
      </c>
      <c r="G550" s="6" t="s">
        <v>1919</v>
      </c>
      <c r="H550" s="6" t="s">
        <v>341</v>
      </c>
    </row>
    <row r="551" spans="1:8">
      <c r="A551" s="6">
        <v>547</v>
      </c>
      <c r="B551" s="6" t="s">
        <v>1912</v>
      </c>
      <c r="C551" s="6" t="s">
        <v>336</v>
      </c>
      <c r="D551" s="6" t="s">
        <v>1920</v>
      </c>
      <c r="E551" s="6" t="s">
        <v>1921</v>
      </c>
      <c r="F551" s="6" t="s">
        <v>339</v>
      </c>
      <c r="G551" s="6" t="s">
        <v>1922</v>
      </c>
      <c r="H551" s="6" t="s">
        <v>341</v>
      </c>
    </row>
    <row r="552" spans="1:8">
      <c r="A552" s="6">
        <v>548</v>
      </c>
      <c r="B552" s="6" t="s">
        <v>1912</v>
      </c>
      <c r="C552" s="6" t="s">
        <v>336</v>
      </c>
      <c r="D552" s="6" t="s">
        <v>1923</v>
      </c>
      <c r="E552" s="6" t="s">
        <v>1924</v>
      </c>
      <c r="F552" s="6" t="s">
        <v>339</v>
      </c>
      <c r="G552" s="6" t="s">
        <v>1925</v>
      </c>
      <c r="H552" s="6" t="s">
        <v>341</v>
      </c>
    </row>
    <row r="553" spans="1:8">
      <c r="A553" s="6">
        <v>549</v>
      </c>
      <c r="B553" s="6" t="s">
        <v>1912</v>
      </c>
      <c r="C553" s="6" t="s">
        <v>336</v>
      </c>
      <c r="D553" s="6" t="s">
        <v>1926</v>
      </c>
      <c r="E553" s="6" t="s">
        <v>1927</v>
      </c>
      <c r="F553" s="6" t="s">
        <v>339</v>
      </c>
      <c r="G553" s="6" t="s">
        <v>1928</v>
      </c>
      <c r="H553" s="6" t="s">
        <v>341</v>
      </c>
    </row>
    <row r="554" spans="1:8">
      <c r="A554" s="6">
        <v>550</v>
      </c>
      <c r="B554" s="6" t="s">
        <v>1912</v>
      </c>
      <c r="C554" s="6" t="s">
        <v>1929</v>
      </c>
      <c r="D554" s="6" t="s">
        <v>1930</v>
      </c>
      <c r="E554" s="6" t="s">
        <v>339</v>
      </c>
      <c r="F554" s="6" t="s">
        <v>1931</v>
      </c>
      <c r="G554" s="6" t="s">
        <v>1932</v>
      </c>
    </row>
    <row r="555" spans="1:8">
      <c r="A555" s="6">
        <v>551</v>
      </c>
      <c r="B555" s="6" t="s">
        <v>1933</v>
      </c>
      <c r="C555" s="6" t="s">
        <v>336</v>
      </c>
      <c r="D555" s="6" t="s">
        <v>1934</v>
      </c>
      <c r="E555" s="6" t="s">
        <v>357</v>
      </c>
      <c r="F555" s="6" t="s">
        <v>339</v>
      </c>
      <c r="G555" s="6" t="s">
        <v>1935</v>
      </c>
      <c r="H555" s="6" t="s">
        <v>341</v>
      </c>
    </row>
    <row r="556" spans="1:8">
      <c r="A556" s="6">
        <v>552</v>
      </c>
      <c r="B556" s="6" t="s">
        <v>1933</v>
      </c>
      <c r="C556" s="6" t="s">
        <v>1286</v>
      </c>
      <c r="D556" s="6" t="s">
        <v>1936</v>
      </c>
      <c r="E556" s="6" t="s">
        <v>339</v>
      </c>
      <c r="F556" s="6" t="s">
        <v>1937</v>
      </c>
      <c r="G556" s="6" t="s">
        <v>1938</v>
      </c>
    </row>
    <row r="557" spans="1:8">
      <c r="A557" s="6">
        <v>553</v>
      </c>
      <c r="B557" s="6" t="s">
        <v>1939</v>
      </c>
      <c r="C557" s="6" t="s">
        <v>336</v>
      </c>
      <c r="D557" s="6" t="s">
        <v>1940</v>
      </c>
      <c r="E557" s="6" t="s">
        <v>431</v>
      </c>
      <c r="F557" s="6" t="s">
        <v>339</v>
      </c>
      <c r="G557" s="6" t="s">
        <v>1941</v>
      </c>
      <c r="H557" s="6" t="s">
        <v>341</v>
      </c>
    </row>
    <row r="558" spans="1:8">
      <c r="A558" s="6">
        <v>554</v>
      </c>
      <c r="B558" s="6" t="s">
        <v>1939</v>
      </c>
      <c r="C558" s="6" t="s">
        <v>336</v>
      </c>
      <c r="D558" s="6" t="s">
        <v>1942</v>
      </c>
      <c r="E558" s="6" t="s">
        <v>1943</v>
      </c>
      <c r="F558" s="6" t="s">
        <v>339</v>
      </c>
      <c r="G558" s="6" t="s">
        <v>1944</v>
      </c>
      <c r="H558" s="6" t="s">
        <v>341</v>
      </c>
    </row>
    <row r="559" spans="1:8">
      <c r="A559" s="6">
        <v>555</v>
      </c>
      <c r="B559" s="6" t="s">
        <v>1939</v>
      </c>
      <c r="C559" s="6" t="s">
        <v>336</v>
      </c>
      <c r="D559" s="6" t="s">
        <v>1945</v>
      </c>
      <c r="E559" s="6" t="s">
        <v>524</v>
      </c>
      <c r="F559" s="6" t="s">
        <v>339</v>
      </c>
      <c r="G559" s="6" t="s">
        <v>1946</v>
      </c>
      <c r="H559" s="6" t="s">
        <v>341</v>
      </c>
    </row>
    <row r="560" spans="1:8">
      <c r="A560" s="6">
        <v>556</v>
      </c>
      <c r="B560" s="6" t="s">
        <v>1939</v>
      </c>
      <c r="C560" s="6" t="s">
        <v>336</v>
      </c>
      <c r="D560" s="6" t="s">
        <v>1947</v>
      </c>
      <c r="E560" s="6" t="s">
        <v>1948</v>
      </c>
      <c r="F560" s="6" t="s">
        <v>339</v>
      </c>
      <c r="G560" s="6" t="s">
        <v>1949</v>
      </c>
      <c r="H560" s="6" t="s">
        <v>341</v>
      </c>
    </row>
    <row r="561" spans="1:8">
      <c r="A561" s="6">
        <v>557</v>
      </c>
      <c r="B561" s="6" t="s">
        <v>1939</v>
      </c>
      <c r="C561" s="6" t="s">
        <v>336</v>
      </c>
      <c r="D561" s="6" t="s">
        <v>1950</v>
      </c>
      <c r="E561" s="6" t="s">
        <v>1951</v>
      </c>
      <c r="F561" s="6" t="s">
        <v>339</v>
      </c>
      <c r="G561" s="6" t="s">
        <v>1952</v>
      </c>
      <c r="H561" s="6" t="s">
        <v>341</v>
      </c>
    </row>
    <row r="562" spans="1:8">
      <c r="A562" s="6">
        <v>558</v>
      </c>
      <c r="B562" s="6" t="s">
        <v>1939</v>
      </c>
      <c r="C562" s="6" t="s">
        <v>336</v>
      </c>
      <c r="D562" s="6" t="s">
        <v>1953</v>
      </c>
      <c r="E562" s="6" t="s">
        <v>1954</v>
      </c>
      <c r="F562" s="6" t="s">
        <v>339</v>
      </c>
      <c r="G562" s="6" t="s">
        <v>1955</v>
      </c>
      <c r="H562" s="6" t="s">
        <v>341</v>
      </c>
    </row>
    <row r="563" spans="1:8">
      <c r="A563" s="6">
        <v>559</v>
      </c>
      <c r="B563" s="6" t="s">
        <v>1939</v>
      </c>
      <c r="C563" s="6" t="s">
        <v>336</v>
      </c>
      <c r="D563" s="6" t="s">
        <v>1956</v>
      </c>
      <c r="E563" s="6" t="s">
        <v>1957</v>
      </c>
      <c r="F563" s="6" t="s">
        <v>339</v>
      </c>
      <c r="G563" s="6" t="s">
        <v>1958</v>
      </c>
      <c r="H563" s="6" t="s">
        <v>341</v>
      </c>
    </row>
    <row r="564" spans="1:8">
      <c r="A564" s="6">
        <v>560</v>
      </c>
      <c r="B564" s="6" t="s">
        <v>1959</v>
      </c>
      <c r="C564" s="6" t="s">
        <v>336</v>
      </c>
      <c r="D564" s="6" t="s">
        <v>1960</v>
      </c>
      <c r="E564" s="6" t="s">
        <v>494</v>
      </c>
      <c r="F564" s="6" t="s">
        <v>339</v>
      </c>
      <c r="G564" s="6" t="s">
        <v>1961</v>
      </c>
      <c r="H564" s="6" t="s">
        <v>341</v>
      </c>
    </row>
    <row r="565" spans="1:8">
      <c r="A565" s="6">
        <v>561</v>
      </c>
      <c r="B565" s="6" t="s">
        <v>1959</v>
      </c>
      <c r="C565" s="6" t="s">
        <v>1962</v>
      </c>
      <c r="D565" s="6" t="s">
        <v>1963</v>
      </c>
      <c r="E565" s="6" t="s">
        <v>339</v>
      </c>
      <c r="F565" s="6" t="s">
        <v>1964</v>
      </c>
      <c r="G565" s="6" t="s">
        <v>1965</v>
      </c>
    </row>
    <row r="566" spans="1:8">
      <c r="A566" s="6">
        <v>562</v>
      </c>
      <c r="B566" s="6" t="s">
        <v>1959</v>
      </c>
      <c r="C566" s="6" t="s">
        <v>1966</v>
      </c>
      <c r="D566" s="6" t="s">
        <v>1967</v>
      </c>
      <c r="E566" s="6" t="s">
        <v>339</v>
      </c>
      <c r="F566" s="6" t="s">
        <v>1968</v>
      </c>
      <c r="G566" s="6" t="s">
        <v>1969</v>
      </c>
    </row>
    <row r="567" spans="1:8">
      <c r="A567" s="6">
        <v>563</v>
      </c>
      <c r="B567" s="6" t="s">
        <v>1970</v>
      </c>
      <c r="C567" s="6" t="s">
        <v>336</v>
      </c>
      <c r="D567" s="6" t="s">
        <v>1971</v>
      </c>
      <c r="E567" s="6" t="s">
        <v>364</v>
      </c>
      <c r="F567" s="6" t="s">
        <v>339</v>
      </c>
      <c r="G567" s="6" t="s">
        <v>1972</v>
      </c>
      <c r="H567" s="6" t="s">
        <v>341</v>
      </c>
    </row>
    <row r="568" spans="1:8">
      <c r="A568" s="6">
        <v>564</v>
      </c>
      <c r="B568" s="6" t="s">
        <v>1973</v>
      </c>
      <c r="C568" s="6" t="s">
        <v>336</v>
      </c>
      <c r="D568" s="6" t="s">
        <v>1974</v>
      </c>
      <c r="E568" s="6" t="s">
        <v>364</v>
      </c>
      <c r="F568" s="6" t="s">
        <v>339</v>
      </c>
      <c r="G568" s="6" t="s">
        <v>1975</v>
      </c>
      <c r="H568" s="6" t="s">
        <v>341</v>
      </c>
    </row>
    <row r="569" spans="1:8">
      <c r="A569" s="6">
        <v>565</v>
      </c>
      <c r="B569" s="6" t="s">
        <v>1976</v>
      </c>
      <c r="C569" s="6" t="s">
        <v>336</v>
      </c>
      <c r="D569" s="6" t="s">
        <v>1977</v>
      </c>
      <c r="E569" s="6" t="s">
        <v>431</v>
      </c>
      <c r="F569" s="6" t="s">
        <v>339</v>
      </c>
      <c r="G569" s="6" t="s">
        <v>1978</v>
      </c>
      <c r="H569" s="6" t="s">
        <v>341</v>
      </c>
    </row>
    <row r="570" spans="1:8">
      <c r="A570" s="6">
        <v>566</v>
      </c>
      <c r="B570" s="6" t="s">
        <v>1976</v>
      </c>
      <c r="C570" s="6" t="s">
        <v>336</v>
      </c>
      <c r="D570" s="6" t="s">
        <v>1979</v>
      </c>
      <c r="E570" s="6" t="s">
        <v>431</v>
      </c>
      <c r="F570" s="6" t="s">
        <v>339</v>
      </c>
      <c r="G570" s="6" t="s">
        <v>1980</v>
      </c>
      <c r="H570" s="6" t="s">
        <v>341</v>
      </c>
    </row>
    <row r="571" spans="1:8">
      <c r="A571" s="6">
        <v>567</v>
      </c>
      <c r="B571" s="6" t="s">
        <v>1976</v>
      </c>
      <c r="C571" s="6" t="s">
        <v>336</v>
      </c>
      <c r="D571" s="6" t="s">
        <v>1981</v>
      </c>
      <c r="E571" s="6" t="s">
        <v>1087</v>
      </c>
      <c r="F571" s="6" t="s">
        <v>339</v>
      </c>
      <c r="G571" s="6" t="s">
        <v>1982</v>
      </c>
      <c r="H571" s="6" t="s">
        <v>341</v>
      </c>
    </row>
    <row r="572" spans="1:8">
      <c r="A572" s="6">
        <v>568</v>
      </c>
      <c r="B572" s="6" t="s">
        <v>1976</v>
      </c>
      <c r="C572" s="6" t="s">
        <v>336</v>
      </c>
      <c r="D572" s="6" t="s">
        <v>1983</v>
      </c>
      <c r="E572" s="6" t="s">
        <v>431</v>
      </c>
      <c r="F572" s="6" t="s">
        <v>339</v>
      </c>
      <c r="G572" s="6" t="s">
        <v>1984</v>
      </c>
      <c r="H572" s="6" t="s">
        <v>341</v>
      </c>
    </row>
    <row r="573" spans="1:8">
      <c r="A573" s="6">
        <v>569</v>
      </c>
      <c r="B573" s="6" t="s">
        <v>1976</v>
      </c>
      <c r="C573" s="6" t="s">
        <v>336</v>
      </c>
      <c r="D573" s="6" t="s">
        <v>1985</v>
      </c>
      <c r="E573" s="6" t="s">
        <v>494</v>
      </c>
      <c r="F573" s="6" t="s">
        <v>339</v>
      </c>
      <c r="G573" s="6" t="s">
        <v>1986</v>
      </c>
      <c r="H573" s="6" t="s">
        <v>341</v>
      </c>
    </row>
    <row r="574" spans="1:8">
      <c r="A574" s="6">
        <v>570</v>
      </c>
      <c r="B574" s="6" t="s">
        <v>1976</v>
      </c>
      <c r="C574" s="6" t="s">
        <v>336</v>
      </c>
      <c r="D574" s="6" t="s">
        <v>1987</v>
      </c>
      <c r="E574" s="6" t="s">
        <v>431</v>
      </c>
      <c r="F574" s="6" t="s">
        <v>339</v>
      </c>
      <c r="G574" s="6" t="s">
        <v>1988</v>
      </c>
      <c r="H574" s="6" t="s">
        <v>341</v>
      </c>
    </row>
    <row r="575" spans="1:8">
      <c r="A575" s="6">
        <v>571</v>
      </c>
      <c r="B575" s="6" t="s">
        <v>1976</v>
      </c>
      <c r="C575" s="6" t="s">
        <v>336</v>
      </c>
      <c r="D575" s="6" t="s">
        <v>1989</v>
      </c>
      <c r="E575" s="6" t="s">
        <v>404</v>
      </c>
      <c r="F575" s="6" t="s">
        <v>339</v>
      </c>
      <c r="G575" s="6" t="s">
        <v>1990</v>
      </c>
      <c r="H575" s="6" t="s">
        <v>341</v>
      </c>
    </row>
    <row r="576" spans="1:8">
      <c r="A576" s="6">
        <v>572</v>
      </c>
      <c r="B576" s="6" t="s">
        <v>1976</v>
      </c>
      <c r="C576" s="6" t="s">
        <v>336</v>
      </c>
      <c r="D576" s="6" t="s">
        <v>1991</v>
      </c>
      <c r="E576" s="6" t="s">
        <v>431</v>
      </c>
      <c r="F576" s="6" t="s">
        <v>339</v>
      </c>
      <c r="G576" s="6" t="s">
        <v>1992</v>
      </c>
      <c r="H576" s="6" t="s">
        <v>341</v>
      </c>
    </row>
    <row r="577" spans="1:8">
      <c r="A577" s="6">
        <v>573</v>
      </c>
      <c r="B577" s="6" t="s">
        <v>1976</v>
      </c>
      <c r="C577" s="6" t="s">
        <v>336</v>
      </c>
      <c r="D577" s="6" t="s">
        <v>1993</v>
      </c>
      <c r="E577" s="6" t="s">
        <v>431</v>
      </c>
      <c r="F577" s="6" t="s">
        <v>339</v>
      </c>
      <c r="G577" s="6" t="s">
        <v>1994</v>
      </c>
      <c r="H577" s="6" t="s">
        <v>341</v>
      </c>
    </row>
    <row r="578" spans="1:8">
      <c r="A578" s="6">
        <v>574</v>
      </c>
      <c r="B578" s="6" t="s">
        <v>1976</v>
      </c>
      <c r="C578" s="6" t="s">
        <v>336</v>
      </c>
      <c r="D578" s="6" t="s">
        <v>1995</v>
      </c>
      <c r="E578" s="6" t="s">
        <v>494</v>
      </c>
      <c r="F578" s="6" t="s">
        <v>339</v>
      </c>
      <c r="G578" s="6" t="s">
        <v>1996</v>
      </c>
      <c r="H578" s="6" t="s">
        <v>341</v>
      </c>
    </row>
    <row r="579" spans="1:8">
      <c r="A579" s="6">
        <v>575</v>
      </c>
      <c r="B579" s="6" t="s">
        <v>1976</v>
      </c>
      <c r="C579" s="6" t="s">
        <v>336</v>
      </c>
      <c r="D579" s="6" t="s">
        <v>1997</v>
      </c>
      <c r="E579" s="6" t="s">
        <v>343</v>
      </c>
      <c r="F579" s="6" t="s">
        <v>339</v>
      </c>
      <c r="G579" s="6" t="s">
        <v>1998</v>
      </c>
      <c r="H579" s="6" t="s">
        <v>341</v>
      </c>
    </row>
    <row r="580" spans="1:8">
      <c r="A580" s="6">
        <v>576</v>
      </c>
      <c r="B580" s="6" t="s">
        <v>1976</v>
      </c>
      <c r="C580" s="6" t="s">
        <v>336</v>
      </c>
      <c r="D580" s="6" t="s">
        <v>1450</v>
      </c>
      <c r="E580" s="6" t="s">
        <v>470</v>
      </c>
      <c r="F580" s="6" t="s">
        <v>339</v>
      </c>
      <c r="G580" s="6" t="s">
        <v>1999</v>
      </c>
      <c r="H580" s="6" t="s">
        <v>341</v>
      </c>
    </row>
    <row r="581" spans="1:8">
      <c r="A581" s="6">
        <v>577</v>
      </c>
      <c r="B581" s="6" t="s">
        <v>1976</v>
      </c>
      <c r="C581" s="6" t="s">
        <v>336</v>
      </c>
      <c r="D581" s="6" t="s">
        <v>1448</v>
      </c>
      <c r="E581" s="6" t="s">
        <v>473</v>
      </c>
      <c r="F581" s="6" t="s">
        <v>339</v>
      </c>
      <c r="G581" s="6" t="s">
        <v>2000</v>
      </c>
      <c r="H581" s="6" t="s">
        <v>341</v>
      </c>
    </row>
    <row r="582" spans="1:8">
      <c r="A582" s="6">
        <v>578</v>
      </c>
      <c r="B582" s="6" t="s">
        <v>2001</v>
      </c>
      <c r="C582" s="6" t="s">
        <v>336</v>
      </c>
      <c r="D582" s="6" t="s">
        <v>2002</v>
      </c>
      <c r="E582" s="6" t="s">
        <v>583</v>
      </c>
      <c r="F582" s="6" t="s">
        <v>339</v>
      </c>
      <c r="G582" s="6" t="s">
        <v>2003</v>
      </c>
      <c r="H582" s="6" t="s">
        <v>341</v>
      </c>
    </row>
    <row r="583" spans="1:8">
      <c r="A583" s="6">
        <v>579</v>
      </c>
      <c r="B583" s="6" t="s">
        <v>2001</v>
      </c>
      <c r="C583" s="6" t="s">
        <v>336</v>
      </c>
      <c r="D583" s="6" t="s">
        <v>2004</v>
      </c>
      <c r="E583" s="6" t="s">
        <v>431</v>
      </c>
      <c r="F583" s="6" t="s">
        <v>339</v>
      </c>
      <c r="G583" s="6" t="s">
        <v>2005</v>
      </c>
      <c r="H583" s="6" t="s">
        <v>341</v>
      </c>
    </row>
    <row r="584" spans="1:8">
      <c r="A584" s="6">
        <v>580</v>
      </c>
      <c r="B584" s="6" t="s">
        <v>2006</v>
      </c>
      <c r="C584" s="6" t="s">
        <v>336</v>
      </c>
      <c r="D584" s="6" t="s">
        <v>2007</v>
      </c>
      <c r="E584" s="6" t="s">
        <v>1243</v>
      </c>
      <c r="F584" s="6" t="s">
        <v>339</v>
      </c>
      <c r="G584" s="6" t="s">
        <v>2008</v>
      </c>
      <c r="H584" s="6" t="s">
        <v>341</v>
      </c>
    </row>
    <row r="585" spans="1:8">
      <c r="A585" s="6">
        <v>581</v>
      </c>
      <c r="B585" s="6" t="s">
        <v>2006</v>
      </c>
      <c r="C585" s="6" t="s">
        <v>336</v>
      </c>
      <c r="D585" s="6" t="s">
        <v>2009</v>
      </c>
      <c r="E585" s="6" t="s">
        <v>494</v>
      </c>
      <c r="F585" s="6" t="s">
        <v>339</v>
      </c>
      <c r="G585" s="6" t="s">
        <v>2010</v>
      </c>
      <c r="H585" s="6" t="s">
        <v>341</v>
      </c>
    </row>
    <row r="586" spans="1:8">
      <c r="A586" s="6">
        <v>582</v>
      </c>
      <c r="B586" s="6" t="s">
        <v>2006</v>
      </c>
      <c r="C586" s="6" t="s">
        <v>336</v>
      </c>
      <c r="D586" s="6" t="s">
        <v>2011</v>
      </c>
      <c r="E586" s="6" t="s">
        <v>651</v>
      </c>
      <c r="F586" s="6" t="s">
        <v>339</v>
      </c>
      <c r="G586" s="6" t="s">
        <v>2012</v>
      </c>
      <c r="H586" s="6" t="s">
        <v>341</v>
      </c>
    </row>
    <row r="587" spans="1:8">
      <c r="A587" s="6">
        <v>583</v>
      </c>
      <c r="B587" s="6" t="s">
        <v>2013</v>
      </c>
      <c r="C587" s="6" t="s">
        <v>336</v>
      </c>
      <c r="D587" s="6" t="s">
        <v>2014</v>
      </c>
      <c r="E587" s="6" t="s">
        <v>1087</v>
      </c>
      <c r="F587" s="6" t="s">
        <v>339</v>
      </c>
      <c r="G587" s="6" t="s">
        <v>2015</v>
      </c>
      <c r="H587" s="6" t="s">
        <v>341</v>
      </c>
    </row>
    <row r="588" spans="1:8">
      <c r="A588" s="6">
        <v>584</v>
      </c>
      <c r="B588" s="6" t="s">
        <v>2016</v>
      </c>
      <c r="C588" s="6" t="s">
        <v>336</v>
      </c>
      <c r="D588" s="6" t="s">
        <v>2017</v>
      </c>
      <c r="E588" s="6" t="s">
        <v>2018</v>
      </c>
      <c r="F588" s="6" t="s">
        <v>339</v>
      </c>
      <c r="G588" s="6" t="s">
        <v>2019</v>
      </c>
      <c r="H588" s="6" t="s">
        <v>341</v>
      </c>
    </row>
    <row r="589" spans="1:8">
      <c r="A589" s="6">
        <v>585</v>
      </c>
      <c r="B589" s="6" t="s">
        <v>2020</v>
      </c>
      <c r="C589" s="6" t="s">
        <v>2021</v>
      </c>
      <c r="D589" s="6" t="s">
        <v>2022</v>
      </c>
      <c r="E589" s="6" t="s">
        <v>339</v>
      </c>
      <c r="F589" s="6" t="s">
        <v>2023</v>
      </c>
      <c r="G589" s="6" t="s">
        <v>2024</v>
      </c>
    </row>
    <row r="590" spans="1:8">
      <c r="A590" s="6">
        <v>586</v>
      </c>
      <c r="B590" s="6" t="s">
        <v>2020</v>
      </c>
      <c r="C590" s="6" t="s">
        <v>2025</v>
      </c>
      <c r="D590" s="6" t="s">
        <v>2026</v>
      </c>
      <c r="E590" s="6" t="s">
        <v>339</v>
      </c>
      <c r="F590" s="6" t="s">
        <v>2027</v>
      </c>
      <c r="G590" s="6" t="s">
        <v>2028</v>
      </c>
    </row>
    <row r="591" spans="1:8">
      <c r="A591" s="6">
        <v>587</v>
      </c>
      <c r="B591" s="6" t="s">
        <v>2020</v>
      </c>
      <c r="C591" s="6" t="s">
        <v>2029</v>
      </c>
      <c r="D591" s="6" t="s">
        <v>2030</v>
      </c>
      <c r="E591" s="6" t="s">
        <v>339</v>
      </c>
      <c r="F591" s="6" t="s">
        <v>2031</v>
      </c>
      <c r="G591" s="6" t="s">
        <v>2032</v>
      </c>
    </row>
    <row r="592" spans="1:8">
      <c r="A592" s="6">
        <v>588</v>
      </c>
      <c r="B592" s="6" t="s">
        <v>2033</v>
      </c>
      <c r="C592" s="6" t="s">
        <v>336</v>
      </c>
      <c r="D592" s="6" t="s">
        <v>2034</v>
      </c>
      <c r="E592" s="6" t="s">
        <v>494</v>
      </c>
      <c r="F592" s="6" t="s">
        <v>339</v>
      </c>
      <c r="G592" s="6" t="s">
        <v>2035</v>
      </c>
      <c r="H592" s="6" t="s">
        <v>341</v>
      </c>
    </row>
    <row r="593" spans="1:8">
      <c r="A593" s="6">
        <v>589</v>
      </c>
      <c r="B593" s="6" t="s">
        <v>2033</v>
      </c>
      <c r="C593" s="6" t="s">
        <v>336</v>
      </c>
      <c r="D593" s="6" t="s">
        <v>2036</v>
      </c>
      <c r="E593" s="6" t="s">
        <v>2037</v>
      </c>
      <c r="F593" s="6" t="s">
        <v>339</v>
      </c>
      <c r="G593" s="6" t="s">
        <v>2038</v>
      </c>
      <c r="H593" s="6" t="s">
        <v>341</v>
      </c>
    </row>
    <row r="594" spans="1:8">
      <c r="A594" s="6">
        <v>590</v>
      </c>
      <c r="B594" s="6" t="s">
        <v>2039</v>
      </c>
      <c r="C594" s="6" t="s">
        <v>2040</v>
      </c>
      <c r="D594" s="6" t="s">
        <v>2041</v>
      </c>
      <c r="E594" s="6" t="s">
        <v>339</v>
      </c>
      <c r="F594" s="6" t="s">
        <v>2042</v>
      </c>
      <c r="G594" s="6" t="s">
        <v>2043</v>
      </c>
    </row>
    <row r="595" spans="1:8">
      <c r="A595" s="6">
        <v>591</v>
      </c>
      <c r="B595" s="6" t="s">
        <v>2044</v>
      </c>
      <c r="C595" s="6" t="s">
        <v>336</v>
      </c>
      <c r="D595" s="6" t="s">
        <v>2045</v>
      </c>
      <c r="E595" s="6" t="s">
        <v>2046</v>
      </c>
      <c r="F595" s="6" t="s">
        <v>339</v>
      </c>
      <c r="G595" s="6" t="s">
        <v>2047</v>
      </c>
      <c r="H595" s="6" t="s">
        <v>341</v>
      </c>
    </row>
    <row r="596" spans="1:8">
      <c r="A596" s="6">
        <v>592</v>
      </c>
      <c r="B596" s="6" t="s">
        <v>2044</v>
      </c>
      <c r="C596" s="6" t="s">
        <v>336</v>
      </c>
      <c r="D596" s="6" t="s">
        <v>2048</v>
      </c>
      <c r="E596" s="6" t="s">
        <v>467</v>
      </c>
      <c r="F596" s="6" t="s">
        <v>339</v>
      </c>
      <c r="G596" s="6" t="s">
        <v>2049</v>
      </c>
      <c r="H596" s="6" t="s">
        <v>341</v>
      </c>
    </row>
    <row r="597" spans="1:8">
      <c r="A597" s="6">
        <v>593</v>
      </c>
      <c r="B597" s="6" t="s">
        <v>2044</v>
      </c>
      <c r="C597" s="6" t="s">
        <v>336</v>
      </c>
      <c r="D597" s="6" t="s">
        <v>2050</v>
      </c>
      <c r="E597" s="6" t="s">
        <v>2051</v>
      </c>
      <c r="F597" s="6" t="s">
        <v>339</v>
      </c>
      <c r="G597" s="6" t="s">
        <v>2052</v>
      </c>
      <c r="H597" s="6" t="s">
        <v>341</v>
      </c>
    </row>
    <row r="598" spans="1:8">
      <c r="A598" s="6">
        <v>594</v>
      </c>
      <c r="B598" s="6" t="s">
        <v>2044</v>
      </c>
      <c r="C598" s="6" t="s">
        <v>336</v>
      </c>
      <c r="D598" s="6" t="s">
        <v>2053</v>
      </c>
      <c r="E598" s="6" t="s">
        <v>2054</v>
      </c>
      <c r="F598" s="6" t="s">
        <v>339</v>
      </c>
      <c r="G598" s="6" t="s">
        <v>2055</v>
      </c>
      <c r="H598" s="6" t="s">
        <v>341</v>
      </c>
    </row>
    <row r="599" spans="1:8">
      <c r="A599" s="6">
        <v>595</v>
      </c>
      <c r="B599" s="6" t="s">
        <v>2044</v>
      </c>
      <c r="C599" s="6" t="s">
        <v>336</v>
      </c>
      <c r="D599" s="6" t="s">
        <v>2056</v>
      </c>
      <c r="E599" s="6" t="s">
        <v>2057</v>
      </c>
      <c r="F599" s="6" t="s">
        <v>339</v>
      </c>
      <c r="G599" s="6" t="s">
        <v>2058</v>
      </c>
      <c r="H599" s="6" t="s">
        <v>341</v>
      </c>
    </row>
    <row r="600" spans="1:8">
      <c r="A600" s="6">
        <v>596</v>
      </c>
      <c r="B600" s="6" t="s">
        <v>2044</v>
      </c>
      <c r="C600" s="6" t="s">
        <v>336</v>
      </c>
      <c r="D600" s="6" t="s">
        <v>2059</v>
      </c>
      <c r="E600" s="6" t="s">
        <v>1338</v>
      </c>
      <c r="F600" s="6" t="s">
        <v>339</v>
      </c>
      <c r="G600" s="6" t="s">
        <v>2060</v>
      </c>
      <c r="H600" s="6" t="s">
        <v>341</v>
      </c>
    </row>
    <row r="601" spans="1:8">
      <c r="A601" s="6">
        <v>597</v>
      </c>
      <c r="B601" s="6" t="s">
        <v>2044</v>
      </c>
      <c r="C601" s="6" t="s">
        <v>336</v>
      </c>
      <c r="D601" s="6" t="s">
        <v>2061</v>
      </c>
      <c r="E601" s="6" t="s">
        <v>2062</v>
      </c>
      <c r="F601" s="6" t="s">
        <v>339</v>
      </c>
      <c r="G601" s="6" t="s">
        <v>2063</v>
      </c>
      <c r="H601" s="6" t="s">
        <v>341</v>
      </c>
    </row>
    <row r="602" spans="1:8">
      <c r="A602" s="6">
        <v>598</v>
      </c>
      <c r="B602" s="6" t="s">
        <v>2044</v>
      </c>
      <c r="C602" s="6" t="s">
        <v>336</v>
      </c>
      <c r="D602" s="6" t="s">
        <v>2064</v>
      </c>
      <c r="E602" s="6" t="s">
        <v>2065</v>
      </c>
      <c r="F602" s="6" t="s">
        <v>339</v>
      </c>
      <c r="G602" s="6" t="s">
        <v>2066</v>
      </c>
      <c r="H602" s="6" t="s">
        <v>341</v>
      </c>
    </row>
    <row r="603" spans="1:8">
      <c r="A603" s="6">
        <v>599</v>
      </c>
      <c r="B603" s="6" t="s">
        <v>2044</v>
      </c>
      <c r="C603" s="6" t="s">
        <v>336</v>
      </c>
      <c r="D603" s="6" t="s">
        <v>2067</v>
      </c>
      <c r="E603" s="6" t="s">
        <v>2068</v>
      </c>
      <c r="F603" s="6" t="s">
        <v>339</v>
      </c>
      <c r="G603" s="6" t="s">
        <v>2069</v>
      </c>
      <c r="H603" s="6" t="s">
        <v>341</v>
      </c>
    </row>
    <row r="604" spans="1:8">
      <c r="A604" s="6">
        <v>600</v>
      </c>
      <c r="B604" s="6" t="s">
        <v>2044</v>
      </c>
      <c r="C604" s="6" t="s">
        <v>336</v>
      </c>
      <c r="D604" s="6" t="s">
        <v>2070</v>
      </c>
      <c r="E604" s="6" t="s">
        <v>2071</v>
      </c>
      <c r="F604" s="6" t="s">
        <v>339</v>
      </c>
      <c r="G604" s="6" t="s">
        <v>2072</v>
      </c>
      <c r="H604" s="6" t="s">
        <v>341</v>
      </c>
    </row>
    <row r="605" spans="1:8">
      <c r="A605" s="6">
        <v>601</v>
      </c>
      <c r="B605" s="6" t="s">
        <v>2044</v>
      </c>
      <c r="C605" s="6" t="s">
        <v>336</v>
      </c>
      <c r="D605" s="6" t="s">
        <v>2073</v>
      </c>
      <c r="E605" s="6" t="s">
        <v>2074</v>
      </c>
      <c r="F605" s="6" t="s">
        <v>339</v>
      </c>
      <c r="G605" s="6" t="s">
        <v>2075</v>
      </c>
      <c r="H605" s="6" t="s">
        <v>341</v>
      </c>
    </row>
    <row r="606" spans="1:8">
      <c r="A606" s="6">
        <v>602</v>
      </c>
      <c r="B606" s="6" t="s">
        <v>2044</v>
      </c>
      <c r="C606" s="6" t="s">
        <v>336</v>
      </c>
      <c r="D606" s="6" t="s">
        <v>2076</v>
      </c>
      <c r="E606" s="6" t="s">
        <v>2077</v>
      </c>
      <c r="F606" s="6" t="s">
        <v>339</v>
      </c>
      <c r="G606" s="6" t="s">
        <v>2078</v>
      </c>
      <c r="H606" s="6" t="s">
        <v>341</v>
      </c>
    </row>
    <row r="607" spans="1:8">
      <c r="A607" s="6">
        <v>603</v>
      </c>
      <c r="B607" s="6" t="s">
        <v>2044</v>
      </c>
      <c r="C607" s="6" t="s">
        <v>336</v>
      </c>
      <c r="D607" s="6" t="s">
        <v>2079</v>
      </c>
      <c r="E607" s="6" t="s">
        <v>2080</v>
      </c>
      <c r="F607" s="6" t="s">
        <v>339</v>
      </c>
      <c r="G607" s="6" t="s">
        <v>2081</v>
      </c>
      <c r="H607" s="6" t="s">
        <v>341</v>
      </c>
    </row>
    <row r="608" spans="1:8">
      <c r="A608" s="6">
        <v>604</v>
      </c>
      <c r="B608" s="6" t="s">
        <v>2044</v>
      </c>
      <c r="C608" s="6" t="s">
        <v>336</v>
      </c>
      <c r="D608" s="6" t="s">
        <v>2082</v>
      </c>
      <c r="E608" s="6" t="s">
        <v>2083</v>
      </c>
      <c r="F608" s="6" t="s">
        <v>339</v>
      </c>
      <c r="G608" s="6" t="s">
        <v>2084</v>
      </c>
      <c r="H608" s="6" t="s">
        <v>341</v>
      </c>
    </row>
    <row r="609" spans="1:8">
      <c r="A609" s="6">
        <v>605</v>
      </c>
      <c r="B609" s="6" t="s">
        <v>2085</v>
      </c>
      <c r="C609" s="6" t="s">
        <v>336</v>
      </c>
      <c r="D609" s="6" t="s">
        <v>2086</v>
      </c>
      <c r="E609" s="6" t="s">
        <v>2087</v>
      </c>
      <c r="F609" s="6" t="s">
        <v>339</v>
      </c>
      <c r="G609" s="6" t="s">
        <v>2088</v>
      </c>
      <c r="H609" s="6" t="s">
        <v>341</v>
      </c>
    </row>
    <row r="610" spans="1:8">
      <c r="A610" s="6">
        <v>606</v>
      </c>
      <c r="B610" s="6" t="s">
        <v>2085</v>
      </c>
      <c r="C610" s="6" t="s">
        <v>336</v>
      </c>
      <c r="D610" s="6" t="s">
        <v>2089</v>
      </c>
      <c r="E610" s="6" t="s">
        <v>1087</v>
      </c>
      <c r="F610" s="6" t="s">
        <v>339</v>
      </c>
      <c r="G610" s="6" t="s">
        <v>2090</v>
      </c>
      <c r="H610" s="6" t="s">
        <v>341</v>
      </c>
    </row>
    <row r="611" spans="1:8">
      <c r="A611" s="6">
        <v>607</v>
      </c>
      <c r="B611" s="6" t="s">
        <v>2085</v>
      </c>
      <c r="C611" s="6" t="s">
        <v>336</v>
      </c>
      <c r="D611" s="6" t="s">
        <v>2091</v>
      </c>
      <c r="E611" s="6" t="s">
        <v>349</v>
      </c>
      <c r="F611" s="6" t="s">
        <v>339</v>
      </c>
      <c r="G611" s="6" t="s">
        <v>2092</v>
      </c>
      <c r="H611" s="6" t="s">
        <v>341</v>
      </c>
    </row>
    <row r="612" spans="1:8">
      <c r="A612" s="6">
        <v>608</v>
      </c>
      <c r="B612" s="6" t="s">
        <v>2093</v>
      </c>
      <c r="C612" s="6" t="s">
        <v>336</v>
      </c>
      <c r="D612" s="6" t="s">
        <v>2094</v>
      </c>
      <c r="E612" s="6" t="s">
        <v>494</v>
      </c>
      <c r="F612" s="6" t="s">
        <v>339</v>
      </c>
      <c r="G612" s="6" t="s">
        <v>2095</v>
      </c>
      <c r="H612" s="6" t="s">
        <v>341</v>
      </c>
    </row>
    <row r="613" spans="1:8">
      <c r="A613" s="6">
        <v>609</v>
      </c>
      <c r="B613" s="6" t="s">
        <v>2093</v>
      </c>
      <c r="C613" s="6" t="s">
        <v>336</v>
      </c>
      <c r="D613" s="6" t="s">
        <v>2096</v>
      </c>
      <c r="E613" s="6" t="s">
        <v>339</v>
      </c>
      <c r="F613" s="6" t="s">
        <v>2097</v>
      </c>
      <c r="G613" s="6" t="s">
        <v>2098</v>
      </c>
      <c r="H613" s="6" t="s">
        <v>388</v>
      </c>
    </row>
    <row r="614" spans="1:8">
      <c r="A614" s="6">
        <v>610</v>
      </c>
      <c r="B614" s="6" t="s">
        <v>2093</v>
      </c>
      <c r="C614" s="6" t="s">
        <v>336</v>
      </c>
      <c r="D614" s="6" t="s">
        <v>2099</v>
      </c>
      <c r="E614" s="6" t="s">
        <v>339</v>
      </c>
      <c r="F614" s="6" t="s">
        <v>2100</v>
      </c>
      <c r="G614" s="6" t="s">
        <v>2101</v>
      </c>
      <c r="H614" s="6" t="s">
        <v>388</v>
      </c>
    </row>
    <row r="615" spans="1:8">
      <c r="A615" s="6">
        <v>611</v>
      </c>
      <c r="B615" s="6" t="s">
        <v>2102</v>
      </c>
      <c r="C615" s="6" t="s">
        <v>336</v>
      </c>
      <c r="D615" s="6" t="s">
        <v>2103</v>
      </c>
      <c r="E615" s="6" t="s">
        <v>651</v>
      </c>
      <c r="F615" s="6" t="s">
        <v>339</v>
      </c>
      <c r="G615" s="6" t="s">
        <v>2104</v>
      </c>
      <c r="H615" s="6" t="s">
        <v>341</v>
      </c>
    </row>
    <row r="616" spans="1:8">
      <c r="A616" s="6">
        <v>612</v>
      </c>
      <c r="B616" s="6" t="s">
        <v>2102</v>
      </c>
      <c r="C616" s="6" t="s">
        <v>336</v>
      </c>
      <c r="D616" s="6" t="s">
        <v>2105</v>
      </c>
      <c r="E616" s="6" t="s">
        <v>494</v>
      </c>
      <c r="F616" s="6" t="s">
        <v>339</v>
      </c>
      <c r="G616" s="6" t="s">
        <v>2106</v>
      </c>
      <c r="H616" s="6" t="s">
        <v>341</v>
      </c>
    </row>
    <row r="617" spans="1:8">
      <c r="A617" s="6">
        <v>613</v>
      </c>
      <c r="B617" s="6" t="s">
        <v>2102</v>
      </c>
      <c r="C617" s="6" t="s">
        <v>336</v>
      </c>
      <c r="D617" s="6" t="s">
        <v>2107</v>
      </c>
      <c r="E617" s="6" t="s">
        <v>494</v>
      </c>
      <c r="F617" s="6" t="s">
        <v>339</v>
      </c>
      <c r="G617" s="6" t="s">
        <v>2108</v>
      </c>
      <c r="H617" s="6" t="s">
        <v>341</v>
      </c>
    </row>
    <row r="618" spans="1:8">
      <c r="A618" s="6">
        <v>614</v>
      </c>
      <c r="B618" s="6" t="s">
        <v>2109</v>
      </c>
      <c r="C618" s="6" t="s">
        <v>2110</v>
      </c>
      <c r="D618" s="6" t="s">
        <v>2111</v>
      </c>
      <c r="E618" s="6" t="s">
        <v>339</v>
      </c>
      <c r="F618" s="6" t="s">
        <v>2112</v>
      </c>
      <c r="G618" s="6" t="s">
        <v>2113</v>
      </c>
    </row>
    <row r="619" spans="1:8">
      <c r="A619" s="6">
        <v>615</v>
      </c>
      <c r="B619" s="6" t="s">
        <v>2109</v>
      </c>
      <c r="C619" s="6" t="s">
        <v>2114</v>
      </c>
      <c r="D619" s="6" t="s">
        <v>2115</v>
      </c>
      <c r="E619" s="6" t="s">
        <v>339</v>
      </c>
      <c r="F619" s="6" t="s">
        <v>2116</v>
      </c>
      <c r="G619" s="6" t="s">
        <v>2117</v>
      </c>
    </row>
    <row r="620" spans="1:8">
      <c r="A620" s="6">
        <v>616</v>
      </c>
      <c r="B620" s="6" t="s">
        <v>2109</v>
      </c>
      <c r="C620" s="6" t="s">
        <v>336</v>
      </c>
      <c r="D620" s="6" t="s">
        <v>2118</v>
      </c>
      <c r="E620" s="6" t="s">
        <v>364</v>
      </c>
      <c r="F620" s="6" t="s">
        <v>339</v>
      </c>
      <c r="G620" s="6" t="s">
        <v>2119</v>
      </c>
      <c r="H620" s="6" t="s">
        <v>341</v>
      </c>
    </row>
    <row r="621" spans="1:8">
      <c r="A621" s="6">
        <v>617</v>
      </c>
      <c r="B621" s="6" t="s">
        <v>2120</v>
      </c>
      <c r="C621" s="6" t="s">
        <v>336</v>
      </c>
      <c r="D621" s="6" t="s">
        <v>2121</v>
      </c>
      <c r="E621" s="6" t="s">
        <v>778</v>
      </c>
      <c r="F621" s="6" t="s">
        <v>339</v>
      </c>
      <c r="G621" s="6" t="s">
        <v>2122</v>
      </c>
      <c r="H621" s="6" t="s">
        <v>341</v>
      </c>
    </row>
    <row r="622" spans="1:8">
      <c r="A622" s="6">
        <v>618</v>
      </c>
      <c r="B622" s="6" t="s">
        <v>2120</v>
      </c>
      <c r="C622" s="6" t="s">
        <v>336</v>
      </c>
      <c r="D622" s="6" t="s">
        <v>2123</v>
      </c>
      <c r="E622" s="6" t="s">
        <v>339</v>
      </c>
      <c r="F622" s="6" t="s">
        <v>2124</v>
      </c>
      <c r="G622" s="6" t="s">
        <v>2125</v>
      </c>
      <c r="H622" s="6" t="s">
        <v>388</v>
      </c>
    </row>
    <row r="623" spans="1:8">
      <c r="A623" s="6">
        <v>619</v>
      </c>
      <c r="B623" s="6" t="s">
        <v>2120</v>
      </c>
      <c r="C623" s="6" t="s">
        <v>336</v>
      </c>
      <c r="D623" s="6" t="s">
        <v>2126</v>
      </c>
      <c r="E623" s="6" t="s">
        <v>339</v>
      </c>
      <c r="F623" s="6" t="s">
        <v>2127</v>
      </c>
      <c r="G623" s="6" t="s">
        <v>2128</v>
      </c>
      <c r="H623" s="6" t="s">
        <v>388</v>
      </c>
    </row>
    <row r="624" spans="1:8">
      <c r="A624" s="6">
        <v>620</v>
      </c>
      <c r="B624" s="6" t="s">
        <v>2120</v>
      </c>
      <c r="C624" s="6" t="s">
        <v>2129</v>
      </c>
      <c r="D624" s="6" t="s">
        <v>2130</v>
      </c>
      <c r="E624" s="6" t="s">
        <v>339</v>
      </c>
      <c r="F624" s="6" t="s">
        <v>2131</v>
      </c>
      <c r="G624" s="6" t="s">
        <v>2132</v>
      </c>
    </row>
    <row r="625" spans="1:8">
      <c r="A625" s="6">
        <v>621</v>
      </c>
      <c r="B625" s="6" t="s">
        <v>2133</v>
      </c>
      <c r="C625" s="6" t="s">
        <v>2134</v>
      </c>
      <c r="D625" s="6" t="s">
        <v>2135</v>
      </c>
      <c r="E625" s="6" t="s">
        <v>339</v>
      </c>
      <c r="F625" s="6" t="s">
        <v>2136</v>
      </c>
      <c r="G625" s="6" t="s">
        <v>2137</v>
      </c>
    </row>
    <row r="626" spans="1:8">
      <c r="A626" s="6">
        <v>622</v>
      </c>
      <c r="B626" s="6" t="s">
        <v>2138</v>
      </c>
      <c r="C626" s="6" t="s">
        <v>336</v>
      </c>
      <c r="D626" s="6" t="s">
        <v>2139</v>
      </c>
      <c r="E626" s="6" t="s">
        <v>2140</v>
      </c>
      <c r="F626" s="6" t="s">
        <v>339</v>
      </c>
      <c r="G626" s="6" t="s">
        <v>2141</v>
      </c>
      <c r="H626" s="6" t="s">
        <v>341</v>
      </c>
    </row>
    <row r="627" spans="1:8">
      <c r="A627" s="6">
        <v>623</v>
      </c>
      <c r="B627" s="6" t="s">
        <v>2142</v>
      </c>
      <c r="C627" s="6" t="s">
        <v>336</v>
      </c>
      <c r="D627" s="6" t="s">
        <v>1450</v>
      </c>
      <c r="E627" s="6" t="s">
        <v>470</v>
      </c>
      <c r="F627" s="6" t="s">
        <v>339</v>
      </c>
      <c r="G627" s="6" t="s">
        <v>2143</v>
      </c>
      <c r="H627" s="6" t="s">
        <v>341</v>
      </c>
    </row>
    <row r="628" spans="1:8">
      <c r="A628" s="6">
        <v>624</v>
      </c>
      <c r="B628" s="6" t="s">
        <v>2142</v>
      </c>
      <c r="C628" s="6" t="s">
        <v>336</v>
      </c>
      <c r="D628" s="6" t="s">
        <v>1448</v>
      </c>
      <c r="E628" s="6" t="s">
        <v>473</v>
      </c>
      <c r="F628" s="6" t="s">
        <v>339</v>
      </c>
      <c r="G628" s="6" t="s">
        <v>2144</v>
      </c>
      <c r="H628" s="6" t="s">
        <v>341</v>
      </c>
    </row>
    <row r="629" spans="1:8">
      <c r="A629" s="6">
        <v>625</v>
      </c>
      <c r="B629" s="6" t="s">
        <v>2145</v>
      </c>
      <c r="C629" s="6" t="s">
        <v>336</v>
      </c>
      <c r="D629" s="6" t="s">
        <v>2146</v>
      </c>
      <c r="E629" s="6" t="s">
        <v>431</v>
      </c>
      <c r="F629" s="6" t="s">
        <v>339</v>
      </c>
      <c r="G629" s="6" t="s">
        <v>2147</v>
      </c>
      <c r="H629" s="6" t="s">
        <v>341</v>
      </c>
    </row>
    <row r="630" spans="1:8">
      <c r="A630" s="6">
        <v>626</v>
      </c>
      <c r="B630" s="6" t="s">
        <v>2145</v>
      </c>
      <c r="C630" s="6" t="s">
        <v>336</v>
      </c>
      <c r="D630" s="6" t="s">
        <v>2148</v>
      </c>
      <c r="E630" s="6" t="s">
        <v>1087</v>
      </c>
      <c r="F630" s="6" t="s">
        <v>339</v>
      </c>
      <c r="G630" s="6" t="s">
        <v>2149</v>
      </c>
      <c r="H630" s="6" t="s">
        <v>341</v>
      </c>
    </row>
    <row r="631" spans="1:8">
      <c r="A631" s="6">
        <v>627</v>
      </c>
      <c r="B631" s="6" t="s">
        <v>2145</v>
      </c>
      <c r="C631" s="6" t="s">
        <v>336</v>
      </c>
      <c r="D631" s="6" t="s">
        <v>2150</v>
      </c>
      <c r="E631" s="6" t="s">
        <v>1087</v>
      </c>
      <c r="F631" s="6" t="s">
        <v>339</v>
      </c>
      <c r="G631" s="6" t="s">
        <v>2151</v>
      </c>
      <c r="H631" s="6" t="s">
        <v>341</v>
      </c>
    </row>
    <row r="632" spans="1:8">
      <c r="A632" s="6">
        <v>628</v>
      </c>
      <c r="B632" s="6" t="s">
        <v>2145</v>
      </c>
      <c r="C632" s="6" t="s">
        <v>336</v>
      </c>
      <c r="D632" s="6" t="s">
        <v>2152</v>
      </c>
      <c r="E632" s="6" t="s">
        <v>404</v>
      </c>
      <c r="F632" s="6" t="s">
        <v>339</v>
      </c>
      <c r="G632" s="6" t="s">
        <v>2153</v>
      </c>
      <c r="H632" s="6" t="s">
        <v>341</v>
      </c>
    </row>
    <row r="633" spans="1:8">
      <c r="A633" s="6">
        <v>629</v>
      </c>
      <c r="B633" s="6" t="s">
        <v>2145</v>
      </c>
      <c r="C633" s="6" t="s">
        <v>336</v>
      </c>
      <c r="D633" s="6" t="s">
        <v>2154</v>
      </c>
      <c r="E633" s="6" t="s">
        <v>1087</v>
      </c>
      <c r="F633" s="6" t="s">
        <v>339</v>
      </c>
      <c r="G633" s="6" t="s">
        <v>2155</v>
      </c>
      <c r="H633" s="6" t="s">
        <v>341</v>
      </c>
    </row>
    <row r="634" spans="1:8">
      <c r="A634" s="6">
        <v>630</v>
      </c>
      <c r="B634" s="6" t="s">
        <v>2145</v>
      </c>
      <c r="C634" s="6" t="s">
        <v>336</v>
      </c>
      <c r="D634" s="6" t="s">
        <v>2156</v>
      </c>
      <c r="E634" s="6" t="s">
        <v>583</v>
      </c>
      <c r="F634" s="6" t="s">
        <v>339</v>
      </c>
      <c r="G634" s="6" t="s">
        <v>2157</v>
      </c>
      <c r="H634" s="6" t="s">
        <v>341</v>
      </c>
    </row>
    <row r="635" spans="1:8">
      <c r="A635" s="6">
        <v>631</v>
      </c>
      <c r="B635" s="6" t="s">
        <v>2145</v>
      </c>
      <c r="C635" s="6" t="s">
        <v>336</v>
      </c>
      <c r="D635" s="6" t="s">
        <v>2158</v>
      </c>
      <c r="E635" s="6" t="s">
        <v>431</v>
      </c>
      <c r="F635" s="6" t="s">
        <v>339</v>
      </c>
      <c r="G635" s="6" t="s">
        <v>2159</v>
      </c>
      <c r="H635" s="6" t="s">
        <v>341</v>
      </c>
    </row>
    <row r="636" spans="1:8">
      <c r="A636" s="6">
        <v>632</v>
      </c>
      <c r="B636" s="6" t="s">
        <v>2145</v>
      </c>
      <c r="C636" s="6" t="s">
        <v>336</v>
      </c>
      <c r="D636" s="6" t="s">
        <v>2160</v>
      </c>
      <c r="E636" s="6" t="s">
        <v>1347</v>
      </c>
      <c r="F636" s="6" t="s">
        <v>339</v>
      </c>
      <c r="G636" s="6" t="s">
        <v>2161</v>
      </c>
      <c r="H636" s="6" t="s">
        <v>341</v>
      </c>
    </row>
    <row r="637" spans="1:8">
      <c r="A637" s="6">
        <v>633</v>
      </c>
      <c r="B637" s="6" t="s">
        <v>2145</v>
      </c>
      <c r="C637" s="6" t="s">
        <v>336</v>
      </c>
      <c r="D637" s="6" t="s">
        <v>2162</v>
      </c>
      <c r="E637" s="6" t="s">
        <v>1657</v>
      </c>
      <c r="F637" s="6" t="s">
        <v>339</v>
      </c>
      <c r="G637" s="6" t="s">
        <v>2163</v>
      </c>
      <c r="H637" s="6" t="s">
        <v>341</v>
      </c>
    </row>
    <row r="638" spans="1:8">
      <c r="A638" s="6">
        <v>634</v>
      </c>
      <c r="B638" s="6" t="s">
        <v>2145</v>
      </c>
      <c r="C638" s="6" t="s">
        <v>336</v>
      </c>
      <c r="D638" s="6" t="s">
        <v>2164</v>
      </c>
      <c r="E638" s="6" t="s">
        <v>524</v>
      </c>
      <c r="F638" s="6" t="s">
        <v>339</v>
      </c>
      <c r="G638" s="6" t="s">
        <v>2165</v>
      </c>
      <c r="H638" s="6" t="s">
        <v>341</v>
      </c>
    </row>
    <row r="639" spans="1:8">
      <c r="A639" s="6">
        <v>635</v>
      </c>
      <c r="B639" s="6" t="s">
        <v>2166</v>
      </c>
      <c r="C639" s="6" t="s">
        <v>336</v>
      </c>
      <c r="D639" s="6" t="s">
        <v>2167</v>
      </c>
      <c r="E639" s="6" t="s">
        <v>339</v>
      </c>
      <c r="F639" s="6" t="s">
        <v>2168</v>
      </c>
      <c r="G639" s="6" t="s">
        <v>2169</v>
      </c>
      <c r="H639" s="6" t="s">
        <v>388</v>
      </c>
    </row>
    <row r="640" spans="1:8">
      <c r="A640" s="6">
        <v>636</v>
      </c>
      <c r="B640" s="6" t="s">
        <v>2166</v>
      </c>
      <c r="C640" s="6" t="s">
        <v>336</v>
      </c>
      <c r="D640" s="6" t="s">
        <v>2170</v>
      </c>
      <c r="E640" s="6" t="s">
        <v>2171</v>
      </c>
      <c r="F640" s="6" t="s">
        <v>339</v>
      </c>
      <c r="G640" s="6" t="s">
        <v>2172</v>
      </c>
      <c r="H640" s="6" t="s">
        <v>341</v>
      </c>
    </row>
    <row r="641" spans="1:8">
      <c r="A641" s="6">
        <v>637</v>
      </c>
      <c r="B641" s="6" t="s">
        <v>2173</v>
      </c>
      <c r="C641" s="6" t="s">
        <v>336</v>
      </c>
      <c r="D641" s="6" t="s">
        <v>2174</v>
      </c>
      <c r="E641" s="6" t="s">
        <v>535</v>
      </c>
      <c r="F641" s="6" t="s">
        <v>339</v>
      </c>
      <c r="G641" s="6" t="s">
        <v>2175</v>
      </c>
      <c r="H641" s="6" t="s">
        <v>341</v>
      </c>
    </row>
    <row r="642" spans="1:8">
      <c r="A642" s="6">
        <v>638</v>
      </c>
      <c r="B642" s="6" t="s">
        <v>2173</v>
      </c>
      <c r="C642" s="6" t="s">
        <v>2176</v>
      </c>
      <c r="D642" s="6" t="s">
        <v>2177</v>
      </c>
      <c r="E642" s="6" t="s">
        <v>2178</v>
      </c>
      <c r="F642" s="6" t="s">
        <v>339</v>
      </c>
      <c r="G642" s="6" t="s">
        <v>2179</v>
      </c>
      <c r="H642" s="6" t="s">
        <v>1717</v>
      </c>
    </row>
    <row r="643" spans="1:8">
      <c r="A643" s="6">
        <v>639</v>
      </c>
      <c r="B643" s="6" t="s">
        <v>2173</v>
      </c>
      <c r="C643" s="6" t="s">
        <v>2180</v>
      </c>
      <c r="D643" s="6" t="s">
        <v>2177</v>
      </c>
      <c r="E643" s="6" t="s">
        <v>2181</v>
      </c>
      <c r="F643" s="6" t="s">
        <v>339</v>
      </c>
      <c r="G643" s="6" t="s">
        <v>2182</v>
      </c>
      <c r="H643" s="6" t="s">
        <v>1717</v>
      </c>
    </row>
    <row r="644" spans="1:8">
      <c r="A644" s="6">
        <v>640</v>
      </c>
      <c r="B644" s="6" t="s">
        <v>2173</v>
      </c>
      <c r="C644" s="6" t="s">
        <v>2183</v>
      </c>
      <c r="D644" s="6" t="s">
        <v>2177</v>
      </c>
      <c r="E644" s="6" t="s">
        <v>2181</v>
      </c>
      <c r="F644" s="6" t="s">
        <v>339</v>
      </c>
      <c r="G644" s="6" t="s">
        <v>2184</v>
      </c>
      <c r="H644" s="6" t="s">
        <v>1717</v>
      </c>
    </row>
    <row r="645" spans="1:8">
      <c r="A645" s="6">
        <v>641</v>
      </c>
      <c r="B645" s="6" t="s">
        <v>2173</v>
      </c>
      <c r="C645" s="6" t="s">
        <v>336</v>
      </c>
      <c r="D645" s="6" t="s">
        <v>2185</v>
      </c>
      <c r="E645" s="6" t="s">
        <v>2186</v>
      </c>
      <c r="F645" s="6" t="s">
        <v>339</v>
      </c>
      <c r="G645" s="6" t="s">
        <v>2187</v>
      </c>
      <c r="H645" s="6" t="s">
        <v>341</v>
      </c>
    </row>
    <row r="646" spans="1:8">
      <c r="A646" s="6">
        <v>642</v>
      </c>
      <c r="B646" s="6" t="s">
        <v>2188</v>
      </c>
      <c r="C646" s="6" t="s">
        <v>336</v>
      </c>
      <c r="D646" s="6" t="s">
        <v>2189</v>
      </c>
      <c r="E646" s="6" t="s">
        <v>2190</v>
      </c>
      <c r="F646" s="6" t="s">
        <v>339</v>
      </c>
      <c r="G646" s="6" t="s">
        <v>2191</v>
      </c>
      <c r="H646" s="6" t="s">
        <v>341</v>
      </c>
    </row>
    <row r="647" spans="1:8">
      <c r="A647" s="6">
        <v>643</v>
      </c>
      <c r="B647" s="6" t="s">
        <v>2188</v>
      </c>
      <c r="C647" s="6" t="s">
        <v>336</v>
      </c>
      <c r="D647" s="6" t="s">
        <v>2192</v>
      </c>
      <c r="E647" s="6" t="s">
        <v>339</v>
      </c>
      <c r="F647" s="6" t="s">
        <v>2190</v>
      </c>
      <c r="G647" s="6" t="s">
        <v>2187</v>
      </c>
      <c r="H647" s="6" t="s">
        <v>341</v>
      </c>
    </row>
    <row r="648" spans="1:8">
      <c r="A648" s="6">
        <v>644</v>
      </c>
      <c r="B648" s="6" t="s">
        <v>2188</v>
      </c>
      <c r="C648" s="6" t="s">
        <v>336</v>
      </c>
      <c r="D648" s="6" t="s">
        <v>2193</v>
      </c>
      <c r="E648" s="6" t="s">
        <v>2190</v>
      </c>
      <c r="F648" s="6" t="s">
        <v>339</v>
      </c>
      <c r="G648" s="6" t="s">
        <v>2191</v>
      </c>
      <c r="H648" s="6" t="s">
        <v>341</v>
      </c>
    </row>
    <row r="649" spans="1:8">
      <c r="A649" s="6">
        <v>645</v>
      </c>
      <c r="B649" s="6" t="s">
        <v>2188</v>
      </c>
      <c r="C649" s="6" t="s">
        <v>336</v>
      </c>
      <c r="D649" s="6" t="s">
        <v>2194</v>
      </c>
      <c r="E649" s="6" t="s">
        <v>339</v>
      </c>
      <c r="F649" s="6" t="s">
        <v>2190</v>
      </c>
      <c r="G649" s="6" t="s">
        <v>2187</v>
      </c>
      <c r="H649" s="6" t="s">
        <v>341</v>
      </c>
    </row>
    <row r="650" spans="1:8">
      <c r="A650" s="6">
        <v>646</v>
      </c>
      <c r="B650" s="6" t="s">
        <v>2188</v>
      </c>
      <c r="C650" s="6" t="s">
        <v>336</v>
      </c>
      <c r="D650" s="6" t="s">
        <v>2195</v>
      </c>
      <c r="E650" s="6" t="s">
        <v>2190</v>
      </c>
      <c r="F650" s="6" t="s">
        <v>339</v>
      </c>
      <c r="G650" s="6" t="s">
        <v>2191</v>
      </c>
      <c r="H650" s="6" t="s">
        <v>341</v>
      </c>
    </row>
    <row r="651" spans="1:8">
      <c r="A651" s="6">
        <v>647</v>
      </c>
      <c r="B651" s="6" t="s">
        <v>2188</v>
      </c>
      <c r="C651" s="6" t="s">
        <v>336</v>
      </c>
      <c r="D651" s="6" t="s">
        <v>2196</v>
      </c>
      <c r="E651" s="6" t="s">
        <v>339</v>
      </c>
      <c r="F651" s="6" t="s">
        <v>2190</v>
      </c>
      <c r="G651" s="6" t="s">
        <v>2187</v>
      </c>
      <c r="H651" s="6" t="s">
        <v>341</v>
      </c>
    </row>
    <row r="652" spans="1:8">
      <c r="A652" s="6">
        <v>648</v>
      </c>
      <c r="B652" s="6" t="s">
        <v>2188</v>
      </c>
      <c r="C652" s="6" t="s">
        <v>336</v>
      </c>
      <c r="D652" s="6" t="s">
        <v>2197</v>
      </c>
      <c r="E652" s="6" t="s">
        <v>2190</v>
      </c>
      <c r="F652" s="6" t="s">
        <v>339</v>
      </c>
      <c r="G652" s="6" t="s">
        <v>2191</v>
      </c>
      <c r="H652" s="6" t="s">
        <v>341</v>
      </c>
    </row>
    <row r="653" spans="1:8">
      <c r="A653" s="6">
        <v>649</v>
      </c>
      <c r="B653" s="6" t="s">
        <v>2188</v>
      </c>
      <c r="C653" s="6" t="s">
        <v>336</v>
      </c>
      <c r="D653" s="6" t="s">
        <v>2198</v>
      </c>
      <c r="E653" s="6" t="s">
        <v>339</v>
      </c>
      <c r="F653" s="6" t="s">
        <v>2190</v>
      </c>
      <c r="G653" s="6" t="s">
        <v>2187</v>
      </c>
      <c r="H653" s="6" t="s">
        <v>341</v>
      </c>
    </row>
    <row r="654" spans="1:8">
      <c r="A654" s="6">
        <v>650</v>
      </c>
      <c r="B654" s="6" t="s">
        <v>2188</v>
      </c>
      <c r="C654" s="6" t="s">
        <v>2199</v>
      </c>
      <c r="D654" s="6" t="s">
        <v>2200</v>
      </c>
      <c r="E654" s="6" t="s">
        <v>339</v>
      </c>
      <c r="F654" s="6" t="s">
        <v>2201</v>
      </c>
      <c r="G654" s="6" t="s">
        <v>2202</v>
      </c>
    </row>
    <row r="655" spans="1:8">
      <c r="A655" s="6">
        <v>651</v>
      </c>
      <c r="B655" s="6" t="s">
        <v>2188</v>
      </c>
      <c r="C655" s="6" t="s">
        <v>2203</v>
      </c>
      <c r="D655" s="6" t="s">
        <v>2204</v>
      </c>
      <c r="E655" s="6" t="s">
        <v>339</v>
      </c>
      <c r="F655" s="6" t="s">
        <v>2205</v>
      </c>
      <c r="G655" s="6" t="s">
        <v>2206</v>
      </c>
    </row>
    <row r="656" spans="1:8">
      <c r="A656" s="6">
        <v>652</v>
      </c>
      <c r="B656" s="6" t="s">
        <v>2207</v>
      </c>
      <c r="C656" s="6" t="s">
        <v>336</v>
      </c>
      <c r="D656" s="6" t="s">
        <v>2208</v>
      </c>
      <c r="E656" s="6" t="s">
        <v>2190</v>
      </c>
      <c r="F656" s="6" t="s">
        <v>339</v>
      </c>
      <c r="G656" s="6" t="s">
        <v>2209</v>
      </c>
      <c r="H656" s="6" t="s">
        <v>341</v>
      </c>
    </row>
    <row r="657" spans="1:8">
      <c r="A657" s="6">
        <v>653</v>
      </c>
      <c r="B657" s="6" t="s">
        <v>2207</v>
      </c>
      <c r="C657" s="6" t="s">
        <v>336</v>
      </c>
      <c r="D657" s="6" t="s">
        <v>2210</v>
      </c>
      <c r="E657" s="6" t="s">
        <v>2211</v>
      </c>
      <c r="F657" s="6" t="s">
        <v>339</v>
      </c>
      <c r="G657" s="6" t="s">
        <v>2212</v>
      </c>
      <c r="H657" s="6" t="s">
        <v>341</v>
      </c>
    </row>
    <row r="658" spans="1:8">
      <c r="A658" s="6">
        <v>654</v>
      </c>
      <c r="B658" s="6" t="s">
        <v>2213</v>
      </c>
      <c r="C658" s="6" t="s">
        <v>2214</v>
      </c>
      <c r="D658" s="6" t="s">
        <v>2215</v>
      </c>
      <c r="E658" s="6" t="s">
        <v>339</v>
      </c>
      <c r="F658" s="6" t="s">
        <v>2216</v>
      </c>
      <c r="G658" s="6" t="s">
        <v>2217</v>
      </c>
    </row>
    <row r="659" spans="1:8">
      <c r="A659" s="6">
        <v>655</v>
      </c>
      <c r="B659" s="6" t="s">
        <v>2218</v>
      </c>
      <c r="C659" s="6" t="s">
        <v>336</v>
      </c>
      <c r="D659" s="6" t="s">
        <v>2219</v>
      </c>
      <c r="E659" s="6" t="s">
        <v>2220</v>
      </c>
      <c r="F659" s="6" t="s">
        <v>339</v>
      </c>
      <c r="G659" s="6" t="s">
        <v>2221</v>
      </c>
      <c r="H659" s="6" t="s">
        <v>341</v>
      </c>
    </row>
    <row r="660" spans="1:8">
      <c r="A660" s="6">
        <v>656</v>
      </c>
      <c r="B660" s="6" t="s">
        <v>2218</v>
      </c>
      <c r="C660" s="6" t="s">
        <v>336</v>
      </c>
      <c r="D660" s="6" t="s">
        <v>2222</v>
      </c>
      <c r="E660" s="6" t="s">
        <v>339</v>
      </c>
      <c r="F660" s="6" t="s">
        <v>2223</v>
      </c>
      <c r="G660" s="6" t="s">
        <v>2224</v>
      </c>
      <c r="H660" s="6" t="s">
        <v>341</v>
      </c>
    </row>
    <row r="661" spans="1:8">
      <c r="A661" s="6">
        <v>657</v>
      </c>
      <c r="B661" s="6" t="s">
        <v>2225</v>
      </c>
      <c r="C661" s="6" t="s">
        <v>336</v>
      </c>
      <c r="D661" s="6" t="s">
        <v>2226</v>
      </c>
      <c r="E661" s="6" t="s">
        <v>339</v>
      </c>
      <c r="F661" s="6" t="s">
        <v>2227</v>
      </c>
      <c r="G661" s="6" t="s">
        <v>2228</v>
      </c>
      <c r="H661" s="6" t="s">
        <v>388</v>
      </c>
    </row>
    <row r="662" spans="1:8">
      <c r="A662" s="6">
        <v>658</v>
      </c>
      <c r="B662" s="6" t="s">
        <v>2225</v>
      </c>
      <c r="C662" s="6" t="s">
        <v>2229</v>
      </c>
      <c r="D662" s="6" t="s">
        <v>2230</v>
      </c>
      <c r="E662" s="6" t="s">
        <v>339</v>
      </c>
      <c r="F662" s="6" t="s">
        <v>2231</v>
      </c>
      <c r="G662" s="6" t="s">
        <v>2232</v>
      </c>
    </row>
    <row r="663" spans="1:8">
      <c r="A663" s="6">
        <v>659</v>
      </c>
      <c r="B663" s="6" t="s">
        <v>2225</v>
      </c>
      <c r="C663" s="6" t="s">
        <v>2233</v>
      </c>
      <c r="D663" s="6" t="s">
        <v>2234</v>
      </c>
      <c r="E663" s="6" t="s">
        <v>339</v>
      </c>
      <c r="F663" s="6" t="s">
        <v>2235</v>
      </c>
      <c r="G663" s="6" t="s">
        <v>2236</v>
      </c>
    </row>
    <row r="664" spans="1:8">
      <c r="A664" s="6">
        <v>660</v>
      </c>
      <c r="B664" s="6" t="s">
        <v>2237</v>
      </c>
      <c r="C664" s="6" t="s">
        <v>336</v>
      </c>
      <c r="D664" s="6" t="s">
        <v>2238</v>
      </c>
      <c r="E664" s="6" t="s">
        <v>2239</v>
      </c>
      <c r="F664" s="6" t="s">
        <v>339</v>
      </c>
      <c r="G664" s="6" t="s">
        <v>2240</v>
      </c>
      <c r="H664" s="6" t="s">
        <v>341</v>
      </c>
    </row>
    <row r="665" spans="1:8">
      <c r="A665" s="6">
        <v>661</v>
      </c>
      <c r="B665" s="6" t="s">
        <v>2237</v>
      </c>
      <c r="C665" s="6" t="s">
        <v>336</v>
      </c>
      <c r="D665" s="6" t="s">
        <v>2241</v>
      </c>
      <c r="E665" s="6" t="s">
        <v>2242</v>
      </c>
      <c r="F665" s="6" t="s">
        <v>339</v>
      </c>
      <c r="G665" s="6" t="s">
        <v>2243</v>
      </c>
      <c r="H665" s="6" t="s">
        <v>341</v>
      </c>
    </row>
    <row r="666" spans="1:8">
      <c r="A666" s="6">
        <v>662</v>
      </c>
      <c r="B666" s="6" t="s">
        <v>2244</v>
      </c>
      <c r="C666" s="6" t="s">
        <v>336</v>
      </c>
      <c r="D666" s="6" t="s">
        <v>2245</v>
      </c>
      <c r="E666" s="6" t="s">
        <v>364</v>
      </c>
      <c r="F666" s="6" t="s">
        <v>339</v>
      </c>
      <c r="G666" s="6" t="s">
        <v>2246</v>
      </c>
      <c r="H666" s="6" t="s">
        <v>341</v>
      </c>
    </row>
    <row r="667" spans="1:8">
      <c r="A667" s="6">
        <v>663</v>
      </c>
      <c r="B667" s="6" t="s">
        <v>2244</v>
      </c>
      <c r="C667" s="6" t="s">
        <v>336</v>
      </c>
      <c r="D667" s="6" t="s">
        <v>2247</v>
      </c>
      <c r="E667" s="6" t="s">
        <v>963</v>
      </c>
      <c r="F667" s="6" t="s">
        <v>339</v>
      </c>
      <c r="G667" s="6" t="s">
        <v>2248</v>
      </c>
      <c r="H667" s="6" t="s">
        <v>341</v>
      </c>
    </row>
    <row r="668" spans="1:8">
      <c r="A668" s="6">
        <v>664</v>
      </c>
      <c r="B668" s="6" t="s">
        <v>2244</v>
      </c>
      <c r="C668" s="6" t="s">
        <v>2249</v>
      </c>
      <c r="D668" s="6" t="s">
        <v>2250</v>
      </c>
      <c r="E668" s="6" t="s">
        <v>339</v>
      </c>
      <c r="F668" s="6" t="s">
        <v>2251</v>
      </c>
      <c r="G668" s="6" t="s">
        <v>2252</v>
      </c>
    </row>
    <row r="669" spans="1:8">
      <c r="A669" s="6">
        <v>665</v>
      </c>
      <c r="B669" s="6" t="s">
        <v>2253</v>
      </c>
      <c r="C669" s="6" t="s">
        <v>2254</v>
      </c>
      <c r="D669" s="6" t="s">
        <v>2177</v>
      </c>
      <c r="E669" s="6" t="s">
        <v>2255</v>
      </c>
      <c r="F669" s="6" t="s">
        <v>339</v>
      </c>
      <c r="G669" s="6" t="s">
        <v>2256</v>
      </c>
      <c r="H669" s="6" t="s">
        <v>1717</v>
      </c>
    </row>
    <row r="670" spans="1:8">
      <c r="A670" s="6">
        <v>666</v>
      </c>
      <c r="B670" s="6" t="s">
        <v>2257</v>
      </c>
      <c r="C670" s="6" t="s">
        <v>2258</v>
      </c>
      <c r="D670" s="6" t="s">
        <v>2259</v>
      </c>
      <c r="E670" s="6" t="s">
        <v>339</v>
      </c>
      <c r="F670" s="6" t="s">
        <v>2260</v>
      </c>
      <c r="G670" s="6" t="s">
        <v>2261</v>
      </c>
    </row>
    <row r="671" spans="1:8">
      <c r="A671" s="6">
        <v>667</v>
      </c>
      <c r="B671" s="6" t="s">
        <v>2257</v>
      </c>
      <c r="C671" s="6" t="s">
        <v>2262</v>
      </c>
      <c r="D671" s="6" t="s">
        <v>2263</v>
      </c>
      <c r="E671" s="6" t="s">
        <v>339</v>
      </c>
      <c r="F671" s="6" t="s">
        <v>2264</v>
      </c>
      <c r="G671" s="6" t="s">
        <v>2265</v>
      </c>
    </row>
    <row r="672" spans="1:8">
      <c r="A672" s="6">
        <v>668</v>
      </c>
      <c r="B672" s="6" t="s">
        <v>2266</v>
      </c>
      <c r="C672" s="6" t="s">
        <v>336</v>
      </c>
      <c r="D672" s="6" t="s">
        <v>2267</v>
      </c>
      <c r="E672" s="6" t="s">
        <v>339</v>
      </c>
      <c r="F672" s="6" t="s">
        <v>2268</v>
      </c>
      <c r="G672" s="6" t="s">
        <v>2269</v>
      </c>
      <c r="H672" s="6" t="s">
        <v>388</v>
      </c>
    </row>
    <row r="673" spans="1:8">
      <c r="A673" s="6">
        <v>669</v>
      </c>
      <c r="B673" s="6" t="s">
        <v>2270</v>
      </c>
      <c r="C673" s="6" t="s">
        <v>336</v>
      </c>
      <c r="D673" s="6" t="s">
        <v>2271</v>
      </c>
      <c r="E673" s="6" t="s">
        <v>2272</v>
      </c>
      <c r="F673" s="6" t="s">
        <v>339</v>
      </c>
      <c r="G673" s="6" t="s">
        <v>2273</v>
      </c>
      <c r="H673" s="6" t="s">
        <v>341</v>
      </c>
    </row>
    <row r="674" spans="1:8">
      <c r="A674" s="6">
        <v>670</v>
      </c>
      <c r="B674" s="6" t="s">
        <v>2270</v>
      </c>
      <c r="C674" s="6" t="s">
        <v>336</v>
      </c>
      <c r="D674" s="6" t="s">
        <v>2274</v>
      </c>
      <c r="E674" s="6" t="s">
        <v>1177</v>
      </c>
      <c r="F674" s="6" t="s">
        <v>339</v>
      </c>
      <c r="G674" s="6" t="s">
        <v>2275</v>
      </c>
      <c r="H674" s="6" t="s">
        <v>341</v>
      </c>
    </row>
    <row r="675" spans="1:8">
      <c r="A675" s="6">
        <v>671</v>
      </c>
      <c r="B675" s="6" t="s">
        <v>2270</v>
      </c>
      <c r="C675" s="6" t="s">
        <v>336</v>
      </c>
      <c r="D675" s="6" t="s">
        <v>2276</v>
      </c>
      <c r="E675" s="6" t="s">
        <v>2277</v>
      </c>
      <c r="F675" s="6" t="s">
        <v>339</v>
      </c>
      <c r="G675" s="6" t="s">
        <v>2278</v>
      </c>
      <c r="H675" s="6" t="s">
        <v>341</v>
      </c>
    </row>
    <row r="676" spans="1:8">
      <c r="A676" s="6">
        <v>672</v>
      </c>
      <c r="B676" s="6" t="s">
        <v>2270</v>
      </c>
      <c r="C676" s="6" t="s">
        <v>336</v>
      </c>
      <c r="D676" s="6" t="s">
        <v>2279</v>
      </c>
      <c r="E676" s="6" t="s">
        <v>2277</v>
      </c>
      <c r="F676" s="6" t="s">
        <v>339</v>
      </c>
      <c r="G676" s="6" t="s">
        <v>2280</v>
      </c>
      <c r="H676" s="6" t="s">
        <v>341</v>
      </c>
    </row>
    <row r="677" spans="1:8">
      <c r="A677" s="6">
        <v>673</v>
      </c>
      <c r="B677" s="6" t="s">
        <v>2270</v>
      </c>
      <c r="C677" s="6" t="s">
        <v>336</v>
      </c>
      <c r="D677" s="6" t="s">
        <v>2281</v>
      </c>
      <c r="E677" s="6" t="s">
        <v>431</v>
      </c>
      <c r="F677" s="6" t="s">
        <v>339</v>
      </c>
      <c r="G677" s="6" t="s">
        <v>2282</v>
      </c>
      <c r="H677" s="6" t="s">
        <v>341</v>
      </c>
    </row>
    <row r="678" spans="1:8">
      <c r="A678" s="6">
        <v>674</v>
      </c>
      <c r="B678" s="6" t="s">
        <v>2270</v>
      </c>
      <c r="C678" s="6" t="s">
        <v>336</v>
      </c>
      <c r="D678" s="6" t="s">
        <v>2283</v>
      </c>
      <c r="E678" s="6" t="s">
        <v>2284</v>
      </c>
      <c r="F678" s="6" t="s">
        <v>339</v>
      </c>
      <c r="G678" s="6" t="s">
        <v>2285</v>
      </c>
      <c r="H678" s="6" t="s">
        <v>341</v>
      </c>
    </row>
    <row r="679" spans="1:8">
      <c r="A679" s="6">
        <v>675</v>
      </c>
      <c r="B679" s="6" t="s">
        <v>2270</v>
      </c>
      <c r="C679" s="6" t="s">
        <v>336</v>
      </c>
      <c r="D679" s="6" t="s">
        <v>2286</v>
      </c>
      <c r="E679" s="6" t="s">
        <v>2287</v>
      </c>
      <c r="F679" s="6" t="s">
        <v>339</v>
      </c>
      <c r="G679" s="6" t="s">
        <v>2288</v>
      </c>
      <c r="H679" s="6" t="s">
        <v>341</v>
      </c>
    </row>
    <row r="680" spans="1:8">
      <c r="A680" s="6">
        <v>676</v>
      </c>
      <c r="B680" s="6" t="s">
        <v>2289</v>
      </c>
      <c r="C680" s="6" t="s">
        <v>336</v>
      </c>
      <c r="D680" s="6" t="s">
        <v>2290</v>
      </c>
      <c r="E680" s="6" t="s">
        <v>2140</v>
      </c>
      <c r="F680" s="6" t="s">
        <v>339</v>
      </c>
      <c r="G680" s="6" t="s">
        <v>2291</v>
      </c>
      <c r="H680" s="6" t="s">
        <v>341</v>
      </c>
    </row>
    <row r="681" spans="1:8">
      <c r="A681" s="6">
        <v>677</v>
      </c>
      <c r="B681" s="6" t="s">
        <v>2292</v>
      </c>
      <c r="C681" s="6" t="s">
        <v>336</v>
      </c>
      <c r="D681" s="6" t="s">
        <v>2293</v>
      </c>
      <c r="E681" s="6" t="s">
        <v>2294</v>
      </c>
      <c r="F681" s="6" t="s">
        <v>339</v>
      </c>
      <c r="G681" s="6" t="s">
        <v>2295</v>
      </c>
      <c r="H681" s="6" t="s">
        <v>341</v>
      </c>
    </row>
    <row r="682" spans="1:8">
      <c r="A682" s="6">
        <v>678</v>
      </c>
      <c r="B682" s="6" t="s">
        <v>2296</v>
      </c>
      <c r="C682" s="6" t="s">
        <v>2297</v>
      </c>
      <c r="D682" s="6" t="s">
        <v>2298</v>
      </c>
      <c r="E682" s="6" t="s">
        <v>339</v>
      </c>
      <c r="F682" s="6" t="s">
        <v>2299</v>
      </c>
      <c r="G682" s="6" t="s">
        <v>2300</v>
      </c>
    </row>
    <row r="683" spans="1:8">
      <c r="A683" s="6">
        <v>679</v>
      </c>
      <c r="B683" s="6" t="s">
        <v>2301</v>
      </c>
      <c r="C683" s="6" t="s">
        <v>336</v>
      </c>
      <c r="D683" s="6" t="s">
        <v>2302</v>
      </c>
      <c r="E683" s="6" t="s">
        <v>360</v>
      </c>
      <c r="F683" s="6" t="s">
        <v>339</v>
      </c>
      <c r="G683" s="6" t="s">
        <v>2303</v>
      </c>
      <c r="H683" s="6" t="s">
        <v>341</v>
      </c>
    </row>
    <row r="684" spans="1:8">
      <c r="A684" s="6">
        <v>680</v>
      </c>
      <c r="B684" s="6" t="s">
        <v>2301</v>
      </c>
      <c r="C684" s="6" t="s">
        <v>2304</v>
      </c>
      <c r="D684" s="6" t="s">
        <v>2305</v>
      </c>
      <c r="E684" s="6" t="s">
        <v>339</v>
      </c>
      <c r="F684" s="6" t="s">
        <v>2306</v>
      </c>
      <c r="G684" s="6" t="s">
        <v>2307</v>
      </c>
    </row>
    <row r="685" spans="1:8">
      <c r="A685" s="6">
        <v>681</v>
      </c>
      <c r="B685" s="6" t="s">
        <v>2301</v>
      </c>
      <c r="C685" s="6" t="s">
        <v>336</v>
      </c>
      <c r="D685" s="6" t="s">
        <v>2308</v>
      </c>
      <c r="E685" s="6" t="s">
        <v>2306</v>
      </c>
      <c r="F685" s="6" t="s">
        <v>339</v>
      </c>
      <c r="G685" s="6" t="s">
        <v>2303</v>
      </c>
      <c r="H685" s="6" t="s">
        <v>1717</v>
      </c>
    </row>
    <row r="686" spans="1:8">
      <c r="A686" s="6">
        <v>682</v>
      </c>
      <c r="B686" s="6" t="s">
        <v>2301</v>
      </c>
      <c r="C686" s="6" t="s">
        <v>336</v>
      </c>
      <c r="D686" s="6" t="s">
        <v>2309</v>
      </c>
      <c r="E686" s="6" t="s">
        <v>2310</v>
      </c>
      <c r="F686" s="6" t="s">
        <v>339</v>
      </c>
      <c r="G686" s="6" t="s">
        <v>2311</v>
      </c>
      <c r="H686" s="6" t="s">
        <v>341</v>
      </c>
    </row>
    <row r="687" spans="1:8">
      <c r="A687" s="6">
        <v>683</v>
      </c>
      <c r="B687" s="6" t="s">
        <v>2301</v>
      </c>
      <c r="C687" s="6" t="s">
        <v>2312</v>
      </c>
      <c r="D687" s="6" t="s">
        <v>2313</v>
      </c>
      <c r="E687" s="6" t="s">
        <v>339</v>
      </c>
      <c r="F687" s="6" t="s">
        <v>2314</v>
      </c>
      <c r="G687" s="6" t="s">
        <v>2315</v>
      </c>
    </row>
    <row r="688" spans="1:8">
      <c r="A688" s="6">
        <v>684</v>
      </c>
      <c r="B688" s="6" t="s">
        <v>2301</v>
      </c>
      <c r="C688" s="6" t="s">
        <v>2316</v>
      </c>
      <c r="D688" s="6" t="s">
        <v>2317</v>
      </c>
      <c r="E688" s="6" t="s">
        <v>339</v>
      </c>
      <c r="F688" s="6" t="s">
        <v>2318</v>
      </c>
      <c r="G688" s="6" t="s">
        <v>2319</v>
      </c>
    </row>
    <row r="689" spans="1:8">
      <c r="A689" s="6">
        <v>685</v>
      </c>
      <c r="B689" s="6" t="s">
        <v>2320</v>
      </c>
      <c r="C689" s="6" t="s">
        <v>336</v>
      </c>
      <c r="D689" s="6" t="s">
        <v>2321</v>
      </c>
      <c r="E689" s="6" t="s">
        <v>1364</v>
      </c>
      <c r="F689" s="6" t="s">
        <v>339</v>
      </c>
      <c r="G689" s="6" t="s">
        <v>2322</v>
      </c>
      <c r="H689" s="6" t="s">
        <v>341</v>
      </c>
    </row>
    <row r="690" spans="1:8">
      <c r="A690" s="6">
        <v>686</v>
      </c>
      <c r="B690" s="6" t="s">
        <v>2320</v>
      </c>
      <c r="C690" s="6" t="s">
        <v>336</v>
      </c>
      <c r="D690" s="6" t="s">
        <v>2323</v>
      </c>
      <c r="E690" s="6" t="s">
        <v>339</v>
      </c>
      <c r="F690" s="6" t="s">
        <v>360</v>
      </c>
      <c r="G690" s="6" t="s">
        <v>2324</v>
      </c>
      <c r="H690" s="6" t="s">
        <v>388</v>
      </c>
    </row>
    <row r="691" spans="1:8">
      <c r="A691" s="6">
        <v>687</v>
      </c>
      <c r="B691" s="6" t="s">
        <v>2320</v>
      </c>
      <c r="C691" s="6" t="s">
        <v>2325</v>
      </c>
      <c r="D691" s="6" t="s">
        <v>2326</v>
      </c>
      <c r="E691" s="6" t="s">
        <v>339</v>
      </c>
      <c r="F691" s="6" t="s">
        <v>2327</v>
      </c>
      <c r="G691" s="6" t="s">
        <v>2328</v>
      </c>
    </row>
    <row r="692" spans="1:8">
      <c r="A692" s="6">
        <v>688</v>
      </c>
      <c r="B692" s="6" t="s">
        <v>2320</v>
      </c>
      <c r="C692" s="6" t="s">
        <v>2329</v>
      </c>
      <c r="D692" s="6" t="s">
        <v>2330</v>
      </c>
      <c r="E692" s="6" t="s">
        <v>339</v>
      </c>
      <c r="F692" s="6" t="s">
        <v>2331</v>
      </c>
      <c r="G692" s="6" t="s">
        <v>2332</v>
      </c>
    </row>
    <row r="693" spans="1:8">
      <c r="A693" s="6">
        <v>689</v>
      </c>
      <c r="B693" s="6" t="s">
        <v>2333</v>
      </c>
      <c r="C693" s="6" t="s">
        <v>336</v>
      </c>
      <c r="D693" s="6" t="s">
        <v>1450</v>
      </c>
      <c r="E693" s="6" t="s">
        <v>470</v>
      </c>
      <c r="F693" s="6" t="s">
        <v>339</v>
      </c>
      <c r="G693" s="6" t="s">
        <v>2334</v>
      </c>
      <c r="H693" s="6" t="s">
        <v>341</v>
      </c>
    </row>
    <row r="694" spans="1:8">
      <c r="A694" s="6">
        <v>690</v>
      </c>
      <c r="B694" s="6" t="s">
        <v>2333</v>
      </c>
      <c r="C694" s="6" t="s">
        <v>336</v>
      </c>
      <c r="D694" s="6" t="s">
        <v>1448</v>
      </c>
      <c r="E694" s="6" t="s">
        <v>473</v>
      </c>
      <c r="F694" s="6" t="s">
        <v>339</v>
      </c>
      <c r="G694" s="6" t="s">
        <v>2335</v>
      </c>
      <c r="H694" s="6" t="s">
        <v>341</v>
      </c>
    </row>
    <row r="695" spans="1:8">
      <c r="A695" s="6">
        <v>691</v>
      </c>
      <c r="B695" s="6" t="s">
        <v>2336</v>
      </c>
      <c r="C695" s="6" t="s">
        <v>336</v>
      </c>
      <c r="D695" s="6" t="s">
        <v>2337</v>
      </c>
      <c r="E695" s="6" t="s">
        <v>339</v>
      </c>
      <c r="F695" s="6" t="s">
        <v>2338</v>
      </c>
      <c r="G695" s="6" t="s">
        <v>2339</v>
      </c>
      <c r="H695" s="6" t="s">
        <v>388</v>
      </c>
    </row>
    <row r="696" spans="1:8">
      <c r="A696" s="6">
        <v>692</v>
      </c>
      <c r="B696" s="6" t="s">
        <v>2336</v>
      </c>
      <c r="C696" s="6" t="s">
        <v>336</v>
      </c>
      <c r="D696" s="6" t="s">
        <v>2340</v>
      </c>
      <c r="E696" s="6" t="s">
        <v>2341</v>
      </c>
      <c r="F696" s="6" t="s">
        <v>339</v>
      </c>
      <c r="G696" s="6" t="s">
        <v>2342</v>
      </c>
      <c r="H696" s="6" t="s">
        <v>341</v>
      </c>
    </row>
    <row r="697" spans="1:8">
      <c r="A697" s="6">
        <v>693</v>
      </c>
      <c r="B697" s="6" t="s">
        <v>2343</v>
      </c>
      <c r="C697" s="6" t="s">
        <v>336</v>
      </c>
      <c r="D697" s="6" t="s">
        <v>2344</v>
      </c>
      <c r="E697" s="6" t="s">
        <v>2345</v>
      </c>
      <c r="F697" s="6" t="s">
        <v>339</v>
      </c>
      <c r="G697" s="6" t="s">
        <v>2346</v>
      </c>
      <c r="H697" s="6" t="s">
        <v>341</v>
      </c>
    </row>
    <row r="698" spans="1:8">
      <c r="A698" s="6">
        <v>694</v>
      </c>
      <c r="B698" s="6" t="s">
        <v>2347</v>
      </c>
      <c r="C698" s="6" t="s">
        <v>336</v>
      </c>
      <c r="D698" s="6" t="s">
        <v>2348</v>
      </c>
      <c r="E698" s="6" t="s">
        <v>2349</v>
      </c>
      <c r="F698" s="6" t="s">
        <v>339</v>
      </c>
      <c r="G698" s="6" t="s">
        <v>2350</v>
      </c>
      <c r="H698" s="6" t="s">
        <v>341</v>
      </c>
    </row>
    <row r="699" spans="1:8">
      <c r="A699" s="6">
        <v>695</v>
      </c>
      <c r="B699" s="6" t="s">
        <v>2351</v>
      </c>
      <c r="C699" s="6" t="s">
        <v>336</v>
      </c>
      <c r="D699" s="6" t="s">
        <v>2352</v>
      </c>
      <c r="E699" s="6" t="s">
        <v>2353</v>
      </c>
      <c r="F699" s="6" t="s">
        <v>339</v>
      </c>
      <c r="G699" s="6" t="s">
        <v>2354</v>
      </c>
      <c r="H699" s="6" t="s">
        <v>341</v>
      </c>
    </row>
    <row r="700" spans="1:8">
      <c r="A700" s="6">
        <v>696</v>
      </c>
      <c r="B700" s="6" t="s">
        <v>2351</v>
      </c>
      <c r="C700" s="6" t="s">
        <v>336</v>
      </c>
      <c r="D700" s="6" t="s">
        <v>2355</v>
      </c>
      <c r="E700" s="6" t="s">
        <v>2356</v>
      </c>
      <c r="F700" s="6" t="s">
        <v>339</v>
      </c>
      <c r="G700" s="6" t="s">
        <v>2357</v>
      </c>
      <c r="H700" s="6" t="s">
        <v>341</v>
      </c>
    </row>
    <row r="701" spans="1:8">
      <c r="A701" s="6">
        <v>697</v>
      </c>
      <c r="B701" s="6" t="s">
        <v>2351</v>
      </c>
      <c r="C701" s="6" t="s">
        <v>336</v>
      </c>
      <c r="D701" s="6" t="s">
        <v>2358</v>
      </c>
      <c r="E701" s="6" t="s">
        <v>349</v>
      </c>
      <c r="F701" s="6" t="s">
        <v>339</v>
      </c>
      <c r="G701" s="6" t="s">
        <v>2359</v>
      </c>
      <c r="H701" s="6" t="s">
        <v>341</v>
      </c>
    </row>
    <row r="702" spans="1:8">
      <c r="A702" s="6">
        <v>698</v>
      </c>
      <c r="B702" s="6" t="s">
        <v>2360</v>
      </c>
      <c r="C702" s="6" t="s">
        <v>2361</v>
      </c>
      <c r="D702" s="6" t="s">
        <v>2362</v>
      </c>
      <c r="E702" s="6" t="s">
        <v>339</v>
      </c>
      <c r="F702" s="6" t="s">
        <v>2363</v>
      </c>
      <c r="G702" s="6" t="s">
        <v>2364</v>
      </c>
    </row>
    <row r="703" spans="1:8">
      <c r="A703" s="6">
        <v>699</v>
      </c>
      <c r="B703" s="6" t="s">
        <v>2360</v>
      </c>
      <c r="C703" s="6" t="s">
        <v>2365</v>
      </c>
      <c r="D703" s="6" t="s">
        <v>2366</v>
      </c>
      <c r="E703" s="6" t="s">
        <v>339</v>
      </c>
      <c r="F703" s="6" t="s">
        <v>2367</v>
      </c>
      <c r="G703" s="6" t="s">
        <v>2368</v>
      </c>
    </row>
    <row r="704" spans="1:8">
      <c r="A704" s="6">
        <v>700</v>
      </c>
      <c r="B704" s="6" t="s">
        <v>2369</v>
      </c>
      <c r="C704" s="6" t="s">
        <v>336</v>
      </c>
      <c r="D704" s="6" t="s">
        <v>2370</v>
      </c>
      <c r="E704" s="6" t="s">
        <v>2371</v>
      </c>
      <c r="F704" s="6" t="s">
        <v>339</v>
      </c>
      <c r="G704" s="6" t="s">
        <v>2372</v>
      </c>
      <c r="H704" s="6" t="s">
        <v>341</v>
      </c>
    </row>
    <row r="705" spans="1:8">
      <c r="A705" s="6">
        <v>701</v>
      </c>
      <c r="B705" s="6" t="s">
        <v>2373</v>
      </c>
      <c r="C705" s="6" t="s">
        <v>336</v>
      </c>
      <c r="D705" s="6" t="s">
        <v>2374</v>
      </c>
      <c r="E705" s="6" t="s">
        <v>583</v>
      </c>
      <c r="F705" s="6" t="s">
        <v>339</v>
      </c>
      <c r="G705" s="6" t="s">
        <v>2375</v>
      </c>
      <c r="H705" s="6" t="s">
        <v>341</v>
      </c>
    </row>
    <row r="706" spans="1:8">
      <c r="A706" s="6">
        <v>702</v>
      </c>
      <c r="B706" s="6" t="s">
        <v>2376</v>
      </c>
      <c r="C706" s="6" t="s">
        <v>336</v>
      </c>
      <c r="D706" s="6" t="s">
        <v>2377</v>
      </c>
      <c r="E706" s="6" t="s">
        <v>2378</v>
      </c>
      <c r="F706" s="6" t="s">
        <v>339</v>
      </c>
      <c r="G706" s="6" t="s">
        <v>2379</v>
      </c>
      <c r="H706" s="6" t="s">
        <v>341</v>
      </c>
    </row>
    <row r="707" spans="1:8">
      <c r="A707" s="6">
        <v>703</v>
      </c>
      <c r="B707" s="6" t="s">
        <v>2380</v>
      </c>
      <c r="C707" s="6" t="s">
        <v>336</v>
      </c>
      <c r="D707" s="6" t="s">
        <v>2381</v>
      </c>
      <c r="E707" s="6" t="s">
        <v>357</v>
      </c>
      <c r="F707" s="6" t="s">
        <v>339</v>
      </c>
      <c r="G707" s="6" t="s">
        <v>2382</v>
      </c>
      <c r="H707" s="6" t="s">
        <v>341</v>
      </c>
    </row>
    <row r="708" spans="1:8">
      <c r="A708" s="6">
        <v>704</v>
      </c>
      <c r="B708" s="6" t="s">
        <v>2383</v>
      </c>
      <c r="C708" s="6" t="s">
        <v>336</v>
      </c>
      <c r="D708" s="6" t="s">
        <v>2384</v>
      </c>
      <c r="E708" s="6" t="s">
        <v>357</v>
      </c>
      <c r="F708" s="6" t="s">
        <v>339</v>
      </c>
      <c r="G708" s="6" t="s">
        <v>2385</v>
      </c>
      <c r="H708" s="6" t="s">
        <v>341</v>
      </c>
    </row>
    <row r="709" spans="1:8">
      <c r="A709" s="6">
        <v>705</v>
      </c>
      <c r="B709" s="6" t="s">
        <v>2386</v>
      </c>
      <c r="C709" s="6" t="s">
        <v>336</v>
      </c>
      <c r="D709" s="6" t="s">
        <v>2387</v>
      </c>
      <c r="E709" s="6" t="s">
        <v>2388</v>
      </c>
      <c r="F709" s="6" t="s">
        <v>339</v>
      </c>
      <c r="G709" s="6" t="s">
        <v>2389</v>
      </c>
      <c r="H709" s="6" t="s">
        <v>341</v>
      </c>
    </row>
    <row r="710" spans="1:8">
      <c r="A710" s="6">
        <v>706</v>
      </c>
      <c r="B710" s="6" t="s">
        <v>2390</v>
      </c>
      <c r="C710" s="6" t="s">
        <v>336</v>
      </c>
      <c r="D710" s="6" t="s">
        <v>2391</v>
      </c>
      <c r="E710" s="6" t="s">
        <v>2392</v>
      </c>
      <c r="F710" s="6" t="s">
        <v>339</v>
      </c>
      <c r="G710" s="6" t="s">
        <v>2393</v>
      </c>
      <c r="H710" s="6" t="s">
        <v>341</v>
      </c>
    </row>
    <row r="711" spans="1:8">
      <c r="A711" s="6">
        <v>707</v>
      </c>
      <c r="B711" s="6" t="s">
        <v>2390</v>
      </c>
      <c r="C711" s="6" t="s">
        <v>336</v>
      </c>
      <c r="D711" s="6" t="s">
        <v>2394</v>
      </c>
      <c r="E711" s="6" t="s">
        <v>2395</v>
      </c>
      <c r="F711" s="6" t="s">
        <v>339</v>
      </c>
      <c r="G711" s="6" t="s">
        <v>2396</v>
      </c>
      <c r="H711" s="6" t="s">
        <v>341</v>
      </c>
    </row>
    <row r="712" spans="1:8">
      <c r="A712" s="6">
        <v>708</v>
      </c>
      <c r="B712" s="6" t="s">
        <v>2390</v>
      </c>
      <c r="C712" s="6" t="s">
        <v>336</v>
      </c>
      <c r="D712" s="6" t="s">
        <v>2397</v>
      </c>
      <c r="E712" s="6" t="s">
        <v>1060</v>
      </c>
      <c r="F712" s="6" t="s">
        <v>339</v>
      </c>
      <c r="G712" s="6" t="s">
        <v>2398</v>
      </c>
      <c r="H712" s="6" t="s">
        <v>341</v>
      </c>
    </row>
    <row r="713" spans="1:8">
      <c r="A713" s="6">
        <v>709</v>
      </c>
      <c r="B713" s="6" t="s">
        <v>2399</v>
      </c>
      <c r="C713" s="6" t="s">
        <v>336</v>
      </c>
      <c r="D713" s="6" t="s">
        <v>2400</v>
      </c>
      <c r="E713" s="6" t="s">
        <v>2401</v>
      </c>
      <c r="F713" s="6" t="s">
        <v>339</v>
      </c>
      <c r="G713" s="6" t="s">
        <v>2402</v>
      </c>
      <c r="H713" s="6" t="s">
        <v>341</v>
      </c>
    </row>
    <row r="714" spans="1:8">
      <c r="A714" s="6">
        <v>710</v>
      </c>
      <c r="B714" s="6" t="s">
        <v>2403</v>
      </c>
      <c r="C714" s="6" t="s">
        <v>336</v>
      </c>
      <c r="D714" s="6" t="s">
        <v>2404</v>
      </c>
      <c r="E714" s="6" t="s">
        <v>349</v>
      </c>
      <c r="F714" s="6" t="s">
        <v>339</v>
      </c>
      <c r="G714" s="6" t="s">
        <v>2405</v>
      </c>
      <c r="H714" s="6" t="s">
        <v>341</v>
      </c>
    </row>
    <row r="715" spans="1:8">
      <c r="A715" s="6">
        <v>711</v>
      </c>
      <c r="B715" s="6" t="s">
        <v>2406</v>
      </c>
      <c r="C715" s="6" t="s">
        <v>336</v>
      </c>
      <c r="D715" s="6" t="s">
        <v>2407</v>
      </c>
      <c r="E715" s="6" t="s">
        <v>339</v>
      </c>
      <c r="F715" s="6" t="s">
        <v>2408</v>
      </c>
      <c r="G715" s="6" t="s">
        <v>2409</v>
      </c>
      <c r="H715" s="6" t="s">
        <v>388</v>
      </c>
    </row>
    <row r="716" spans="1:8">
      <c r="A716" s="6">
        <v>712</v>
      </c>
      <c r="B716" s="6" t="s">
        <v>2406</v>
      </c>
      <c r="C716" s="6" t="s">
        <v>336</v>
      </c>
      <c r="D716" s="6" t="s">
        <v>2410</v>
      </c>
      <c r="E716" s="6" t="s">
        <v>360</v>
      </c>
      <c r="F716" s="6" t="s">
        <v>339</v>
      </c>
      <c r="G716" s="6" t="s">
        <v>2411</v>
      </c>
      <c r="H716" s="6" t="s">
        <v>341</v>
      </c>
    </row>
    <row r="717" spans="1:8">
      <c r="A717" s="6">
        <v>713</v>
      </c>
      <c r="B717" s="6" t="s">
        <v>2406</v>
      </c>
      <c r="C717" s="6" t="s">
        <v>336</v>
      </c>
      <c r="D717" s="6" t="s">
        <v>2412</v>
      </c>
      <c r="E717" s="6" t="s">
        <v>2413</v>
      </c>
      <c r="F717" s="6" t="s">
        <v>339</v>
      </c>
      <c r="G717" s="6" t="s">
        <v>2414</v>
      </c>
      <c r="H717" s="6" t="s">
        <v>341</v>
      </c>
    </row>
    <row r="718" spans="1:8">
      <c r="A718" s="6">
        <v>714</v>
      </c>
      <c r="B718" s="6" t="s">
        <v>2415</v>
      </c>
      <c r="C718" s="6" t="s">
        <v>336</v>
      </c>
      <c r="D718" s="6" t="s">
        <v>2416</v>
      </c>
      <c r="E718" s="6" t="s">
        <v>339</v>
      </c>
      <c r="F718" s="6" t="s">
        <v>2417</v>
      </c>
      <c r="G718" s="6" t="s">
        <v>2418</v>
      </c>
      <c r="H718" s="6" t="s">
        <v>341</v>
      </c>
    </row>
    <row r="719" spans="1:8">
      <c r="A719" s="6">
        <v>715</v>
      </c>
      <c r="B719" s="6" t="s">
        <v>2415</v>
      </c>
      <c r="C719" s="6" t="s">
        <v>2419</v>
      </c>
      <c r="D719" s="6" t="s">
        <v>2420</v>
      </c>
      <c r="E719" s="6" t="s">
        <v>339</v>
      </c>
      <c r="F719" s="6" t="s">
        <v>2421</v>
      </c>
      <c r="G719" s="6" t="s">
        <v>2422</v>
      </c>
    </row>
    <row r="720" spans="1:8">
      <c r="A720" s="6">
        <v>716</v>
      </c>
      <c r="B720" s="6" t="s">
        <v>2415</v>
      </c>
      <c r="C720" s="6" t="s">
        <v>2423</v>
      </c>
      <c r="D720" s="6" t="s">
        <v>2424</v>
      </c>
      <c r="E720" s="6" t="s">
        <v>339</v>
      </c>
      <c r="F720" s="6" t="s">
        <v>2425</v>
      </c>
      <c r="G720" s="6" t="s">
        <v>2426</v>
      </c>
    </row>
    <row r="721" spans="1:8">
      <c r="A721" s="6">
        <v>717</v>
      </c>
      <c r="B721" s="6" t="s">
        <v>2427</v>
      </c>
      <c r="C721" s="6" t="s">
        <v>2428</v>
      </c>
      <c r="D721" s="6" t="s">
        <v>2429</v>
      </c>
      <c r="E721" s="6" t="s">
        <v>2430</v>
      </c>
      <c r="F721" s="6" t="s">
        <v>339</v>
      </c>
      <c r="G721" s="6" t="s">
        <v>2431</v>
      </c>
      <c r="H721" s="6" t="s">
        <v>1717</v>
      </c>
    </row>
    <row r="722" spans="1:8">
      <c r="A722" s="6">
        <v>718</v>
      </c>
      <c r="B722" s="6" t="s">
        <v>2432</v>
      </c>
      <c r="C722" s="6" t="s">
        <v>336</v>
      </c>
      <c r="D722" s="6" t="s">
        <v>2433</v>
      </c>
      <c r="E722" s="6" t="s">
        <v>2434</v>
      </c>
      <c r="F722" s="6" t="s">
        <v>339</v>
      </c>
      <c r="G722" s="6" t="s">
        <v>2435</v>
      </c>
      <c r="H722" s="6" t="s">
        <v>341</v>
      </c>
    </row>
    <row r="723" spans="1:8">
      <c r="A723" s="6">
        <v>719</v>
      </c>
      <c r="B723" s="6" t="s">
        <v>2436</v>
      </c>
      <c r="C723" s="6" t="s">
        <v>336</v>
      </c>
      <c r="D723" s="6" t="s">
        <v>2437</v>
      </c>
      <c r="E723" s="6" t="s">
        <v>2438</v>
      </c>
      <c r="F723" s="6" t="s">
        <v>339</v>
      </c>
      <c r="G723" s="6" t="s">
        <v>2439</v>
      </c>
      <c r="H723" s="6" t="s">
        <v>341</v>
      </c>
    </row>
    <row r="724" spans="1:8">
      <c r="A724" s="6">
        <v>720</v>
      </c>
      <c r="B724" s="6" t="s">
        <v>2440</v>
      </c>
      <c r="C724" s="6" t="s">
        <v>336</v>
      </c>
      <c r="D724" s="6" t="s">
        <v>2441</v>
      </c>
      <c r="E724" s="6" t="s">
        <v>364</v>
      </c>
      <c r="F724" s="6" t="s">
        <v>339</v>
      </c>
      <c r="G724" s="6" t="s">
        <v>2442</v>
      </c>
      <c r="H724" s="6" t="s">
        <v>341</v>
      </c>
    </row>
    <row r="725" spans="1:8">
      <c r="A725" s="6">
        <v>721</v>
      </c>
      <c r="B725" s="6" t="s">
        <v>2440</v>
      </c>
      <c r="C725" s="6" t="s">
        <v>336</v>
      </c>
      <c r="D725" s="6" t="s">
        <v>2443</v>
      </c>
      <c r="E725" s="6" t="s">
        <v>2444</v>
      </c>
      <c r="F725" s="6" t="s">
        <v>339</v>
      </c>
      <c r="G725" s="6" t="s">
        <v>2445</v>
      </c>
      <c r="H725" s="6" t="s">
        <v>341</v>
      </c>
    </row>
    <row r="726" spans="1:8">
      <c r="A726" s="6">
        <v>722</v>
      </c>
      <c r="B726" s="6" t="s">
        <v>2446</v>
      </c>
      <c r="C726" s="6" t="s">
        <v>2447</v>
      </c>
      <c r="D726" s="6" t="s">
        <v>2448</v>
      </c>
      <c r="E726" s="6" t="s">
        <v>339</v>
      </c>
      <c r="F726" s="6" t="s">
        <v>2449</v>
      </c>
      <c r="G726" s="6" t="s">
        <v>2450</v>
      </c>
    </row>
    <row r="727" spans="1:8">
      <c r="A727" s="6">
        <v>723</v>
      </c>
      <c r="B727" s="6" t="s">
        <v>2446</v>
      </c>
      <c r="C727" s="6" t="s">
        <v>2451</v>
      </c>
      <c r="D727" s="6" t="s">
        <v>2452</v>
      </c>
      <c r="E727" s="6" t="s">
        <v>339</v>
      </c>
      <c r="F727" s="6" t="s">
        <v>2453</v>
      </c>
      <c r="G727" s="6" t="s">
        <v>2454</v>
      </c>
    </row>
    <row r="728" spans="1:8">
      <c r="A728" s="6">
        <v>724</v>
      </c>
      <c r="B728" s="6" t="s">
        <v>2455</v>
      </c>
      <c r="C728" s="6" t="s">
        <v>336</v>
      </c>
      <c r="D728" s="6" t="s">
        <v>2456</v>
      </c>
      <c r="E728" s="6" t="s">
        <v>2457</v>
      </c>
      <c r="F728" s="6" t="s">
        <v>339</v>
      </c>
      <c r="G728" s="6" t="s">
        <v>2458</v>
      </c>
      <c r="H728" s="6" t="s">
        <v>341</v>
      </c>
    </row>
    <row r="729" spans="1:8">
      <c r="A729" s="6">
        <v>725</v>
      </c>
      <c r="B729" s="6" t="s">
        <v>2455</v>
      </c>
      <c r="C729" s="6" t="s">
        <v>336</v>
      </c>
      <c r="D729" s="6" t="s">
        <v>2459</v>
      </c>
      <c r="E729" s="6" t="s">
        <v>349</v>
      </c>
      <c r="F729" s="6" t="s">
        <v>339</v>
      </c>
      <c r="G729" s="6" t="s">
        <v>2460</v>
      </c>
      <c r="H729" s="6" t="s">
        <v>341</v>
      </c>
    </row>
    <row r="730" spans="1:8">
      <c r="A730" s="6">
        <v>726</v>
      </c>
      <c r="B730" s="6" t="s">
        <v>2455</v>
      </c>
      <c r="C730" s="6" t="s">
        <v>2304</v>
      </c>
      <c r="D730" s="6" t="s">
        <v>2305</v>
      </c>
      <c r="E730" s="6" t="s">
        <v>339</v>
      </c>
      <c r="F730" s="6" t="s">
        <v>2306</v>
      </c>
      <c r="G730" s="6" t="s">
        <v>2461</v>
      </c>
    </row>
    <row r="731" spans="1:8">
      <c r="A731" s="6">
        <v>727</v>
      </c>
      <c r="B731" s="6" t="s">
        <v>2455</v>
      </c>
      <c r="C731" s="6" t="s">
        <v>2462</v>
      </c>
      <c r="D731" s="6" t="s">
        <v>2463</v>
      </c>
      <c r="E731" s="6" t="s">
        <v>339</v>
      </c>
      <c r="F731" s="6" t="s">
        <v>2464</v>
      </c>
      <c r="G731" s="6" t="s">
        <v>2465</v>
      </c>
    </row>
    <row r="732" spans="1:8">
      <c r="A732" s="6">
        <v>728</v>
      </c>
      <c r="B732" s="6" t="s">
        <v>2466</v>
      </c>
      <c r="C732" s="6" t="s">
        <v>336</v>
      </c>
      <c r="D732" s="6" t="s">
        <v>2467</v>
      </c>
      <c r="E732" s="6" t="s">
        <v>339</v>
      </c>
      <c r="F732" s="6" t="s">
        <v>2468</v>
      </c>
      <c r="G732" s="6" t="s">
        <v>2469</v>
      </c>
      <c r="H732" s="6" t="s">
        <v>388</v>
      </c>
    </row>
    <row r="733" spans="1:8">
      <c r="A733" s="6">
        <v>729</v>
      </c>
      <c r="B733" s="6" t="s">
        <v>2466</v>
      </c>
      <c r="C733" s="6" t="s">
        <v>336</v>
      </c>
      <c r="D733" s="6" t="s">
        <v>2470</v>
      </c>
      <c r="E733" s="6" t="s">
        <v>339</v>
      </c>
      <c r="F733" s="6" t="s">
        <v>2471</v>
      </c>
      <c r="G733" s="6" t="s">
        <v>2472</v>
      </c>
      <c r="H733" s="6" t="s">
        <v>388</v>
      </c>
    </row>
    <row r="734" spans="1:8">
      <c r="A734" s="6">
        <v>730</v>
      </c>
      <c r="B734" s="6" t="s">
        <v>2466</v>
      </c>
      <c r="C734" s="6" t="s">
        <v>336</v>
      </c>
      <c r="D734" s="6" t="s">
        <v>2473</v>
      </c>
      <c r="E734" s="6" t="s">
        <v>375</v>
      </c>
      <c r="F734" s="6" t="s">
        <v>339</v>
      </c>
      <c r="G734" s="6" t="s">
        <v>2474</v>
      </c>
      <c r="H734" s="6" t="s">
        <v>341</v>
      </c>
    </row>
    <row r="735" spans="1:8">
      <c r="A735" s="6">
        <v>731</v>
      </c>
      <c r="B735" s="6" t="s">
        <v>2475</v>
      </c>
      <c r="C735" s="6" t="s">
        <v>336</v>
      </c>
      <c r="D735" s="6" t="s">
        <v>2476</v>
      </c>
      <c r="E735" s="6" t="s">
        <v>339</v>
      </c>
      <c r="F735" s="6" t="s">
        <v>2477</v>
      </c>
      <c r="G735" s="6" t="s">
        <v>2478</v>
      </c>
      <c r="H735" s="6" t="s">
        <v>388</v>
      </c>
    </row>
    <row r="736" spans="1:8">
      <c r="A736" s="6">
        <v>732</v>
      </c>
      <c r="B736" s="6" t="s">
        <v>2479</v>
      </c>
      <c r="C736" s="6" t="s">
        <v>2480</v>
      </c>
      <c r="D736" s="6" t="s">
        <v>2481</v>
      </c>
      <c r="E736" s="6" t="s">
        <v>339</v>
      </c>
      <c r="F736" s="6" t="s">
        <v>2482</v>
      </c>
      <c r="G736" s="6" t="s">
        <v>2483</v>
      </c>
    </row>
    <row r="737" spans="1:8">
      <c r="A737" s="6">
        <v>733</v>
      </c>
      <c r="B737" s="6" t="s">
        <v>2484</v>
      </c>
      <c r="C737" s="6" t="s">
        <v>336</v>
      </c>
      <c r="D737" s="6" t="s">
        <v>2485</v>
      </c>
      <c r="E737" s="6" t="s">
        <v>349</v>
      </c>
      <c r="F737" s="6" t="s">
        <v>339</v>
      </c>
      <c r="G737" s="6" t="s">
        <v>2486</v>
      </c>
      <c r="H737" s="6" t="s">
        <v>341</v>
      </c>
    </row>
    <row r="738" spans="1:8">
      <c r="A738" s="6">
        <v>734</v>
      </c>
      <c r="B738" s="6" t="s">
        <v>2487</v>
      </c>
      <c r="C738" s="6" t="s">
        <v>336</v>
      </c>
      <c r="D738" s="6" t="s">
        <v>2488</v>
      </c>
      <c r="E738" s="6" t="s">
        <v>494</v>
      </c>
      <c r="F738" s="6" t="s">
        <v>339</v>
      </c>
      <c r="G738" s="6" t="s">
        <v>2489</v>
      </c>
      <c r="H738" s="6" t="s">
        <v>341</v>
      </c>
    </row>
    <row r="739" spans="1:8">
      <c r="A739" s="6">
        <v>735</v>
      </c>
      <c r="B739" s="6" t="s">
        <v>2487</v>
      </c>
      <c r="C739" s="6" t="s">
        <v>336</v>
      </c>
      <c r="D739" s="6" t="s">
        <v>2490</v>
      </c>
      <c r="E739" s="6" t="s">
        <v>2491</v>
      </c>
      <c r="F739" s="6" t="s">
        <v>339</v>
      </c>
      <c r="G739" s="6" t="s">
        <v>2492</v>
      </c>
      <c r="H739" s="6" t="s">
        <v>341</v>
      </c>
    </row>
    <row r="740" spans="1:8">
      <c r="A740" s="6">
        <v>736</v>
      </c>
      <c r="B740" s="6" t="s">
        <v>2487</v>
      </c>
      <c r="C740" s="6" t="s">
        <v>336</v>
      </c>
      <c r="D740" s="6" t="s">
        <v>2493</v>
      </c>
      <c r="E740" s="6" t="s">
        <v>339</v>
      </c>
      <c r="F740" s="6" t="s">
        <v>2494</v>
      </c>
      <c r="G740" s="6" t="s">
        <v>2495</v>
      </c>
      <c r="H740" s="6" t="s">
        <v>388</v>
      </c>
    </row>
    <row r="741" spans="1:8">
      <c r="A741" s="6">
        <v>737</v>
      </c>
      <c r="B741" s="6" t="s">
        <v>2487</v>
      </c>
      <c r="C741" s="6" t="s">
        <v>2496</v>
      </c>
      <c r="D741" s="6" t="s">
        <v>2497</v>
      </c>
      <c r="E741" s="6" t="s">
        <v>339</v>
      </c>
      <c r="F741" s="6" t="s">
        <v>2498</v>
      </c>
      <c r="G741" s="6" t="s">
        <v>2499</v>
      </c>
    </row>
    <row r="742" spans="1:8">
      <c r="A742" s="6">
        <v>738</v>
      </c>
      <c r="B742" s="6" t="s">
        <v>2487</v>
      </c>
      <c r="C742" s="6" t="s">
        <v>2500</v>
      </c>
      <c r="D742" s="6" t="s">
        <v>2501</v>
      </c>
      <c r="E742" s="6" t="s">
        <v>339</v>
      </c>
      <c r="F742" s="6" t="s">
        <v>2502</v>
      </c>
      <c r="G742" s="6" t="s">
        <v>2503</v>
      </c>
    </row>
    <row r="743" spans="1:8">
      <c r="A743" s="6">
        <v>739</v>
      </c>
      <c r="B743" s="6" t="s">
        <v>2504</v>
      </c>
      <c r="C743" s="6" t="s">
        <v>336</v>
      </c>
      <c r="D743" s="6" t="s">
        <v>2505</v>
      </c>
      <c r="E743" s="6" t="s">
        <v>2506</v>
      </c>
      <c r="F743" s="6" t="s">
        <v>339</v>
      </c>
      <c r="G743" s="6" t="s">
        <v>2507</v>
      </c>
      <c r="H743" s="6" t="s">
        <v>341</v>
      </c>
    </row>
    <row r="744" spans="1:8">
      <c r="A744" s="6">
        <v>740</v>
      </c>
      <c r="B744" s="6" t="s">
        <v>2504</v>
      </c>
      <c r="C744" s="6" t="s">
        <v>2508</v>
      </c>
      <c r="D744" s="6" t="s">
        <v>2509</v>
      </c>
      <c r="E744" s="6" t="s">
        <v>339</v>
      </c>
      <c r="F744" s="6" t="s">
        <v>2510</v>
      </c>
      <c r="G744" s="6" t="s">
        <v>2511</v>
      </c>
    </row>
    <row r="745" spans="1:8">
      <c r="A745" s="6">
        <v>741</v>
      </c>
      <c r="B745" s="6" t="s">
        <v>2512</v>
      </c>
      <c r="C745" s="6" t="s">
        <v>336</v>
      </c>
      <c r="D745" s="6" t="s">
        <v>2513</v>
      </c>
      <c r="E745" s="6" t="s">
        <v>360</v>
      </c>
      <c r="F745" s="6" t="s">
        <v>339</v>
      </c>
      <c r="G745" s="6" t="s">
        <v>2514</v>
      </c>
      <c r="H745" s="6" t="s">
        <v>341</v>
      </c>
    </row>
    <row r="746" spans="1:8">
      <c r="A746" s="6">
        <v>742</v>
      </c>
      <c r="B746" s="6" t="s">
        <v>2512</v>
      </c>
      <c r="C746" s="6" t="s">
        <v>336</v>
      </c>
      <c r="D746" s="6" t="s">
        <v>2515</v>
      </c>
      <c r="E746" s="6" t="s">
        <v>494</v>
      </c>
      <c r="F746" s="6" t="s">
        <v>339</v>
      </c>
      <c r="G746" s="6" t="s">
        <v>2516</v>
      </c>
      <c r="H746" s="6" t="s">
        <v>341</v>
      </c>
    </row>
    <row r="747" spans="1:8">
      <c r="A747" s="6">
        <v>743</v>
      </c>
      <c r="B747" s="6" t="s">
        <v>2512</v>
      </c>
      <c r="C747" s="6" t="s">
        <v>2517</v>
      </c>
      <c r="D747" s="6" t="s">
        <v>2518</v>
      </c>
      <c r="E747" s="6" t="s">
        <v>339</v>
      </c>
      <c r="F747" s="6" t="s">
        <v>2519</v>
      </c>
      <c r="G747" s="6" t="s">
        <v>2520</v>
      </c>
    </row>
    <row r="748" spans="1:8">
      <c r="A748" s="6">
        <v>744</v>
      </c>
      <c r="B748" s="6" t="s">
        <v>2512</v>
      </c>
      <c r="C748" s="6" t="s">
        <v>2521</v>
      </c>
      <c r="D748" s="6" t="s">
        <v>2522</v>
      </c>
      <c r="E748" s="6" t="s">
        <v>339</v>
      </c>
      <c r="F748" s="6" t="s">
        <v>2523</v>
      </c>
      <c r="G748" s="6" t="s">
        <v>2524</v>
      </c>
    </row>
    <row r="749" spans="1:8">
      <c r="A749" s="6">
        <v>745</v>
      </c>
      <c r="B749" s="6" t="s">
        <v>2512</v>
      </c>
      <c r="C749" s="6" t="s">
        <v>336</v>
      </c>
      <c r="D749" s="6" t="s">
        <v>2525</v>
      </c>
      <c r="E749" s="6" t="s">
        <v>494</v>
      </c>
      <c r="F749" s="6" t="s">
        <v>339</v>
      </c>
      <c r="G749" s="6" t="s">
        <v>2526</v>
      </c>
      <c r="H749" s="6" t="s">
        <v>341</v>
      </c>
    </row>
    <row r="750" spans="1:8">
      <c r="A750" s="6">
        <v>746</v>
      </c>
      <c r="B750" s="6" t="s">
        <v>2527</v>
      </c>
      <c r="C750" s="6" t="s">
        <v>336</v>
      </c>
      <c r="D750" s="6" t="s">
        <v>2528</v>
      </c>
      <c r="E750" s="6" t="s">
        <v>726</v>
      </c>
      <c r="F750" s="6" t="s">
        <v>339</v>
      </c>
      <c r="G750" s="6" t="s">
        <v>2529</v>
      </c>
      <c r="H750" s="6" t="s">
        <v>341</v>
      </c>
    </row>
    <row r="751" spans="1:8">
      <c r="A751" s="6">
        <v>747</v>
      </c>
      <c r="B751" s="6" t="s">
        <v>2527</v>
      </c>
      <c r="C751" s="6" t="s">
        <v>336</v>
      </c>
      <c r="D751" s="6" t="s">
        <v>2530</v>
      </c>
      <c r="E751" s="6" t="s">
        <v>339</v>
      </c>
      <c r="F751" s="6" t="s">
        <v>494</v>
      </c>
      <c r="G751" s="6" t="s">
        <v>2531</v>
      </c>
      <c r="H751" s="6" t="s">
        <v>341</v>
      </c>
    </row>
    <row r="752" spans="1:8">
      <c r="A752" s="6">
        <v>748</v>
      </c>
      <c r="B752" s="6" t="s">
        <v>2527</v>
      </c>
      <c r="C752" s="6" t="s">
        <v>336</v>
      </c>
      <c r="D752" s="6" t="s">
        <v>2532</v>
      </c>
      <c r="E752" s="6" t="s">
        <v>2533</v>
      </c>
      <c r="F752" s="6" t="s">
        <v>339</v>
      </c>
      <c r="G752" s="6" t="s">
        <v>2534</v>
      </c>
      <c r="H752" s="6" t="s">
        <v>341</v>
      </c>
    </row>
    <row r="753" spans="1:8">
      <c r="A753" s="6">
        <v>749</v>
      </c>
      <c r="B753" s="6" t="s">
        <v>2535</v>
      </c>
      <c r="C753" s="6" t="s">
        <v>336</v>
      </c>
      <c r="D753" s="6" t="s">
        <v>2536</v>
      </c>
      <c r="E753" s="6" t="s">
        <v>2537</v>
      </c>
      <c r="F753" s="6" t="s">
        <v>339</v>
      </c>
      <c r="G753" s="6" t="s">
        <v>2538</v>
      </c>
      <c r="H753" s="6" t="s">
        <v>341</v>
      </c>
    </row>
    <row r="754" spans="1:8">
      <c r="A754" s="6">
        <v>750</v>
      </c>
      <c r="B754" s="6" t="s">
        <v>2535</v>
      </c>
      <c r="C754" s="6" t="s">
        <v>336</v>
      </c>
      <c r="D754" s="6" t="s">
        <v>2539</v>
      </c>
      <c r="E754" s="6" t="s">
        <v>349</v>
      </c>
      <c r="F754" s="6" t="s">
        <v>339</v>
      </c>
      <c r="G754" s="6" t="s">
        <v>2540</v>
      </c>
      <c r="H754" s="6" t="s">
        <v>341</v>
      </c>
    </row>
    <row r="755" spans="1:8">
      <c r="A755" s="6">
        <v>751</v>
      </c>
      <c r="B755" s="6" t="s">
        <v>2535</v>
      </c>
      <c r="C755" s="6" t="s">
        <v>336</v>
      </c>
      <c r="D755" s="6" t="s">
        <v>2541</v>
      </c>
      <c r="E755" s="6" t="s">
        <v>364</v>
      </c>
      <c r="F755" s="6" t="s">
        <v>339</v>
      </c>
      <c r="G755" s="6" t="s">
        <v>2542</v>
      </c>
      <c r="H755" s="6" t="s">
        <v>341</v>
      </c>
    </row>
    <row r="756" spans="1:8">
      <c r="A756" s="6">
        <v>752</v>
      </c>
      <c r="B756" s="6" t="s">
        <v>2543</v>
      </c>
      <c r="C756" s="6" t="s">
        <v>336</v>
      </c>
      <c r="D756" s="6" t="s">
        <v>2544</v>
      </c>
      <c r="E756" s="6" t="s">
        <v>364</v>
      </c>
      <c r="F756" s="6" t="s">
        <v>339</v>
      </c>
      <c r="G756" s="6" t="s">
        <v>2545</v>
      </c>
      <c r="H756" s="6" t="s">
        <v>341</v>
      </c>
    </row>
    <row r="757" spans="1:8">
      <c r="A757" s="6">
        <v>753</v>
      </c>
      <c r="B757" s="6" t="s">
        <v>2543</v>
      </c>
      <c r="C757" s="6" t="s">
        <v>336</v>
      </c>
      <c r="D757" s="6" t="s">
        <v>1450</v>
      </c>
      <c r="E757" s="6" t="s">
        <v>470</v>
      </c>
      <c r="F757" s="6" t="s">
        <v>339</v>
      </c>
      <c r="G757" s="6" t="s">
        <v>2546</v>
      </c>
      <c r="H757" s="6" t="s">
        <v>341</v>
      </c>
    </row>
    <row r="758" spans="1:8">
      <c r="A758" s="6">
        <v>754</v>
      </c>
      <c r="B758" s="6" t="s">
        <v>2543</v>
      </c>
      <c r="C758" s="6" t="s">
        <v>336</v>
      </c>
      <c r="D758" s="6" t="s">
        <v>2547</v>
      </c>
      <c r="E758" s="6" t="s">
        <v>2548</v>
      </c>
      <c r="F758" s="6" t="s">
        <v>339</v>
      </c>
      <c r="G758" s="6" t="s">
        <v>2549</v>
      </c>
      <c r="H758" s="6" t="s">
        <v>341</v>
      </c>
    </row>
    <row r="759" spans="1:8">
      <c r="A759" s="6">
        <v>755</v>
      </c>
      <c r="B759" s="6" t="s">
        <v>2543</v>
      </c>
      <c r="C759" s="6" t="s">
        <v>336</v>
      </c>
      <c r="D759" s="6" t="s">
        <v>2550</v>
      </c>
      <c r="E759" s="6" t="s">
        <v>2551</v>
      </c>
      <c r="F759" s="6" t="s">
        <v>339</v>
      </c>
      <c r="G759" s="6" t="s">
        <v>2552</v>
      </c>
      <c r="H759" s="6" t="s">
        <v>341</v>
      </c>
    </row>
    <row r="760" spans="1:8">
      <c r="A760" s="6">
        <v>756</v>
      </c>
      <c r="B760" s="6" t="s">
        <v>2543</v>
      </c>
      <c r="C760" s="6" t="s">
        <v>336</v>
      </c>
      <c r="D760" s="6" t="s">
        <v>1448</v>
      </c>
      <c r="E760" s="6" t="s">
        <v>473</v>
      </c>
      <c r="F760" s="6" t="s">
        <v>339</v>
      </c>
      <c r="G760" s="6" t="s">
        <v>2553</v>
      </c>
      <c r="H760" s="6" t="s">
        <v>341</v>
      </c>
    </row>
    <row r="761" spans="1:8">
      <c r="A761" s="6">
        <v>757</v>
      </c>
      <c r="B761" s="6" t="s">
        <v>2554</v>
      </c>
      <c r="C761" s="6" t="s">
        <v>336</v>
      </c>
      <c r="D761" s="6" t="s">
        <v>2555</v>
      </c>
      <c r="E761" s="6" t="s">
        <v>2556</v>
      </c>
      <c r="F761" s="6" t="s">
        <v>339</v>
      </c>
      <c r="G761" s="6" t="s">
        <v>2557</v>
      </c>
      <c r="H761" s="6" t="s">
        <v>341</v>
      </c>
    </row>
    <row r="762" spans="1:8">
      <c r="A762" s="6">
        <v>758</v>
      </c>
      <c r="B762" s="6" t="s">
        <v>2558</v>
      </c>
      <c r="C762" s="6" t="s">
        <v>336</v>
      </c>
      <c r="D762" s="6" t="s">
        <v>2559</v>
      </c>
      <c r="E762" s="6" t="s">
        <v>431</v>
      </c>
      <c r="F762" s="6" t="s">
        <v>339</v>
      </c>
      <c r="G762" s="6" t="s">
        <v>2560</v>
      </c>
      <c r="H762" s="6" t="s">
        <v>341</v>
      </c>
    </row>
    <row r="763" spans="1:8">
      <c r="A763" s="6">
        <v>759</v>
      </c>
      <c r="B763" s="6" t="s">
        <v>2558</v>
      </c>
      <c r="C763" s="6" t="s">
        <v>336</v>
      </c>
      <c r="D763" s="6" t="s">
        <v>2561</v>
      </c>
      <c r="E763" s="6" t="s">
        <v>535</v>
      </c>
      <c r="F763" s="6" t="s">
        <v>339</v>
      </c>
      <c r="G763" s="6" t="s">
        <v>2562</v>
      </c>
      <c r="H763" s="6" t="s">
        <v>341</v>
      </c>
    </row>
    <row r="764" spans="1:8">
      <c r="A764" s="6">
        <v>760</v>
      </c>
      <c r="B764" s="6" t="s">
        <v>2558</v>
      </c>
      <c r="C764" s="6" t="s">
        <v>336</v>
      </c>
      <c r="D764" s="6" t="s">
        <v>2563</v>
      </c>
      <c r="E764" s="6" t="s">
        <v>524</v>
      </c>
      <c r="F764" s="6" t="s">
        <v>339</v>
      </c>
      <c r="G764" s="6" t="s">
        <v>2564</v>
      </c>
      <c r="H764" s="6" t="s">
        <v>341</v>
      </c>
    </row>
    <row r="765" spans="1:8">
      <c r="A765" s="6">
        <v>761</v>
      </c>
      <c r="B765" s="6" t="s">
        <v>2558</v>
      </c>
      <c r="C765" s="6" t="s">
        <v>336</v>
      </c>
      <c r="D765" s="6" t="s">
        <v>2565</v>
      </c>
      <c r="E765" s="6" t="s">
        <v>364</v>
      </c>
      <c r="F765" s="6" t="s">
        <v>339</v>
      </c>
      <c r="G765" s="6" t="s">
        <v>2566</v>
      </c>
      <c r="H765" s="6" t="s">
        <v>341</v>
      </c>
    </row>
    <row r="766" spans="1:8">
      <c r="A766" s="6">
        <v>762</v>
      </c>
      <c r="B766" s="6" t="s">
        <v>2558</v>
      </c>
      <c r="C766" s="6" t="s">
        <v>336</v>
      </c>
      <c r="D766" s="6" t="s">
        <v>2567</v>
      </c>
      <c r="E766" s="6" t="s">
        <v>494</v>
      </c>
      <c r="F766" s="6" t="s">
        <v>339</v>
      </c>
      <c r="G766" s="6" t="s">
        <v>2568</v>
      </c>
      <c r="H766" s="6" t="s">
        <v>341</v>
      </c>
    </row>
    <row r="767" spans="1:8">
      <c r="A767" s="6">
        <v>763</v>
      </c>
      <c r="B767" s="6" t="s">
        <v>2558</v>
      </c>
      <c r="C767" s="6" t="s">
        <v>336</v>
      </c>
      <c r="D767" s="6" t="s">
        <v>2569</v>
      </c>
      <c r="E767" s="6" t="s">
        <v>494</v>
      </c>
      <c r="F767" s="6" t="s">
        <v>339</v>
      </c>
      <c r="G767" s="6" t="s">
        <v>2570</v>
      </c>
      <c r="H767" s="6" t="s">
        <v>341</v>
      </c>
    </row>
    <row r="768" spans="1:8">
      <c r="A768" s="6">
        <v>764</v>
      </c>
      <c r="B768" s="6" t="s">
        <v>2558</v>
      </c>
      <c r="C768" s="6" t="s">
        <v>336</v>
      </c>
      <c r="D768" s="6" t="s">
        <v>2571</v>
      </c>
      <c r="E768" s="6" t="s">
        <v>532</v>
      </c>
      <c r="F768" s="6" t="s">
        <v>339</v>
      </c>
      <c r="G768" s="6" t="s">
        <v>2572</v>
      </c>
      <c r="H768" s="6" t="s">
        <v>341</v>
      </c>
    </row>
    <row r="769" spans="1:8">
      <c r="A769" s="6">
        <v>765</v>
      </c>
      <c r="B769" s="6" t="s">
        <v>2558</v>
      </c>
      <c r="C769" s="6" t="s">
        <v>336</v>
      </c>
      <c r="D769" s="6" t="s">
        <v>2573</v>
      </c>
      <c r="E769" s="6" t="s">
        <v>1657</v>
      </c>
      <c r="F769" s="6" t="s">
        <v>339</v>
      </c>
      <c r="G769" s="6" t="s">
        <v>2574</v>
      </c>
      <c r="H769" s="6" t="s">
        <v>341</v>
      </c>
    </row>
    <row r="770" spans="1:8">
      <c r="A770" s="6">
        <v>766</v>
      </c>
      <c r="B770" s="6" t="s">
        <v>2575</v>
      </c>
      <c r="C770" s="6" t="s">
        <v>336</v>
      </c>
      <c r="D770" s="6" t="s">
        <v>2576</v>
      </c>
      <c r="E770" s="6" t="s">
        <v>535</v>
      </c>
      <c r="F770" s="6" t="s">
        <v>339</v>
      </c>
      <c r="G770" s="6" t="s">
        <v>2577</v>
      </c>
      <c r="H770" s="6" t="s">
        <v>341</v>
      </c>
    </row>
    <row r="771" spans="1:8">
      <c r="A771" s="6">
        <v>767</v>
      </c>
      <c r="B771" s="6" t="s">
        <v>2575</v>
      </c>
      <c r="C771" s="6" t="s">
        <v>336</v>
      </c>
      <c r="D771" s="6" t="s">
        <v>2578</v>
      </c>
      <c r="E771" s="6" t="s">
        <v>2579</v>
      </c>
      <c r="F771" s="6" t="s">
        <v>339</v>
      </c>
      <c r="G771" s="6" t="s">
        <v>2580</v>
      </c>
      <c r="H771" s="6" t="s">
        <v>341</v>
      </c>
    </row>
    <row r="772" spans="1:8">
      <c r="A772" s="6">
        <v>768</v>
      </c>
      <c r="B772" s="6" t="s">
        <v>2575</v>
      </c>
      <c r="C772" s="6" t="s">
        <v>336</v>
      </c>
      <c r="D772" s="6" t="s">
        <v>2581</v>
      </c>
      <c r="E772" s="6" t="s">
        <v>339</v>
      </c>
      <c r="F772" s="6" t="s">
        <v>2582</v>
      </c>
      <c r="G772" s="6" t="s">
        <v>2583</v>
      </c>
      <c r="H772" s="6" t="s">
        <v>388</v>
      </c>
    </row>
    <row r="773" spans="1:8">
      <c r="A773" s="6">
        <v>769</v>
      </c>
      <c r="B773" s="6" t="s">
        <v>2575</v>
      </c>
      <c r="C773" s="6" t="s">
        <v>2584</v>
      </c>
      <c r="D773" s="6" t="s">
        <v>2585</v>
      </c>
      <c r="E773" s="6" t="s">
        <v>339</v>
      </c>
      <c r="F773" s="6" t="s">
        <v>2586</v>
      </c>
      <c r="G773" s="6" t="s">
        <v>2587</v>
      </c>
    </row>
    <row r="774" spans="1:8">
      <c r="A774" s="6">
        <v>770</v>
      </c>
      <c r="B774" s="6" t="s">
        <v>2588</v>
      </c>
      <c r="C774" s="6" t="s">
        <v>336</v>
      </c>
      <c r="D774" s="6" t="s">
        <v>2589</v>
      </c>
      <c r="E774" s="6" t="s">
        <v>364</v>
      </c>
      <c r="F774" s="6" t="s">
        <v>339</v>
      </c>
      <c r="G774" s="6" t="s">
        <v>2590</v>
      </c>
      <c r="H774" s="6" t="s">
        <v>341</v>
      </c>
    </row>
    <row r="775" spans="1:8">
      <c r="A775" s="6">
        <v>771</v>
      </c>
      <c r="B775" s="6" t="s">
        <v>2588</v>
      </c>
      <c r="C775" s="6" t="s">
        <v>336</v>
      </c>
      <c r="D775" s="6" t="s">
        <v>2591</v>
      </c>
      <c r="E775" s="6" t="s">
        <v>2294</v>
      </c>
      <c r="F775" s="6" t="s">
        <v>339</v>
      </c>
      <c r="G775" s="6" t="s">
        <v>2592</v>
      </c>
      <c r="H775" s="6" t="s">
        <v>341</v>
      </c>
    </row>
    <row r="776" spans="1:8">
      <c r="A776" s="6">
        <v>772</v>
      </c>
      <c r="B776" s="6" t="s">
        <v>2588</v>
      </c>
      <c r="C776" s="6" t="s">
        <v>336</v>
      </c>
      <c r="D776" s="6" t="s">
        <v>2593</v>
      </c>
      <c r="E776" s="6" t="s">
        <v>2594</v>
      </c>
      <c r="F776" s="6" t="s">
        <v>339</v>
      </c>
      <c r="G776" s="6" t="s">
        <v>2595</v>
      </c>
      <c r="H776" s="6" t="s">
        <v>341</v>
      </c>
    </row>
    <row r="777" spans="1:8">
      <c r="A777" s="6">
        <v>773</v>
      </c>
      <c r="B777" s="6" t="s">
        <v>2596</v>
      </c>
      <c r="C777" s="6" t="s">
        <v>336</v>
      </c>
      <c r="D777" s="6" t="s">
        <v>2597</v>
      </c>
      <c r="E777" s="6" t="s">
        <v>360</v>
      </c>
      <c r="F777" s="6" t="s">
        <v>339</v>
      </c>
      <c r="G777" s="6" t="s">
        <v>2598</v>
      </c>
      <c r="H777" s="6" t="s">
        <v>341</v>
      </c>
    </row>
    <row r="778" spans="1:8">
      <c r="A778" s="6">
        <v>774</v>
      </c>
      <c r="B778" s="6" t="s">
        <v>2599</v>
      </c>
      <c r="C778" s="6" t="s">
        <v>336</v>
      </c>
      <c r="D778" s="6" t="s">
        <v>2600</v>
      </c>
      <c r="E778" s="6" t="s">
        <v>2594</v>
      </c>
      <c r="F778" s="6" t="s">
        <v>339</v>
      </c>
      <c r="G778" s="6" t="s">
        <v>2601</v>
      </c>
      <c r="H778" s="6" t="s">
        <v>341</v>
      </c>
    </row>
    <row r="779" spans="1:8">
      <c r="A779" s="6">
        <v>775</v>
      </c>
      <c r="B779" s="6" t="s">
        <v>2602</v>
      </c>
      <c r="C779" s="6" t="s">
        <v>336</v>
      </c>
      <c r="D779" s="6" t="s">
        <v>2603</v>
      </c>
      <c r="E779" s="6" t="s">
        <v>364</v>
      </c>
      <c r="F779" s="6" t="s">
        <v>339</v>
      </c>
      <c r="G779" s="6" t="s">
        <v>2604</v>
      </c>
      <c r="H779" s="6" t="s">
        <v>341</v>
      </c>
    </row>
    <row r="780" spans="1:8">
      <c r="A780" s="6">
        <v>776</v>
      </c>
      <c r="B780" s="6" t="s">
        <v>2602</v>
      </c>
      <c r="C780" s="6" t="s">
        <v>336</v>
      </c>
      <c r="D780" s="6" t="s">
        <v>2605</v>
      </c>
      <c r="E780" s="6" t="s">
        <v>364</v>
      </c>
      <c r="F780" s="6" t="s">
        <v>339</v>
      </c>
      <c r="G780" s="6" t="s">
        <v>2606</v>
      </c>
      <c r="H780" s="6" t="s">
        <v>341</v>
      </c>
    </row>
    <row r="781" spans="1:8">
      <c r="A781" s="6">
        <v>777</v>
      </c>
      <c r="B781" s="6" t="s">
        <v>2602</v>
      </c>
      <c r="C781" s="6" t="s">
        <v>2607</v>
      </c>
      <c r="D781" s="6" t="s">
        <v>2429</v>
      </c>
      <c r="E781" s="6" t="s">
        <v>1630</v>
      </c>
      <c r="F781" s="6" t="s">
        <v>339</v>
      </c>
      <c r="G781" s="6" t="s">
        <v>2608</v>
      </c>
      <c r="H781" s="6" t="s">
        <v>1717</v>
      </c>
    </row>
    <row r="782" spans="1:8">
      <c r="A782" s="6">
        <v>778</v>
      </c>
      <c r="B782" s="6" t="s">
        <v>2602</v>
      </c>
      <c r="C782" s="6" t="s">
        <v>2609</v>
      </c>
      <c r="D782" s="6" t="s">
        <v>2610</v>
      </c>
      <c r="E782" s="6" t="s">
        <v>339</v>
      </c>
      <c r="F782" s="6" t="s">
        <v>2611</v>
      </c>
      <c r="G782" s="6" t="s">
        <v>2612</v>
      </c>
    </row>
    <row r="783" spans="1:8">
      <c r="A783" s="6">
        <v>779</v>
      </c>
      <c r="B783" s="6" t="s">
        <v>2602</v>
      </c>
      <c r="C783" s="6" t="s">
        <v>2613</v>
      </c>
      <c r="D783" s="6" t="s">
        <v>2614</v>
      </c>
      <c r="E783" s="6" t="s">
        <v>339</v>
      </c>
      <c r="F783" s="6" t="s">
        <v>2615</v>
      </c>
      <c r="G783" s="6" t="s">
        <v>2616</v>
      </c>
    </row>
    <row r="784" spans="1:8">
      <c r="A784" s="6">
        <v>780</v>
      </c>
      <c r="B784" s="6" t="s">
        <v>2617</v>
      </c>
      <c r="C784" s="6" t="s">
        <v>336</v>
      </c>
      <c r="D784" s="6" t="s">
        <v>2618</v>
      </c>
      <c r="E784" s="6" t="s">
        <v>339</v>
      </c>
      <c r="F784" s="6" t="s">
        <v>360</v>
      </c>
      <c r="G784" s="6" t="s">
        <v>2619</v>
      </c>
      <c r="H784" s="6" t="s">
        <v>341</v>
      </c>
    </row>
    <row r="785" spans="1:8">
      <c r="A785" s="6">
        <v>781</v>
      </c>
      <c r="B785" s="6" t="s">
        <v>2617</v>
      </c>
      <c r="C785" s="6" t="s">
        <v>336</v>
      </c>
      <c r="D785" s="6" t="s">
        <v>2620</v>
      </c>
      <c r="E785" s="6" t="s">
        <v>339</v>
      </c>
      <c r="F785" s="6" t="s">
        <v>2621</v>
      </c>
      <c r="G785" s="6" t="s">
        <v>2622</v>
      </c>
      <c r="H785" s="6" t="s">
        <v>341</v>
      </c>
    </row>
    <row r="786" spans="1:8">
      <c r="A786" s="6">
        <v>782</v>
      </c>
      <c r="B786" s="6" t="s">
        <v>2617</v>
      </c>
      <c r="C786" s="6" t="s">
        <v>2623</v>
      </c>
      <c r="D786" s="6" t="s">
        <v>2624</v>
      </c>
      <c r="E786" s="6" t="s">
        <v>339</v>
      </c>
      <c r="F786" s="6" t="s">
        <v>2625</v>
      </c>
      <c r="G786" s="6" t="s">
        <v>2626</v>
      </c>
    </row>
    <row r="787" spans="1:8">
      <c r="A787" s="6">
        <v>783</v>
      </c>
      <c r="B787" s="6" t="s">
        <v>2627</v>
      </c>
      <c r="C787" s="6" t="s">
        <v>336</v>
      </c>
      <c r="D787" s="6" t="s">
        <v>2628</v>
      </c>
      <c r="E787" s="6" t="s">
        <v>2629</v>
      </c>
      <c r="F787" s="6" t="s">
        <v>339</v>
      </c>
      <c r="G787" s="6" t="s">
        <v>2630</v>
      </c>
      <c r="H787" s="6" t="s">
        <v>341</v>
      </c>
    </row>
    <row r="788" spans="1:8">
      <c r="A788" s="6">
        <v>784</v>
      </c>
      <c r="B788" s="6" t="s">
        <v>2627</v>
      </c>
      <c r="C788" s="6" t="s">
        <v>336</v>
      </c>
      <c r="D788" s="6" t="s">
        <v>2631</v>
      </c>
      <c r="E788" s="6" t="s">
        <v>2632</v>
      </c>
      <c r="F788" s="6" t="s">
        <v>339</v>
      </c>
      <c r="G788" s="6" t="s">
        <v>2633</v>
      </c>
      <c r="H788" s="6" t="s">
        <v>341</v>
      </c>
    </row>
    <row r="789" spans="1:8">
      <c r="A789" s="6">
        <v>785</v>
      </c>
      <c r="B789" s="6" t="s">
        <v>2634</v>
      </c>
      <c r="C789" s="6" t="s">
        <v>336</v>
      </c>
      <c r="D789" s="6" t="s">
        <v>2635</v>
      </c>
      <c r="E789" s="6" t="s">
        <v>1624</v>
      </c>
      <c r="F789" s="6" t="s">
        <v>339</v>
      </c>
      <c r="G789" s="6" t="s">
        <v>2636</v>
      </c>
      <c r="H789" s="6" t="s">
        <v>341</v>
      </c>
    </row>
    <row r="790" spans="1:8">
      <c r="A790" s="6">
        <v>786</v>
      </c>
      <c r="B790" s="6" t="s">
        <v>2634</v>
      </c>
      <c r="C790" s="6" t="s">
        <v>336</v>
      </c>
      <c r="D790" s="6" t="s">
        <v>2637</v>
      </c>
      <c r="E790" s="6" t="s">
        <v>339</v>
      </c>
      <c r="F790" s="6" t="s">
        <v>1243</v>
      </c>
      <c r="G790" s="6" t="s">
        <v>2638</v>
      </c>
      <c r="H790" s="6" t="s">
        <v>341</v>
      </c>
    </row>
    <row r="791" spans="1:8">
      <c r="A791" s="6">
        <v>787</v>
      </c>
      <c r="B791" s="6" t="s">
        <v>2639</v>
      </c>
      <c r="C791" s="6" t="s">
        <v>2640</v>
      </c>
      <c r="D791" s="6" t="s">
        <v>2641</v>
      </c>
      <c r="E791" s="6" t="s">
        <v>339</v>
      </c>
      <c r="F791" s="6" t="s">
        <v>2642</v>
      </c>
      <c r="G791" s="6" t="s">
        <v>2643</v>
      </c>
    </row>
    <row r="792" spans="1:8">
      <c r="A792" s="6">
        <v>788</v>
      </c>
      <c r="B792" s="6" t="s">
        <v>2644</v>
      </c>
      <c r="C792" s="6" t="s">
        <v>2645</v>
      </c>
      <c r="D792" s="6" t="s">
        <v>2646</v>
      </c>
      <c r="E792" s="6" t="s">
        <v>2647</v>
      </c>
      <c r="F792" s="6" t="s">
        <v>339</v>
      </c>
      <c r="G792" s="6" t="s">
        <v>2648</v>
      </c>
      <c r="H792" s="6" t="s">
        <v>581</v>
      </c>
    </row>
    <row r="793" spans="1:8">
      <c r="A793" s="6">
        <v>789</v>
      </c>
      <c r="B793" s="6" t="s">
        <v>2649</v>
      </c>
      <c r="C793" s="6" t="s">
        <v>2650</v>
      </c>
      <c r="D793" s="6" t="s">
        <v>2651</v>
      </c>
      <c r="E793" s="6" t="s">
        <v>339</v>
      </c>
      <c r="F793" s="6" t="s">
        <v>2652</v>
      </c>
      <c r="G793" s="6" t="s">
        <v>2653</v>
      </c>
    </row>
    <row r="794" spans="1:8">
      <c r="A794" s="6">
        <v>790</v>
      </c>
      <c r="B794" s="6" t="s">
        <v>2654</v>
      </c>
      <c r="C794" s="6" t="s">
        <v>336</v>
      </c>
      <c r="D794" s="6" t="s">
        <v>2655</v>
      </c>
      <c r="E794" s="6" t="s">
        <v>583</v>
      </c>
      <c r="F794" s="6" t="s">
        <v>339</v>
      </c>
      <c r="G794" s="6" t="s">
        <v>2656</v>
      </c>
      <c r="H794" s="6" t="s">
        <v>341</v>
      </c>
    </row>
    <row r="795" spans="1:8">
      <c r="A795" s="6">
        <v>791</v>
      </c>
      <c r="B795" s="6" t="s">
        <v>2657</v>
      </c>
      <c r="C795" s="6" t="s">
        <v>2658</v>
      </c>
      <c r="D795" s="6" t="s">
        <v>2659</v>
      </c>
      <c r="E795" s="6" t="s">
        <v>339</v>
      </c>
      <c r="F795" s="6" t="s">
        <v>1039</v>
      </c>
      <c r="G795" s="6" t="s">
        <v>2660</v>
      </c>
    </row>
    <row r="796" spans="1:8">
      <c r="A796" s="6">
        <v>792</v>
      </c>
      <c r="B796" s="6" t="s">
        <v>2661</v>
      </c>
      <c r="C796" s="6" t="s">
        <v>336</v>
      </c>
      <c r="D796" s="6" t="s">
        <v>2662</v>
      </c>
      <c r="E796" s="6" t="s">
        <v>339</v>
      </c>
      <c r="F796" s="6" t="s">
        <v>2663</v>
      </c>
      <c r="G796" s="6" t="s">
        <v>2664</v>
      </c>
      <c r="H796" s="6" t="s">
        <v>388</v>
      </c>
    </row>
    <row r="797" spans="1:8">
      <c r="A797" s="6">
        <v>793</v>
      </c>
      <c r="B797" s="6" t="s">
        <v>2661</v>
      </c>
      <c r="C797" s="6" t="s">
        <v>336</v>
      </c>
      <c r="D797" s="6" t="s">
        <v>2665</v>
      </c>
      <c r="E797" s="6" t="s">
        <v>583</v>
      </c>
      <c r="F797" s="6" t="s">
        <v>339</v>
      </c>
      <c r="G797" s="6" t="s">
        <v>2666</v>
      </c>
      <c r="H797" s="6" t="s">
        <v>341</v>
      </c>
    </row>
    <row r="798" spans="1:8">
      <c r="A798" s="6">
        <v>794</v>
      </c>
      <c r="B798" s="6" t="s">
        <v>2667</v>
      </c>
      <c r="C798" s="6" t="s">
        <v>336</v>
      </c>
      <c r="D798" s="6" t="s">
        <v>2668</v>
      </c>
      <c r="E798" s="6" t="s">
        <v>2669</v>
      </c>
      <c r="F798" s="6" t="s">
        <v>339</v>
      </c>
      <c r="G798" s="6" t="s">
        <v>2670</v>
      </c>
      <c r="H798" s="6" t="s">
        <v>341</v>
      </c>
    </row>
    <row r="799" spans="1:8">
      <c r="A799" s="6">
        <v>795</v>
      </c>
      <c r="B799" s="6" t="s">
        <v>2671</v>
      </c>
      <c r="C799" s="6" t="s">
        <v>2672</v>
      </c>
      <c r="D799" s="6" t="s">
        <v>2673</v>
      </c>
      <c r="E799" s="6" t="s">
        <v>339</v>
      </c>
      <c r="F799" s="6" t="s">
        <v>2674</v>
      </c>
      <c r="G799" s="6" t="s">
        <v>2675</v>
      </c>
    </row>
    <row r="800" spans="1:8">
      <c r="A800" s="6">
        <v>796</v>
      </c>
      <c r="B800" s="6" t="s">
        <v>2671</v>
      </c>
      <c r="C800" s="6" t="s">
        <v>2676</v>
      </c>
      <c r="D800" s="6" t="s">
        <v>2677</v>
      </c>
      <c r="E800" s="6" t="s">
        <v>339</v>
      </c>
      <c r="F800" s="6" t="s">
        <v>2678</v>
      </c>
      <c r="G800" s="6" t="s">
        <v>2679</v>
      </c>
    </row>
    <row r="801" spans="1:8">
      <c r="A801" s="6">
        <v>797</v>
      </c>
      <c r="B801" s="6" t="s">
        <v>2671</v>
      </c>
      <c r="C801" s="6" t="s">
        <v>2680</v>
      </c>
      <c r="D801" s="6" t="s">
        <v>2681</v>
      </c>
      <c r="E801" s="6" t="s">
        <v>339</v>
      </c>
      <c r="F801" s="6" t="s">
        <v>2682</v>
      </c>
      <c r="G801" s="6" t="s">
        <v>2683</v>
      </c>
    </row>
    <row r="802" spans="1:8">
      <c r="A802" s="6">
        <v>798</v>
      </c>
      <c r="B802" s="6" t="s">
        <v>2671</v>
      </c>
      <c r="C802" s="6" t="s">
        <v>2684</v>
      </c>
      <c r="D802" s="6" t="s">
        <v>2685</v>
      </c>
      <c r="E802" s="6" t="s">
        <v>339</v>
      </c>
      <c r="F802" s="6" t="s">
        <v>2686</v>
      </c>
      <c r="G802" s="6" t="s">
        <v>2687</v>
      </c>
    </row>
    <row r="803" spans="1:8">
      <c r="A803" s="6">
        <v>799</v>
      </c>
      <c r="B803" s="6" t="s">
        <v>2688</v>
      </c>
      <c r="C803" s="6" t="s">
        <v>336</v>
      </c>
      <c r="D803" s="6" t="s">
        <v>2689</v>
      </c>
      <c r="E803" s="6" t="s">
        <v>404</v>
      </c>
      <c r="F803" s="6" t="s">
        <v>339</v>
      </c>
      <c r="G803" s="6" t="s">
        <v>2690</v>
      </c>
      <c r="H803" s="6" t="s">
        <v>341</v>
      </c>
    </row>
    <row r="804" spans="1:8">
      <c r="A804" s="6">
        <v>800</v>
      </c>
      <c r="B804" s="6" t="s">
        <v>2688</v>
      </c>
      <c r="C804" s="6" t="s">
        <v>336</v>
      </c>
      <c r="D804" s="6" t="s">
        <v>2691</v>
      </c>
      <c r="E804" s="6" t="s">
        <v>339</v>
      </c>
      <c r="F804" s="6" t="s">
        <v>2692</v>
      </c>
      <c r="G804" s="6" t="s">
        <v>2693</v>
      </c>
      <c r="H804" s="6" t="s">
        <v>388</v>
      </c>
    </row>
    <row r="805" spans="1:8">
      <c r="A805" s="6">
        <v>801</v>
      </c>
      <c r="B805" s="6" t="s">
        <v>2688</v>
      </c>
      <c r="C805" s="6" t="s">
        <v>336</v>
      </c>
      <c r="D805" s="6" t="s">
        <v>2694</v>
      </c>
      <c r="E805" s="6" t="s">
        <v>339</v>
      </c>
      <c r="F805" s="6" t="s">
        <v>2695</v>
      </c>
      <c r="G805" s="6" t="s">
        <v>2696</v>
      </c>
      <c r="H805" s="6" t="s">
        <v>388</v>
      </c>
    </row>
    <row r="806" spans="1:8">
      <c r="A806" s="6">
        <v>802</v>
      </c>
      <c r="B806" s="6" t="s">
        <v>2688</v>
      </c>
      <c r="C806" s="6" t="s">
        <v>2697</v>
      </c>
      <c r="D806" s="6" t="s">
        <v>2698</v>
      </c>
      <c r="E806" s="6" t="s">
        <v>339</v>
      </c>
      <c r="F806" s="6" t="s">
        <v>2699</v>
      </c>
      <c r="G806" s="6" t="s">
        <v>2700</v>
      </c>
    </row>
    <row r="807" spans="1:8">
      <c r="A807" s="6">
        <v>803</v>
      </c>
      <c r="B807" s="6" t="s">
        <v>2701</v>
      </c>
      <c r="C807" s="6" t="s">
        <v>336</v>
      </c>
      <c r="D807" s="6" t="s">
        <v>2702</v>
      </c>
      <c r="E807" s="6" t="s">
        <v>1243</v>
      </c>
      <c r="F807" s="6" t="s">
        <v>339</v>
      </c>
      <c r="G807" s="6" t="s">
        <v>2703</v>
      </c>
      <c r="H807" s="6" t="s">
        <v>341</v>
      </c>
    </row>
    <row r="808" spans="1:8">
      <c r="A808" s="6">
        <v>804</v>
      </c>
      <c r="B808" s="6" t="s">
        <v>2701</v>
      </c>
      <c r="C808" s="6" t="s">
        <v>2704</v>
      </c>
      <c r="D808" s="6" t="s">
        <v>2705</v>
      </c>
      <c r="E808" s="6" t="s">
        <v>339</v>
      </c>
      <c r="F808" s="6" t="s">
        <v>2706</v>
      </c>
      <c r="G808" s="6" t="s">
        <v>2707</v>
      </c>
    </row>
    <row r="809" spans="1:8">
      <c r="A809" s="6">
        <v>805</v>
      </c>
      <c r="B809" s="6" t="s">
        <v>2708</v>
      </c>
      <c r="C809" s="6" t="s">
        <v>336</v>
      </c>
      <c r="D809" s="6" t="s">
        <v>1450</v>
      </c>
      <c r="E809" s="6" t="s">
        <v>470</v>
      </c>
      <c r="F809" s="6" t="s">
        <v>339</v>
      </c>
      <c r="G809" s="6" t="s">
        <v>2709</v>
      </c>
      <c r="H809" s="6" t="s">
        <v>341</v>
      </c>
    </row>
    <row r="810" spans="1:8">
      <c r="A810" s="6">
        <v>806</v>
      </c>
      <c r="B810" s="6" t="s">
        <v>2708</v>
      </c>
      <c r="C810" s="6" t="s">
        <v>336</v>
      </c>
      <c r="D810" s="6" t="s">
        <v>1448</v>
      </c>
      <c r="E810" s="6" t="s">
        <v>473</v>
      </c>
      <c r="F810" s="6" t="s">
        <v>339</v>
      </c>
      <c r="G810" s="6" t="s">
        <v>2710</v>
      </c>
      <c r="H810" s="6" t="s">
        <v>341</v>
      </c>
    </row>
    <row r="811" spans="1:8">
      <c r="A811" s="6">
        <v>807</v>
      </c>
      <c r="B811" s="6" t="s">
        <v>2711</v>
      </c>
      <c r="C811" s="6" t="s">
        <v>336</v>
      </c>
      <c r="D811" s="6" t="s">
        <v>2712</v>
      </c>
      <c r="E811" s="6" t="s">
        <v>2713</v>
      </c>
      <c r="F811" s="6" t="s">
        <v>339</v>
      </c>
      <c r="G811" s="6" t="s">
        <v>2714</v>
      </c>
      <c r="H811" s="6" t="s">
        <v>341</v>
      </c>
    </row>
    <row r="812" spans="1:8">
      <c r="A812" s="6">
        <v>808</v>
      </c>
      <c r="B812" s="6" t="s">
        <v>2711</v>
      </c>
      <c r="C812" s="6" t="s">
        <v>336</v>
      </c>
      <c r="D812" s="6" t="s">
        <v>2715</v>
      </c>
      <c r="E812" s="6" t="s">
        <v>2716</v>
      </c>
      <c r="F812" s="6" t="s">
        <v>339</v>
      </c>
      <c r="G812" s="6" t="s">
        <v>2717</v>
      </c>
      <c r="H812" s="6" t="s">
        <v>341</v>
      </c>
    </row>
    <row r="813" spans="1:8">
      <c r="A813" s="6">
        <v>809</v>
      </c>
      <c r="B813" s="6" t="s">
        <v>2711</v>
      </c>
      <c r="C813" s="6" t="s">
        <v>336</v>
      </c>
      <c r="D813" s="6" t="s">
        <v>2718</v>
      </c>
      <c r="E813" s="6" t="s">
        <v>404</v>
      </c>
      <c r="F813" s="6" t="s">
        <v>339</v>
      </c>
      <c r="G813" s="6" t="s">
        <v>2719</v>
      </c>
      <c r="H813" s="6" t="s">
        <v>341</v>
      </c>
    </row>
    <row r="814" spans="1:8">
      <c r="A814" s="6">
        <v>810</v>
      </c>
      <c r="B814" s="6" t="s">
        <v>2720</v>
      </c>
      <c r="C814" s="6" t="s">
        <v>2721</v>
      </c>
      <c r="D814" s="6" t="s">
        <v>2722</v>
      </c>
      <c r="E814" s="6" t="s">
        <v>339</v>
      </c>
      <c r="F814" s="6" t="s">
        <v>2723</v>
      </c>
      <c r="G814" s="6" t="s">
        <v>2724</v>
      </c>
    </row>
    <row r="815" spans="1:8">
      <c r="A815" s="6">
        <v>811</v>
      </c>
      <c r="B815" s="6" t="s">
        <v>2720</v>
      </c>
      <c r="C815" s="6" t="s">
        <v>2725</v>
      </c>
      <c r="D815" s="6" t="s">
        <v>2726</v>
      </c>
      <c r="E815" s="6" t="s">
        <v>339</v>
      </c>
      <c r="F815" s="6" t="s">
        <v>2727</v>
      </c>
      <c r="G815" s="6" t="s">
        <v>2728</v>
      </c>
    </row>
    <row r="816" spans="1:8">
      <c r="A816" s="6">
        <v>812</v>
      </c>
      <c r="B816" s="6" t="s">
        <v>2729</v>
      </c>
      <c r="C816" s="6" t="s">
        <v>2730</v>
      </c>
      <c r="D816" s="6" t="s">
        <v>2731</v>
      </c>
      <c r="E816" s="6" t="s">
        <v>339</v>
      </c>
      <c r="F816" s="6" t="s">
        <v>2732</v>
      </c>
      <c r="G816" s="6" t="s">
        <v>2733</v>
      </c>
    </row>
    <row r="817" spans="1:8">
      <c r="A817" s="6">
        <v>813</v>
      </c>
      <c r="B817" s="6" t="s">
        <v>2729</v>
      </c>
      <c r="C817" s="6" t="s">
        <v>2734</v>
      </c>
      <c r="D817" s="6" t="s">
        <v>2735</v>
      </c>
      <c r="E817" s="6" t="s">
        <v>339</v>
      </c>
      <c r="F817" s="6" t="s">
        <v>2736</v>
      </c>
      <c r="G817" s="6" t="s">
        <v>2737</v>
      </c>
    </row>
    <row r="818" spans="1:8">
      <c r="A818" s="6">
        <v>814</v>
      </c>
      <c r="B818" s="6" t="s">
        <v>2729</v>
      </c>
      <c r="C818" s="6" t="s">
        <v>2738</v>
      </c>
      <c r="D818" s="6" t="s">
        <v>2739</v>
      </c>
      <c r="E818" s="6" t="s">
        <v>339</v>
      </c>
      <c r="F818" s="6" t="s">
        <v>2740</v>
      </c>
      <c r="G818" s="6" t="s">
        <v>2741</v>
      </c>
    </row>
    <row r="819" spans="1:8">
      <c r="A819" s="6">
        <v>815</v>
      </c>
      <c r="B819" s="6" t="s">
        <v>2729</v>
      </c>
      <c r="C819" s="6" t="s">
        <v>2742</v>
      </c>
      <c r="D819" s="6" t="s">
        <v>2743</v>
      </c>
      <c r="E819" s="6" t="s">
        <v>339</v>
      </c>
      <c r="F819" s="6" t="s">
        <v>2744</v>
      </c>
      <c r="G819" s="6" t="s">
        <v>2745</v>
      </c>
    </row>
    <row r="820" spans="1:8">
      <c r="A820" s="6">
        <v>816</v>
      </c>
      <c r="B820" s="6" t="s">
        <v>2746</v>
      </c>
      <c r="C820" s="6" t="s">
        <v>336</v>
      </c>
      <c r="D820" s="6" t="s">
        <v>2747</v>
      </c>
      <c r="E820" s="6" t="s">
        <v>339</v>
      </c>
      <c r="F820" s="6" t="s">
        <v>2748</v>
      </c>
      <c r="G820" s="6" t="s">
        <v>2749</v>
      </c>
      <c r="H820" s="6" t="s">
        <v>388</v>
      </c>
    </row>
    <row r="821" spans="1:8">
      <c r="A821" s="6">
        <v>817</v>
      </c>
      <c r="B821" s="6" t="s">
        <v>2746</v>
      </c>
      <c r="C821" s="6" t="s">
        <v>2750</v>
      </c>
      <c r="D821" s="6" t="s">
        <v>2751</v>
      </c>
      <c r="E821" s="6" t="s">
        <v>339</v>
      </c>
      <c r="F821" s="6" t="s">
        <v>2752</v>
      </c>
      <c r="G821" s="6" t="s">
        <v>2753</v>
      </c>
    </row>
    <row r="822" spans="1:8">
      <c r="A822" s="6">
        <v>818</v>
      </c>
      <c r="B822" s="6" t="s">
        <v>2746</v>
      </c>
      <c r="C822" s="6" t="s">
        <v>2754</v>
      </c>
      <c r="D822" s="6" t="s">
        <v>2755</v>
      </c>
      <c r="E822" s="6" t="s">
        <v>339</v>
      </c>
      <c r="F822" s="6" t="s">
        <v>2756</v>
      </c>
      <c r="G822" s="6" t="s">
        <v>2757</v>
      </c>
    </row>
    <row r="823" spans="1:8">
      <c r="A823" s="6">
        <v>819</v>
      </c>
      <c r="B823" s="6" t="s">
        <v>2746</v>
      </c>
      <c r="C823" s="6" t="s">
        <v>2758</v>
      </c>
      <c r="D823" s="6" t="s">
        <v>2759</v>
      </c>
      <c r="E823" s="6" t="s">
        <v>339</v>
      </c>
      <c r="F823" s="6" t="s">
        <v>2760</v>
      </c>
      <c r="G823" s="6" t="s">
        <v>2761</v>
      </c>
    </row>
    <row r="824" spans="1:8">
      <c r="A824" s="6">
        <v>820</v>
      </c>
      <c r="B824" s="6" t="s">
        <v>2762</v>
      </c>
      <c r="C824" s="6" t="s">
        <v>336</v>
      </c>
      <c r="D824" s="6" t="s">
        <v>2763</v>
      </c>
      <c r="E824" s="6" t="s">
        <v>2764</v>
      </c>
      <c r="F824" s="6" t="s">
        <v>339</v>
      </c>
      <c r="G824" s="6" t="s">
        <v>2765</v>
      </c>
      <c r="H824" s="6" t="s">
        <v>341</v>
      </c>
    </row>
    <row r="825" spans="1:8">
      <c r="A825" s="6">
        <v>821</v>
      </c>
      <c r="B825" s="6" t="s">
        <v>2762</v>
      </c>
      <c r="C825" s="6" t="s">
        <v>336</v>
      </c>
      <c r="D825" s="6" t="s">
        <v>2766</v>
      </c>
      <c r="E825" s="6" t="s">
        <v>339</v>
      </c>
      <c r="F825" s="6" t="s">
        <v>2767</v>
      </c>
      <c r="G825" s="6" t="s">
        <v>2768</v>
      </c>
      <c r="H825" s="6" t="s">
        <v>388</v>
      </c>
    </row>
    <row r="826" spans="1:8">
      <c r="A826" s="6">
        <v>822</v>
      </c>
      <c r="B826" s="6" t="s">
        <v>2762</v>
      </c>
      <c r="C826" s="6" t="s">
        <v>336</v>
      </c>
      <c r="D826" s="6" t="s">
        <v>2769</v>
      </c>
      <c r="E826" s="6" t="s">
        <v>339</v>
      </c>
      <c r="F826" s="6" t="s">
        <v>2770</v>
      </c>
      <c r="G826" s="6" t="s">
        <v>2771</v>
      </c>
      <c r="H826" s="6" t="s">
        <v>388</v>
      </c>
    </row>
    <row r="827" spans="1:8">
      <c r="A827" s="6">
        <v>823</v>
      </c>
      <c r="B827" s="6" t="s">
        <v>2762</v>
      </c>
      <c r="C827" s="6" t="s">
        <v>336</v>
      </c>
      <c r="D827" s="6" t="s">
        <v>2772</v>
      </c>
      <c r="E827" s="6" t="s">
        <v>2773</v>
      </c>
      <c r="F827" s="6" t="s">
        <v>339</v>
      </c>
      <c r="G827" s="6" t="s">
        <v>2774</v>
      </c>
      <c r="H827" s="6" t="s">
        <v>341</v>
      </c>
    </row>
    <row r="828" spans="1:8">
      <c r="A828" s="6">
        <v>824</v>
      </c>
      <c r="B828" s="6" t="s">
        <v>2762</v>
      </c>
      <c r="C828" s="6" t="s">
        <v>336</v>
      </c>
      <c r="D828" s="6" t="s">
        <v>2775</v>
      </c>
      <c r="E828" s="6" t="s">
        <v>339</v>
      </c>
      <c r="F828" s="6" t="s">
        <v>2776</v>
      </c>
      <c r="G828" s="6" t="s">
        <v>2777</v>
      </c>
      <c r="H828" s="6" t="s">
        <v>388</v>
      </c>
    </row>
    <row r="829" spans="1:8">
      <c r="A829" s="6">
        <v>825</v>
      </c>
      <c r="B829" s="6" t="s">
        <v>2762</v>
      </c>
      <c r="C829" s="6" t="s">
        <v>336</v>
      </c>
      <c r="D829" s="6" t="s">
        <v>2778</v>
      </c>
      <c r="E829" s="6" t="s">
        <v>404</v>
      </c>
      <c r="F829" s="6" t="s">
        <v>339</v>
      </c>
      <c r="G829" s="6" t="s">
        <v>2779</v>
      </c>
      <c r="H829" s="6" t="s">
        <v>341</v>
      </c>
    </row>
    <row r="830" spans="1:8">
      <c r="A830" s="6">
        <v>826</v>
      </c>
      <c r="B830" s="6" t="s">
        <v>2780</v>
      </c>
      <c r="C830" s="6" t="s">
        <v>336</v>
      </c>
      <c r="D830" s="6" t="s">
        <v>2781</v>
      </c>
      <c r="E830" s="6" t="s">
        <v>360</v>
      </c>
      <c r="F830" s="6" t="s">
        <v>339</v>
      </c>
      <c r="G830" s="6" t="s">
        <v>2782</v>
      </c>
      <c r="H830" s="6" t="s">
        <v>341</v>
      </c>
    </row>
    <row r="831" spans="1:8">
      <c r="A831" s="6">
        <v>827</v>
      </c>
      <c r="B831" s="6" t="s">
        <v>2780</v>
      </c>
      <c r="C831" s="6" t="s">
        <v>336</v>
      </c>
      <c r="D831" s="6" t="s">
        <v>2783</v>
      </c>
      <c r="E831" s="6" t="s">
        <v>357</v>
      </c>
      <c r="F831" s="6" t="s">
        <v>339</v>
      </c>
      <c r="G831" s="6" t="s">
        <v>2784</v>
      </c>
      <c r="H831" s="6" t="s">
        <v>341</v>
      </c>
    </row>
    <row r="832" spans="1:8">
      <c r="A832" s="6">
        <v>828</v>
      </c>
      <c r="B832" s="6" t="s">
        <v>2780</v>
      </c>
      <c r="C832" s="6" t="s">
        <v>336</v>
      </c>
      <c r="D832" s="6" t="s">
        <v>2785</v>
      </c>
      <c r="E832" s="6" t="s">
        <v>2786</v>
      </c>
      <c r="F832" s="6" t="s">
        <v>339</v>
      </c>
      <c r="G832" s="6" t="s">
        <v>2787</v>
      </c>
      <c r="H832" s="6" t="s">
        <v>341</v>
      </c>
    </row>
    <row r="833" spans="1:8">
      <c r="A833" s="6">
        <v>829</v>
      </c>
      <c r="B833" s="6" t="s">
        <v>2780</v>
      </c>
      <c r="C833" s="6" t="s">
        <v>336</v>
      </c>
      <c r="D833" s="6" t="s">
        <v>2788</v>
      </c>
      <c r="E833" s="6" t="s">
        <v>383</v>
      </c>
      <c r="F833" s="6" t="s">
        <v>339</v>
      </c>
      <c r="G833" s="6" t="s">
        <v>2789</v>
      </c>
      <c r="H833" s="6" t="s">
        <v>341</v>
      </c>
    </row>
    <row r="834" spans="1:8">
      <c r="A834" s="6">
        <v>830</v>
      </c>
      <c r="B834" s="6" t="s">
        <v>2780</v>
      </c>
      <c r="C834" s="6" t="s">
        <v>336</v>
      </c>
      <c r="D834" s="6" t="s">
        <v>2790</v>
      </c>
      <c r="E834" s="6" t="s">
        <v>339</v>
      </c>
      <c r="F834" s="6" t="s">
        <v>2791</v>
      </c>
      <c r="G834" s="6" t="s">
        <v>2792</v>
      </c>
      <c r="H834" s="6" t="s">
        <v>388</v>
      </c>
    </row>
  </sheetData>
  <sheetProtection algorithmName="SHA-512" hashValue="OcPlraQFgBXdZzrZPcBtpz1cDd2t+DILPRIzkLDpwqrDn97uGUO5xFO9oYHD+1xbqT6MocB1ylxGwxPOE3oA8Q==" saltValue="JuztZQ2CmOscNXUEqfItJ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313" priority="18" operator="equal">
      <formula>#N/A</formula>
    </cfRule>
  </conditionalFormatting>
  <conditionalFormatting sqref="DG2">
    <cfRule type="cellIs" dxfId="312" priority="13" operator="equal">
      <formula>#N/A</formula>
    </cfRule>
  </conditionalFormatting>
  <conditionalFormatting sqref="DH2:DI2">
    <cfRule type="cellIs" dxfId="311" priority="12" operator="equal">
      <formula>#N/A</formula>
    </cfRule>
  </conditionalFormatting>
  <conditionalFormatting sqref="I1:I2">
    <cfRule type="cellIs" dxfId="310" priority="8" operator="equal">
      <formula>#N/A</formula>
    </cfRule>
  </conditionalFormatting>
  <conditionalFormatting sqref="H1">
    <cfRule type="cellIs" dxfId="309" priority="7" operator="equal">
      <formula>#N/A</formula>
    </cfRule>
  </conditionalFormatting>
  <conditionalFormatting sqref="E1">
    <cfRule type="cellIs" dxfId="308" priority="6" operator="equal">
      <formula>#N/A</formula>
    </cfRule>
  </conditionalFormatting>
  <conditionalFormatting sqref="I1">
    <cfRule type="containsText" dxfId="307" priority="4" operator="containsText" text="All Data Import Successfully">
      <formula>NOT(ISERROR(SEARCH("All Data Import Successfully",I1)))</formula>
    </cfRule>
    <cfRule type="containsText" dxfId="306" priority="5" operator="containsText" text="Difference Entry">
      <formula>NOT(ISERROR(SEARCH("Difference Entry",I1)))</formula>
    </cfRule>
  </conditionalFormatting>
  <conditionalFormatting sqref="E2:G2">
    <cfRule type="cellIs" dxfId="305" priority="3" operator="equal">
      <formula>#N/A</formula>
    </cfRule>
  </conditionalFormatting>
  <conditionalFormatting sqref="H2">
    <cfRule type="cellIs" dxfId="304" priority="2" operator="equal">
      <formula>#N/A</formula>
    </cfRule>
  </conditionalFormatting>
  <conditionalFormatting sqref="I2">
    <cfRule type="cellIs" dxfId="30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DZ4"/>
  <sheetViews>
    <sheetView workbookViewId="0">
      <selection activeCell="C18" sqref="C18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7"/>
      <c r="B1" s="107"/>
      <c r="C1" s="107"/>
      <c r="D1" s="107"/>
      <c r="E1" s="96" t="s">
        <v>0</v>
      </c>
      <c r="F1" s="97" t="s">
        <v>1</v>
      </c>
      <c r="G1" s="98" t="s">
        <v>2</v>
      </c>
      <c r="H1" s="99" t="s">
        <v>3</v>
      </c>
      <c r="I1" s="100" t="s">
        <v>4</v>
      </c>
      <c r="J1" s="101" t="s">
        <v>6</v>
      </c>
      <c r="K1" s="101" t="s">
        <v>6</v>
      </c>
      <c r="L1" s="101" t="s">
        <v>6</v>
      </c>
      <c r="M1" s="101" t="s">
        <v>6</v>
      </c>
      <c r="N1" s="101" t="s">
        <v>6</v>
      </c>
      <c r="O1" s="101" t="s">
        <v>6</v>
      </c>
      <c r="P1" s="101" t="s">
        <v>6</v>
      </c>
      <c r="Q1" s="101" t="s">
        <v>6</v>
      </c>
      <c r="R1" s="101" t="s">
        <v>6</v>
      </c>
      <c r="S1" s="102" t="s">
        <v>210</v>
      </c>
      <c r="T1" s="102">
        <v>9</v>
      </c>
      <c r="U1" s="102" t="s">
        <v>182</v>
      </c>
      <c r="V1" s="102" t="s">
        <v>173</v>
      </c>
      <c r="W1" s="102" t="s">
        <v>174</v>
      </c>
      <c r="X1" s="109" t="s">
        <v>6</v>
      </c>
      <c r="Y1" s="109" t="s">
        <v>6</v>
      </c>
      <c r="Z1" s="10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03" t="s">
        <v>5</v>
      </c>
      <c r="B2" s="103" t="s">
        <v>6</v>
      </c>
      <c r="C2" s="103"/>
      <c r="D2" s="103" t="s">
        <v>172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61</v>
      </c>
      <c r="B3" s="59"/>
      <c r="C3" s="58"/>
      <c r="D3" s="58" t="s">
        <v>2794</v>
      </c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IF(E3=" ",VALUE("0"),VALUE(SUBSTITUTE((E3),",","")))</f>
        <v>#VALUE!</v>
      </c>
      <c r="DE3" s="26" t="e">
        <f>IF(F3=" ",VALUE("0"),VALUE(SUBSTITUTE((F3),",","")))</f>
        <v>#VALUE!</v>
      </c>
      <c r="DF3" s="26" t="e">
        <f>IF(G3=" ","",VALUE(SUBSTITUTE((G3),",","")))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e">
        <f>+IF(DE3=0,"Suspance Payment","Suspance Receipt")</f>
        <v>#VALUE!</v>
      </c>
      <c r="DJ3" s="39" t="str">
        <f>+D3</f>
        <v>C:\Users\ADITYA\Desktop\Ecomm\Bank Statement\axis 2.xls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47" t="s">
        <v>2793</v>
      </c>
      <c r="B4" s="248" t="s">
        <v>39</v>
      </c>
      <c r="C4" s="248" t="s">
        <v>40</v>
      </c>
      <c r="D4" s="248" t="s">
        <v>41</v>
      </c>
      <c r="E4" s="248" t="s">
        <v>42</v>
      </c>
      <c r="F4" s="248" t="s">
        <v>43</v>
      </c>
      <c r="G4" s="249" t="s">
        <v>44</v>
      </c>
      <c r="H4" s="230" t="s">
        <v>45</v>
      </c>
      <c r="DA4" s="38" t="str">
        <f>+DA3</f>
        <v>Axis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302" priority="11" operator="equal">
      <formula>#N/A</formula>
    </cfRule>
  </conditionalFormatting>
  <conditionalFormatting sqref="DG2">
    <cfRule type="cellIs" dxfId="301" priority="10" operator="equal">
      <formula>#N/A</formula>
    </cfRule>
  </conditionalFormatting>
  <conditionalFormatting sqref="DH2:DI2">
    <cfRule type="cellIs" dxfId="300" priority="9" operator="equal">
      <formula>#N/A</formula>
    </cfRule>
  </conditionalFormatting>
  <conditionalFormatting sqref="I1:I2">
    <cfRule type="cellIs" dxfId="299" priority="8" operator="equal">
      <formula>#N/A</formula>
    </cfRule>
  </conditionalFormatting>
  <conditionalFormatting sqref="H1">
    <cfRule type="cellIs" dxfId="298" priority="7" operator="equal">
      <formula>#N/A</formula>
    </cfRule>
  </conditionalFormatting>
  <conditionalFormatting sqref="E1">
    <cfRule type="cellIs" dxfId="297" priority="6" operator="equal">
      <formula>#N/A</formula>
    </cfRule>
  </conditionalFormatting>
  <conditionalFormatting sqref="I1">
    <cfRule type="containsText" dxfId="296" priority="4" operator="containsText" text="All Data Import Successfully">
      <formula>NOT(ISERROR(SEARCH("All Data Import Successfully",I1)))</formula>
    </cfRule>
    <cfRule type="containsText" dxfId="295" priority="5" operator="containsText" text="Difference Entry">
      <formula>NOT(ISERROR(SEARCH("Difference Entry",I1)))</formula>
    </cfRule>
  </conditionalFormatting>
  <conditionalFormatting sqref="E2:G2">
    <cfRule type="cellIs" dxfId="294" priority="3" operator="equal">
      <formula>#N/A</formula>
    </cfRule>
  </conditionalFormatting>
  <conditionalFormatting sqref="H2">
    <cfRule type="cellIs" dxfId="293" priority="2" operator="equal">
      <formula>#N/A</formula>
    </cfRule>
  </conditionalFormatting>
  <conditionalFormatting sqref="I2">
    <cfRule type="cellIs" dxfId="29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DZ4"/>
  <sheetViews>
    <sheetView workbookViewId="0">
      <selection activeCell="C36" sqref="C36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7"/>
      <c r="B1" s="107"/>
      <c r="C1" s="107"/>
      <c r="D1" s="107"/>
      <c r="E1" s="96" t="s">
        <v>0</v>
      </c>
      <c r="F1" s="97" t="s">
        <v>1</v>
      </c>
      <c r="G1" s="98" t="s">
        <v>2</v>
      </c>
      <c r="H1" s="99" t="s">
        <v>3</v>
      </c>
      <c r="I1" s="100" t="s">
        <v>4</v>
      </c>
      <c r="J1" s="101" t="s">
        <v>6</v>
      </c>
      <c r="K1" s="101" t="s">
        <v>6</v>
      </c>
      <c r="L1" s="101" t="s">
        <v>6</v>
      </c>
      <c r="M1" s="101" t="s">
        <v>6</v>
      </c>
      <c r="N1" s="101" t="s">
        <v>6</v>
      </c>
      <c r="O1" s="101" t="s">
        <v>6</v>
      </c>
      <c r="P1" s="101" t="s">
        <v>6</v>
      </c>
      <c r="Q1" s="101" t="s">
        <v>6</v>
      </c>
      <c r="R1" s="101" t="s">
        <v>6</v>
      </c>
      <c r="S1" s="102" t="s">
        <v>193</v>
      </c>
      <c r="T1" s="102">
        <v>8</v>
      </c>
      <c r="U1" s="102" t="s">
        <v>173</v>
      </c>
      <c r="V1" s="102" t="s">
        <v>173</v>
      </c>
      <c r="W1" s="102" t="s">
        <v>169</v>
      </c>
      <c r="X1" s="109" t="s">
        <v>6</v>
      </c>
      <c r="Y1" s="109">
        <v>5</v>
      </c>
      <c r="Z1" s="10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03" t="s">
        <v>5</v>
      </c>
      <c r="B2" s="103" t="s">
        <v>6</v>
      </c>
      <c r="C2" s="103"/>
      <c r="D2" s="103" t="s">
        <v>172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/>
    </row>
    <row r="3" spans="1:130" ht="15.75" thickBot="1">
      <c r="A3" s="58" t="s">
        <v>109</v>
      </c>
      <c r="B3" s="59"/>
      <c r="C3" s="58"/>
      <c r="D3" s="58" t="s">
        <v>215</v>
      </c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 (Cur)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IF(F3="CR",VALUE("0"),VALUE(SUBSTITUTE((E3),",","")))</f>
        <v>#VALUE!</v>
      </c>
      <c r="DE3" s="26" t="e">
        <f>IF(F3="DR",VALUE("0"),VALUE(SUBSTITUTE((E3),",","")))</f>
        <v>#VALUE!</v>
      </c>
      <c r="DF3" s="26" t="e">
        <f>IF(G3=" ","",VALUE(SUBSTITUTE((G3),",","")))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28" t="e">
        <f>+VALUE(A3)</f>
        <v>#VALUE!</v>
      </c>
      <c r="DI3" s="28" t="e">
        <f>+IF(DE3=0,"Suspance Payment","Suspance Receipt")</f>
        <v>#VALUE!</v>
      </c>
      <c r="DJ3" s="39" t="str">
        <f>+IF(ISBLANK(D3),C3,D3)</f>
        <v>C:\Users\ADITYA\Desktop\Ecomm\Bank Statement\axis bank .xls</v>
      </c>
      <c r="DK3" s="30">
        <f>+DK2+1</f>
        <v>1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10" t="s">
        <v>39</v>
      </c>
      <c r="B4" s="111" t="s">
        <v>18</v>
      </c>
      <c r="C4" s="111" t="s">
        <v>40</v>
      </c>
      <c r="D4" s="111" t="s">
        <v>189</v>
      </c>
      <c r="E4" s="111" t="s">
        <v>190</v>
      </c>
      <c r="F4" s="111" t="s">
        <v>191</v>
      </c>
      <c r="G4" s="111" t="s">
        <v>108</v>
      </c>
      <c r="H4" s="112" t="s">
        <v>192</v>
      </c>
      <c r="DA4" s="23" t="str">
        <f>+DA3</f>
        <v>Axis Bank A/c. (Cur)</v>
      </c>
      <c r="DB4" s="24" t="e">
        <f>VALUE(A4)</f>
        <v>#VALUE!</v>
      </c>
      <c r="DC4" s="25" t="str">
        <f>+CONCATENATE(TEXT(A4,"D"),"",TEXT(A4,"MM"),"","/",SUBSTITUTE(F4,",",""),"/",DK4)</f>
        <v>Tran DateTran Date/DR|CR/2</v>
      </c>
      <c r="DD4" s="26" t="e">
        <f>IF(G4="CR",VALUE("0"),VALUE(SUBSTITUTE((F4),",","")))</f>
        <v>#VALUE!</v>
      </c>
      <c r="DE4" s="26" t="e">
        <f>IF(G4="DR",VALUE("0"),VALUE(SUBSTITUTE((F4),",","")))</f>
        <v>#VALUE!</v>
      </c>
      <c r="DF4" s="26" t="e">
        <f>IF(H4=" ","",VALUE(SUBSTITUTE((H4),",","")))</f>
        <v>#VALUE!</v>
      </c>
      <c r="DG4" s="27" t="str">
        <f ca="1">(SUBSTITUTE(TRIM(IF(LEFT(C4,3)="CLG"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6)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12))),".",""))</f>
        <v/>
      </c>
      <c r="DH4" s="28" t="e">
        <f>+VALUE(A4)</f>
        <v>#VALUE!</v>
      </c>
      <c r="DI4" s="28" t="e">
        <f>+IF(DE4=0,"Suspance Payment","Suspance Receipt")</f>
        <v>#VALUE!</v>
      </c>
      <c r="DJ4" s="39" t="str">
        <f>+C4</f>
        <v>CHQNO</v>
      </c>
      <c r="DK4" s="30">
        <f>+DK3+1</f>
        <v>2</v>
      </c>
    </row>
  </sheetData>
  <sheetProtection algorithmName="SHA-512" hashValue="+aKhEqtjRK/hHukcRqaeU2+v5p754nvLGwcMNCO+oGAoWZ1lV0G9wQH9epnvTF6shNBJssW/tZiWZ5AT3asBog==" saltValue="9tcxIwhYtqgLOqU3O3Ec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:DJ4 DA3:DC4 DH3:DH4" name="Range1_5"/>
    <protectedRange algorithmName="SHA-512" hashValue="FeHjunJeBmEIe1Z+x4LSLD0xeXKoeHqEB4mLNgYC3pUDxBFAiT2e1scH7F48tQXpPGOh+9Z9iw2K5jb0kUxFkQ==" saltValue="Arxg+XESKZddo6Y2q+NDbg==" spinCount="100000" sqref="DE3:DF4" name="Range1_1_2"/>
    <protectedRange algorithmName="SHA-512" hashValue="FeHjunJeBmEIe1Z+x4LSLD0xeXKoeHqEB4mLNgYC3pUDxBFAiT2e1scH7F48tQXpPGOh+9Z9iw2K5jb0kUxFkQ==" saltValue="Arxg+XESKZddo6Y2q+NDbg==" spinCount="100000" sqref="DI3:DI4" name="Range1_2_2"/>
    <protectedRange algorithmName="SHA-512" hashValue="FeHjunJeBmEIe1Z+x4LSLD0xeXKoeHqEB4mLNgYC3pUDxBFAiT2e1scH7F48tQXpPGOh+9Z9iw2K5jb0kUxFkQ==" saltValue="Arxg+XESKZddo6Y2q+NDbg==" spinCount="100000" sqref="DK3:DK4" name="Range1_3_2"/>
    <protectedRange algorithmName="SHA-512" hashValue="FeHjunJeBmEIe1Z+x4LSLD0xeXKoeHqEB4mLNgYC3pUDxBFAiT2e1scH7F48tQXpPGOh+9Z9iw2K5jb0kUxFkQ==" saltValue="Arxg+XESKZddo6Y2q+NDbg==" spinCount="100000" sqref="DD3:DD4" name="Range1_1_4"/>
  </protectedRanges>
  <conditionalFormatting sqref="E3">
    <cfRule type="cellIs" dxfId="291" priority="18" operator="equal">
      <formula>#N/A</formula>
    </cfRule>
  </conditionalFormatting>
  <conditionalFormatting sqref="DG2">
    <cfRule type="cellIs" dxfId="290" priority="13" operator="equal">
      <formula>#N/A</formula>
    </cfRule>
  </conditionalFormatting>
  <conditionalFormatting sqref="DH2:DI2">
    <cfRule type="cellIs" dxfId="289" priority="12" operator="equal">
      <formula>#N/A</formula>
    </cfRule>
  </conditionalFormatting>
  <conditionalFormatting sqref="I1:I2">
    <cfRule type="cellIs" dxfId="288" priority="8" operator="equal">
      <formula>#N/A</formula>
    </cfRule>
  </conditionalFormatting>
  <conditionalFormatting sqref="H1">
    <cfRule type="cellIs" dxfId="287" priority="7" operator="equal">
      <formula>#N/A</formula>
    </cfRule>
  </conditionalFormatting>
  <conditionalFormatting sqref="E1">
    <cfRule type="cellIs" dxfId="286" priority="6" operator="equal">
      <formula>#N/A</formula>
    </cfRule>
  </conditionalFormatting>
  <conditionalFormatting sqref="I1">
    <cfRule type="containsText" dxfId="285" priority="4" operator="containsText" text="All Data Import Successfully">
      <formula>NOT(ISERROR(SEARCH("All Data Import Successfully",I1)))</formula>
    </cfRule>
    <cfRule type="containsText" dxfId="284" priority="5" operator="containsText" text="Difference Entry">
      <formula>NOT(ISERROR(SEARCH("Difference Entry",I1)))</formula>
    </cfRule>
  </conditionalFormatting>
  <conditionalFormatting sqref="E2:G2">
    <cfRule type="cellIs" dxfId="283" priority="3" operator="equal">
      <formula>#N/A</formula>
    </cfRule>
  </conditionalFormatting>
  <conditionalFormatting sqref="H2">
    <cfRule type="cellIs" dxfId="282" priority="2" operator="equal">
      <formula>#N/A</formula>
    </cfRule>
  </conditionalFormatting>
  <conditionalFormatting sqref="I2">
    <cfRule type="cellIs" dxfId="281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9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16" width="10.5703125" style="6" bestFit="1" customWidth="1"/>
    <col min="117" max="16384" width="9.140625" style="6"/>
  </cols>
  <sheetData>
    <row r="1" spans="1:130" ht="45" customHeight="1">
      <c r="A1" s="107"/>
      <c r="B1" s="107"/>
      <c r="C1" s="107"/>
      <c r="D1" s="107"/>
      <c r="E1" s="96" t="s">
        <v>0</v>
      </c>
      <c r="F1" s="97" t="s">
        <v>1</v>
      </c>
      <c r="G1" s="98" t="s">
        <v>2</v>
      </c>
      <c r="H1" s="99" t="s">
        <v>3</v>
      </c>
      <c r="I1" s="100" t="s">
        <v>4</v>
      </c>
      <c r="J1" s="101" t="s">
        <v>6</v>
      </c>
      <c r="K1" s="101" t="s">
        <v>6</v>
      </c>
      <c r="L1" s="101" t="s">
        <v>6</v>
      </c>
      <c r="M1" s="101" t="s">
        <v>6</v>
      </c>
      <c r="N1" s="101" t="s">
        <v>6</v>
      </c>
      <c r="O1" s="101" t="s">
        <v>6</v>
      </c>
      <c r="P1" s="101" t="s">
        <v>6</v>
      </c>
      <c r="Q1" s="101" t="s">
        <v>6</v>
      </c>
      <c r="R1" s="101" t="s">
        <v>6</v>
      </c>
      <c r="S1" s="102" t="s">
        <v>205</v>
      </c>
      <c r="T1" s="102">
        <v>7</v>
      </c>
      <c r="U1" s="102" t="s">
        <v>182</v>
      </c>
      <c r="V1" s="102" t="s">
        <v>173</v>
      </c>
      <c r="W1" s="102" t="s">
        <v>174</v>
      </c>
      <c r="X1" s="109" t="s">
        <v>6</v>
      </c>
      <c r="Y1" s="109">
        <v>17</v>
      </c>
      <c r="Z1" s="10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03" t="s">
        <v>5</v>
      </c>
      <c r="B2" s="103" t="s">
        <v>6</v>
      </c>
      <c r="C2" s="103"/>
      <c r="D2" s="103" t="s">
        <v>172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 xml:space="preserve">Yesh Bank 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71</v>
      </c>
      <c r="B3" s="59"/>
      <c r="C3" s="58"/>
      <c r="D3" s="58" t="s">
        <v>206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 xml:space="preserve">Yesh Bank 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42">
        <f>+VALUE(B3)</f>
        <v>0</v>
      </c>
      <c r="DI3" s="28" t="str">
        <f>+IF(DE3=0,"Suspance Payment","Suspance Receipt")</f>
        <v>Suspance Payment</v>
      </c>
      <c r="DJ3" s="39" t="str">
        <f>+D3</f>
        <v>C:\Users\ADITYA\Desktop\Ecomm\Bank Statement\yes bank cr.xls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7" thickBot="1">
      <c r="A4" s="127" t="s">
        <v>25</v>
      </c>
      <c r="B4" s="128" t="s">
        <v>18</v>
      </c>
      <c r="C4" s="128" t="s">
        <v>67</v>
      </c>
      <c r="D4" s="128" t="s">
        <v>19</v>
      </c>
      <c r="E4" s="128" t="s">
        <v>68</v>
      </c>
      <c r="F4" s="128" t="s">
        <v>69</v>
      </c>
      <c r="G4" s="129" t="s">
        <v>70</v>
      </c>
      <c r="DA4" s="38" t="str">
        <f>+DA3</f>
        <v xml:space="preserve">Yesh Bank </v>
      </c>
    </row>
  </sheetData>
  <sheetProtection algorithmName="SHA-512" hashValue="eiy8Xgn/LFy/8wXgvs5jFKWnGjurG+Eb2EvfJ7XYjp0n4gamhLEtJkhkKyJgDFncpWps73ZnR7hS5T4DSXqbQQ==" saltValue="GEQEi8+nEJ8xFN+qNexSG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280" priority="18" operator="equal">
      <formula>#N/A</formula>
    </cfRule>
  </conditionalFormatting>
  <conditionalFormatting sqref="DG2">
    <cfRule type="cellIs" dxfId="279" priority="13" operator="equal">
      <formula>#N/A</formula>
    </cfRule>
  </conditionalFormatting>
  <conditionalFormatting sqref="DH2:DI2">
    <cfRule type="cellIs" dxfId="278" priority="12" operator="equal">
      <formula>#N/A</formula>
    </cfRule>
  </conditionalFormatting>
  <conditionalFormatting sqref="I1:I2">
    <cfRule type="cellIs" dxfId="277" priority="8" operator="equal">
      <formula>#N/A</formula>
    </cfRule>
  </conditionalFormatting>
  <conditionalFormatting sqref="H1">
    <cfRule type="cellIs" dxfId="276" priority="7" operator="equal">
      <formula>#N/A</formula>
    </cfRule>
  </conditionalFormatting>
  <conditionalFormatting sqref="E1">
    <cfRule type="cellIs" dxfId="275" priority="6" operator="equal">
      <formula>#N/A</formula>
    </cfRule>
  </conditionalFormatting>
  <conditionalFormatting sqref="I1">
    <cfRule type="containsText" dxfId="274" priority="4" operator="containsText" text="All Data Import Successfully">
      <formula>NOT(ISERROR(SEARCH("All Data Import Successfully",I1)))</formula>
    </cfRule>
    <cfRule type="containsText" dxfId="273" priority="5" operator="containsText" text="Difference Entry">
      <formula>NOT(ISERROR(SEARCH("Difference Entry",I1)))</formula>
    </cfRule>
  </conditionalFormatting>
  <conditionalFormatting sqref="E2:G2">
    <cfRule type="cellIs" dxfId="272" priority="3" operator="equal">
      <formula>#N/A</formula>
    </cfRule>
  </conditionalFormatting>
  <conditionalFormatting sqref="H2">
    <cfRule type="cellIs" dxfId="271" priority="2" operator="equal">
      <formula>#N/A</formula>
    </cfRule>
  </conditionalFormatting>
  <conditionalFormatting sqref="I2">
    <cfRule type="cellIs" dxfId="27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4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4" width="9.140625" style="6"/>
    <col min="105" max="113" width="24.7109375" style="6" customWidth="1"/>
    <col min="114" max="114" width="44.85546875" style="6" customWidth="1"/>
    <col min="11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Indusind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93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Indusind Bank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 t="e">
        <f>IF(E3="-",VALUE("0"),VALUE(SUBSTITUTE((E3),"-","")))</f>
        <v>#VALUE!</v>
      </c>
      <c r="DE3" s="26" t="e">
        <f>IF(F3="-",VALUE("0"),VALUE(SUBSTITUTE((F3),"-","")))</f>
        <v>#VALUE!</v>
      </c>
      <c r="DF3" s="26" t="e">
        <f>IF(G3=" ","",VALUE(SUBSTITUTE((G3),",","")))</f>
        <v>#VALUE!</v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2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t="s">
        <v>94</v>
      </c>
      <c r="B4" t="s">
        <v>32</v>
      </c>
      <c r="C4" t="s">
        <v>95</v>
      </c>
      <c r="D4" t="s">
        <v>96</v>
      </c>
      <c r="E4" t="s">
        <v>97</v>
      </c>
      <c r="F4" t="s">
        <v>98</v>
      </c>
      <c r="G4" t="s">
        <v>11</v>
      </c>
      <c r="DA4" s="38" t="str">
        <f>+DA3</f>
        <v>Indusind Bank</v>
      </c>
    </row>
  </sheetData>
  <sheetProtection algorithmName="SHA-512" hashValue="ae6qWKk2g4y97MvaoaeqcDCH0Z64EEkQ7nd1tS1mdxsyxOLPhh9xLGhZi6XXXxGxYs3fJ6s87tSDU5Vb+r23eA==" saltValue="svS/aEvJ/0z4+KHRFkMW+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 I1:I2">
    <cfRule type="cellIs" dxfId="269" priority="10" operator="equal">
      <formula>#N/A</formula>
    </cfRule>
  </conditionalFormatting>
  <conditionalFormatting sqref="H1">
    <cfRule type="cellIs" dxfId="268" priority="9" operator="equal">
      <formula>#N/A</formula>
    </cfRule>
  </conditionalFormatting>
  <conditionalFormatting sqref="E1">
    <cfRule type="cellIs" dxfId="267" priority="8" operator="equal">
      <formula>#N/A</formula>
    </cfRule>
  </conditionalFormatting>
  <conditionalFormatting sqref="I1">
    <cfRule type="containsText" dxfId="266" priority="6" operator="containsText" text="All Data Import Successfully">
      <formula>NOT(ISERROR(SEARCH("All Data Import Successfully",I1)))</formula>
    </cfRule>
    <cfRule type="containsText" dxfId="265" priority="7" operator="containsText" text="Difference Entry">
      <formula>NOT(ISERROR(SEARCH("Difference Entry",I1)))</formula>
    </cfRule>
  </conditionalFormatting>
  <conditionalFormatting sqref="DG2">
    <cfRule type="cellIs" dxfId="264" priority="5" operator="equal">
      <formula>#N/A</formula>
    </cfRule>
  </conditionalFormatting>
  <conditionalFormatting sqref="DH2:DI2">
    <cfRule type="cellIs" dxfId="263" priority="4" operator="equal">
      <formula>#N/A</formula>
    </cfRule>
  </conditionalFormatting>
  <conditionalFormatting sqref="E2:G2">
    <cfRule type="cellIs" dxfId="262" priority="3" operator="equal">
      <formula>#N/A</formula>
    </cfRule>
  </conditionalFormatting>
  <conditionalFormatting sqref="H2">
    <cfRule type="cellIs" dxfId="261" priority="2" operator="equal">
      <formula>#N/A</formula>
    </cfRule>
  </conditionalFormatting>
  <conditionalFormatting sqref="I2">
    <cfRule type="cellIs" dxfId="26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5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7"/>
      <c r="B1" s="107"/>
      <c r="C1" s="107"/>
      <c r="D1" s="107"/>
      <c r="E1" s="96" t="s">
        <v>0</v>
      </c>
      <c r="F1" s="97" t="s">
        <v>1</v>
      </c>
      <c r="G1" s="98" t="s">
        <v>2</v>
      </c>
      <c r="H1" s="99" t="s">
        <v>3</v>
      </c>
      <c r="I1" s="100" t="s">
        <v>4</v>
      </c>
      <c r="J1" s="101" t="s">
        <v>6</v>
      </c>
      <c r="K1" s="101" t="s">
        <v>6</v>
      </c>
      <c r="L1" s="101" t="s">
        <v>6</v>
      </c>
      <c r="M1" s="101" t="s">
        <v>6</v>
      </c>
      <c r="N1" s="101" t="s">
        <v>6</v>
      </c>
      <c r="O1" s="101" t="s">
        <v>6</v>
      </c>
      <c r="P1" s="101" t="s">
        <v>6</v>
      </c>
      <c r="Q1" s="101" t="s">
        <v>6</v>
      </c>
      <c r="R1" s="101" t="s">
        <v>6</v>
      </c>
      <c r="S1" s="102" t="s">
        <v>202</v>
      </c>
      <c r="T1" s="102">
        <v>9</v>
      </c>
      <c r="U1" s="102" t="s">
        <v>171</v>
      </c>
      <c r="V1" s="102" t="s">
        <v>171</v>
      </c>
      <c r="W1" s="102" t="s">
        <v>204</v>
      </c>
      <c r="X1" s="109" t="s">
        <v>6</v>
      </c>
      <c r="Y1" s="109" t="s">
        <v>6</v>
      </c>
      <c r="Z1" s="10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03" t="s">
        <v>5</v>
      </c>
      <c r="B2" s="103" t="s">
        <v>6</v>
      </c>
      <c r="C2" s="103"/>
      <c r="D2" s="103" t="s">
        <v>172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62</v>
      </c>
      <c r="B3" s="59"/>
      <c r="C3" s="58"/>
      <c r="D3" s="58" t="s">
        <v>203</v>
      </c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IDBI Bank A/c.</v>
      </c>
      <c r="DB3" s="24">
        <f>VALUE(C3)</f>
        <v>0</v>
      </c>
      <c r="DC3" s="25" t="e">
        <f>+CONCATENATE(TEXT(DB3,"D"),"",TEXT(DB3,"MM"),"","/",SUBSTITUTE(DF3,",",""),"/",DK3)</f>
        <v>#VALUE!</v>
      </c>
      <c r="DD3" s="26" t="e">
        <f>IF(F3="Cr.",VALUE("0"),VALUE(SUBSTITUTE((H3),",","")))</f>
        <v>#VALUE!</v>
      </c>
      <c r="DE3" s="26" t="e">
        <f>IF(F3="Dr.",VALUE("0"),VALUE(SUBSTITUTE((H3),",","")))</f>
        <v>#VALUE!</v>
      </c>
      <c r="DF3" s="26" t="str">
        <f>IF(I3="","",VALUE(SUBSTITUTE((I3),",","")))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28">
        <f>VALUE(C3)</f>
        <v>0</v>
      </c>
      <c r="DI3" s="28" t="e">
        <f>+IF(DE3=0,"Suspance Payment","Suspance Receipt")</f>
        <v>#VALUE!</v>
      </c>
      <c r="DJ3" s="39" t="str">
        <f>+D3</f>
        <v>C:\Users\ADITYA\Desktop\Ecomm\Bank Statement\IDBI BANK - ACURA.xls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13" t="s">
        <v>46</v>
      </c>
      <c r="B4" s="114" t="s">
        <v>17</v>
      </c>
      <c r="C4" s="114" t="s">
        <v>18</v>
      </c>
      <c r="D4" s="114" t="s">
        <v>19</v>
      </c>
      <c r="E4" s="114" t="s">
        <v>47</v>
      </c>
      <c r="F4" s="114" t="s">
        <v>48</v>
      </c>
      <c r="G4" s="114" t="s">
        <v>49</v>
      </c>
      <c r="H4" s="114" t="s">
        <v>50</v>
      </c>
      <c r="I4" s="114" t="s">
        <v>31</v>
      </c>
      <c r="J4" s="56"/>
      <c r="DA4" s="38" t="str">
        <f>+DA3</f>
        <v>IDBI Bank A/c.</v>
      </c>
    </row>
  </sheetData>
  <sheetProtection algorithmName="SHA-512" hashValue="o+u6/GRBQN0bMfL7VX6KIiREBzrrLhFmFZMplrbUlXy/7A0wRIYk3uVXSymO6KOE+BDmI/XCY4T4gNISLCQulQ==" saltValue="DVHBU0DEY5E11I2naX4p8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259" priority="18" operator="equal">
      <formula>#N/A</formula>
    </cfRule>
  </conditionalFormatting>
  <conditionalFormatting sqref="DG2">
    <cfRule type="cellIs" dxfId="258" priority="13" operator="equal">
      <formula>#N/A</formula>
    </cfRule>
  </conditionalFormatting>
  <conditionalFormatting sqref="DH2:DI2">
    <cfRule type="cellIs" dxfId="257" priority="12" operator="equal">
      <formula>#N/A</formula>
    </cfRule>
  </conditionalFormatting>
  <conditionalFormatting sqref="I1:I2">
    <cfRule type="cellIs" dxfId="256" priority="8" operator="equal">
      <formula>#N/A</formula>
    </cfRule>
  </conditionalFormatting>
  <conditionalFormatting sqref="H1">
    <cfRule type="cellIs" dxfId="255" priority="7" operator="equal">
      <formula>#N/A</formula>
    </cfRule>
  </conditionalFormatting>
  <conditionalFormatting sqref="E1">
    <cfRule type="cellIs" dxfId="254" priority="6" operator="equal">
      <formula>#N/A</formula>
    </cfRule>
  </conditionalFormatting>
  <conditionalFormatting sqref="I1">
    <cfRule type="containsText" dxfId="253" priority="4" operator="containsText" text="All Data Import Successfully">
      <formula>NOT(ISERROR(SEARCH("All Data Import Successfully",I1)))</formula>
    </cfRule>
    <cfRule type="containsText" dxfId="252" priority="5" operator="containsText" text="Difference Entry">
      <formula>NOT(ISERROR(SEARCH("Difference Entry",I1)))</formula>
    </cfRule>
  </conditionalFormatting>
  <conditionalFormatting sqref="E2:G2">
    <cfRule type="cellIs" dxfId="251" priority="3" operator="equal">
      <formula>#N/A</formula>
    </cfRule>
  </conditionalFormatting>
  <conditionalFormatting sqref="H2">
    <cfRule type="cellIs" dxfId="250" priority="2" operator="equal">
      <formula>#N/A</formula>
    </cfRule>
  </conditionalFormatting>
  <conditionalFormatting sqref="I2">
    <cfRule type="cellIs" dxfId="249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1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Bandhan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90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Bandhan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IF(H3="","",VALUE(SUBSTITUTE((H3),",","")))</f>
        <v/>
      </c>
      <c r="DG3" s="27" t="str">
        <f ca="1">(SUBSTITUTE(TRIM(IF(LEFT(E3,3)="CLG"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6)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12))),".",""))</f>
        <v/>
      </c>
      <c r="DH3" s="24" t="e">
        <f>+DB3</f>
        <v>#VALUE!</v>
      </c>
      <c r="DI3" s="28" t="str">
        <f>+IF(DE3=0,"Suspance Payment","Suspance Receipt")</f>
        <v>Suspance Payment</v>
      </c>
      <c r="DJ3" s="3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46" customFormat="1" ht="21">
      <c r="A4" s="43" t="s">
        <v>82</v>
      </c>
      <c r="B4" s="43" t="s">
        <v>83</v>
      </c>
      <c r="C4" s="43" t="s">
        <v>84</v>
      </c>
      <c r="D4" s="43" t="s">
        <v>85</v>
      </c>
      <c r="E4" s="43" t="s">
        <v>86</v>
      </c>
      <c r="F4" s="44" t="s">
        <v>87</v>
      </c>
      <c r="G4" s="45" t="s">
        <v>88</v>
      </c>
      <c r="H4" s="45" t="s">
        <v>89</v>
      </c>
      <c r="DA4" s="47" t="str">
        <f>+DA3</f>
        <v>Bandhan Bank</v>
      </c>
    </row>
  </sheetData>
  <sheetProtection algorithmName="SHA-512" hashValue="sTMHvJIPETaLy764r3zP/01nMJy1Vmrj14Vh/HsTJbapyINl5kxguzekqPxUDsT/WlM/IBQzzUBOaMewg09V/A==" saltValue="LKv6AU2X8r9In3Bi35bfz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 DH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248" priority="10" operator="equal">
      <formula>#N/A</formula>
    </cfRule>
  </conditionalFormatting>
  <conditionalFormatting sqref="H1">
    <cfRule type="cellIs" dxfId="247" priority="9" operator="equal">
      <formula>#N/A</formula>
    </cfRule>
  </conditionalFormatting>
  <conditionalFormatting sqref="E1">
    <cfRule type="cellIs" dxfId="246" priority="8" operator="equal">
      <formula>#N/A</formula>
    </cfRule>
  </conditionalFormatting>
  <conditionalFormatting sqref="I1">
    <cfRule type="containsText" dxfId="245" priority="6" operator="containsText" text="All Data Import Successfully">
      <formula>NOT(ISERROR(SEARCH("All Data Import Successfully",I1)))</formula>
    </cfRule>
    <cfRule type="containsText" dxfId="244" priority="7" operator="containsText" text="Difference Entry">
      <formula>NOT(ISERROR(SEARCH("Difference Entry",I1)))</formula>
    </cfRule>
  </conditionalFormatting>
  <conditionalFormatting sqref="DG2">
    <cfRule type="cellIs" dxfId="243" priority="5" operator="equal">
      <formula>#N/A</formula>
    </cfRule>
  </conditionalFormatting>
  <conditionalFormatting sqref="DH2:DI2">
    <cfRule type="cellIs" dxfId="242" priority="4" operator="equal">
      <formula>#N/A</formula>
    </cfRule>
  </conditionalFormatting>
  <conditionalFormatting sqref="E2:G2">
    <cfRule type="cellIs" dxfId="241" priority="3" operator="equal">
      <formula>#N/A</formula>
    </cfRule>
  </conditionalFormatting>
  <conditionalFormatting sqref="H2">
    <cfRule type="cellIs" dxfId="240" priority="2" operator="equal">
      <formula>#N/A</formula>
    </cfRule>
  </conditionalFormatting>
  <conditionalFormatting sqref="I2">
    <cfRule type="cellIs" dxfId="239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0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06" width="24.7109375" style="6" customWidth="1"/>
    <col min="107" max="107" width="28.28515625" style="6" customWidth="1"/>
    <col min="108" max="115" width="24.7109375" style="6" customWidth="1"/>
    <col min="116" max="16384" width="9.140625" style="6"/>
  </cols>
  <sheetData>
    <row r="1" spans="1:130" ht="45" customHeight="1">
      <c r="A1" s="107"/>
      <c r="B1" s="107"/>
      <c r="C1" s="107"/>
      <c r="D1" s="107"/>
      <c r="E1" s="96" t="s">
        <v>0</v>
      </c>
      <c r="F1" s="97" t="s">
        <v>1</v>
      </c>
      <c r="G1" s="98" t="s">
        <v>2</v>
      </c>
      <c r="H1" s="99" t="s">
        <v>3</v>
      </c>
      <c r="I1" s="100" t="s">
        <v>4</v>
      </c>
      <c r="J1" s="101" t="s">
        <v>6</v>
      </c>
      <c r="K1" s="101" t="s">
        <v>6</v>
      </c>
      <c r="L1" s="101" t="s">
        <v>6</v>
      </c>
      <c r="M1" s="101" t="s">
        <v>6</v>
      </c>
      <c r="N1" s="101" t="s">
        <v>6</v>
      </c>
      <c r="O1" s="101" t="s">
        <v>6</v>
      </c>
      <c r="P1" s="101" t="s">
        <v>6</v>
      </c>
      <c r="Q1" s="101" t="s">
        <v>6</v>
      </c>
      <c r="R1" s="101" t="s">
        <v>6</v>
      </c>
      <c r="S1" s="102" t="s">
        <v>187</v>
      </c>
      <c r="T1" s="102">
        <v>8</v>
      </c>
      <c r="U1" s="102" t="s">
        <v>173</v>
      </c>
      <c r="V1" s="102" t="s">
        <v>174</v>
      </c>
      <c r="W1" s="102" t="s">
        <v>169</v>
      </c>
      <c r="X1" s="109" t="s">
        <v>6</v>
      </c>
      <c r="Y1" s="109">
        <v>1</v>
      </c>
      <c r="Z1" s="102">
        <v>0</v>
      </c>
      <c r="AH1" s="7"/>
      <c r="AL1" s="7"/>
      <c r="BZ1" s="8"/>
      <c r="DA1" s="37"/>
      <c r="DC1" s="37"/>
      <c r="DE1" s="37"/>
      <c r="DG1" s="37"/>
      <c r="DI1" s="37"/>
    </row>
    <row r="2" spans="1:130" ht="15.75">
      <c r="A2" s="103" t="s">
        <v>5</v>
      </c>
      <c r="B2" s="103" t="s">
        <v>6</v>
      </c>
      <c r="C2" s="103"/>
      <c r="D2" s="103" t="s">
        <v>172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77</v>
      </c>
      <c r="B3" s="18"/>
      <c r="C3" s="17"/>
      <c r="D3" s="17" t="s">
        <v>188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Indian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IF(F3=" ",VALUE("0"),VALUE(SUBSTITUTE((F3),",","")))</f>
        <v>#VALUE!</v>
      </c>
      <c r="DE3" s="26" t="e">
        <f>IF(G3=" ",VALUE("0"),VALUE(SUBSTITUTE((G3),",","")))</f>
        <v>#VALUE!</v>
      </c>
      <c r="DF3" s="26" t="e">
        <f>IF(H3=" ","",VALUE(SUBSTITUTE((VALUE(LEFT(H3,LEN(H3)-2))),",","")))</f>
        <v>#VALUE!</v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42">
        <f>+VALUE(B3)</f>
        <v>0</v>
      </c>
      <c r="DI3" s="28" t="e">
        <f>+IF(DE3=0,"Suspance Payment","Suspance Receipt")</f>
        <v>#VALUE!</v>
      </c>
      <c r="DJ3" s="39" t="str">
        <f>+D3</f>
        <v>C:\Users\ADITYA\Desktop\Ecomm\Bank Statement\indian 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16" t="s">
        <v>18</v>
      </c>
      <c r="B4" s="116" t="s">
        <v>72</v>
      </c>
      <c r="C4" s="116" t="s">
        <v>73</v>
      </c>
      <c r="D4" s="116" t="s">
        <v>19</v>
      </c>
      <c r="E4" s="116" t="s">
        <v>74</v>
      </c>
      <c r="F4" s="116" t="s">
        <v>75</v>
      </c>
      <c r="G4" s="116" t="s">
        <v>76</v>
      </c>
      <c r="H4" s="116" t="s">
        <v>11</v>
      </c>
      <c r="DA4" s="38" t="str">
        <f>+DA3</f>
        <v>Indian Bank</v>
      </c>
    </row>
  </sheetData>
  <sheetProtection algorithmName="SHA-512" hashValue="hDjz9skR9sDIs47Ub1zA9uZw1n0ktBHPufLqNFGAb0IR+IyFEliwW1jLGP7YWpljbDjKKybvAU33Q3+bjYJfbA==" saltValue="bh/r5xV/5tFyI0orWfW8C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238" priority="18" operator="equal">
      <formula>#N/A</formula>
    </cfRule>
  </conditionalFormatting>
  <conditionalFormatting sqref="DG2">
    <cfRule type="cellIs" dxfId="237" priority="13" operator="equal">
      <formula>#N/A</formula>
    </cfRule>
  </conditionalFormatting>
  <conditionalFormatting sqref="DH2:DI2">
    <cfRule type="cellIs" dxfId="236" priority="12" operator="equal">
      <formula>#N/A</formula>
    </cfRule>
  </conditionalFormatting>
  <conditionalFormatting sqref="I1:I2">
    <cfRule type="cellIs" dxfId="235" priority="8" operator="equal">
      <formula>#N/A</formula>
    </cfRule>
  </conditionalFormatting>
  <conditionalFormatting sqref="H1">
    <cfRule type="cellIs" dxfId="234" priority="7" operator="equal">
      <formula>#N/A</formula>
    </cfRule>
  </conditionalFormatting>
  <conditionalFormatting sqref="E1">
    <cfRule type="cellIs" dxfId="233" priority="6" operator="equal">
      <formula>#N/A</formula>
    </cfRule>
  </conditionalFormatting>
  <conditionalFormatting sqref="I1">
    <cfRule type="containsText" dxfId="232" priority="4" operator="containsText" text="All Data Import Successfully">
      <formula>NOT(ISERROR(SEARCH("All Data Import Successfully",I1)))</formula>
    </cfRule>
    <cfRule type="containsText" dxfId="231" priority="5" operator="containsText" text="Difference Entry">
      <formula>NOT(ISERROR(SEARCH("Difference Entry",I1)))</formula>
    </cfRule>
  </conditionalFormatting>
  <conditionalFormatting sqref="E2:G2">
    <cfRule type="cellIs" dxfId="230" priority="3" operator="equal">
      <formula>#N/A</formula>
    </cfRule>
  </conditionalFormatting>
  <conditionalFormatting sqref="H2">
    <cfRule type="cellIs" dxfId="229" priority="2" operator="equal">
      <formula>#N/A</formula>
    </cfRule>
  </conditionalFormatting>
  <conditionalFormatting sqref="I2">
    <cfRule type="cellIs" dxfId="22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1"/>
  <dimension ref="A1:DZ4"/>
  <sheetViews>
    <sheetView showRuler="0" workbookViewId="0">
      <selection activeCell="A5" sqref="A5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7"/>
      <c r="B1" s="107"/>
      <c r="C1" s="107"/>
      <c r="D1" s="107"/>
      <c r="E1" s="96" t="s">
        <v>0</v>
      </c>
      <c r="F1" s="97" t="s">
        <v>1</v>
      </c>
      <c r="G1" s="98" t="s">
        <v>2</v>
      </c>
      <c r="H1" s="99" t="s">
        <v>3</v>
      </c>
      <c r="I1" s="100" t="s">
        <v>4</v>
      </c>
      <c r="J1" s="101" t="s">
        <v>6</v>
      </c>
      <c r="K1" s="101" t="s">
        <v>6</v>
      </c>
      <c r="L1" s="101" t="s">
        <v>6</v>
      </c>
      <c r="M1" s="101" t="s">
        <v>6</v>
      </c>
      <c r="N1" s="101" t="s">
        <v>6</v>
      </c>
      <c r="O1" s="101" t="s">
        <v>6</v>
      </c>
      <c r="P1" s="101" t="s">
        <v>6</v>
      </c>
      <c r="Q1" s="101" t="s">
        <v>6</v>
      </c>
      <c r="R1" s="101" t="s">
        <v>6</v>
      </c>
      <c r="S1" s="102" t="s">
        <v>205</v>
      </c>
      <c r="T1" s="102">
        <v>7</v>
      </c>
      <c r="U1" s="102" t="s">
        <v>182</v>
      </c>
      <c r="V1" s="102" t="s">
        <v>173</v>
      </c>
      <c r="W1" s="102" t="s">
        <v>174</v>
      </c>
      <c r="X1" s="109" t="s">
        <v>6</v>
      </c>
      <c r="Y1" s="109">
        <v>3</v>
      </c>
      <c r="Z1" s="10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03" t="s">
        <v>5</v>
      </c>
      <c r="B2" s="103" t="s">
        <v>6</v>
      </c>
      <c r="C2" s="103"/>
      <c r="D2" s="103" t="s">
        <v>172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123</v>
      </c>
      <c r="B3" s="59"/>
      <c r="C3" s="58"/>
      <c r="D3" s="58" t="s">
        <v>207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IDFC First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57" t="e">
        <f>IF(G3=" ","",VALUE(SUBSTITUTE((G3),",","")))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10" t="s">
        <v>17</v>
      </c>
      <c r="B4" s="111" t="s">
        <v>18</v>
      </c>
      <c r="C4" s="111" t="s">
        <v>19</v>
      </c>
      <c r="D4" s="111" t="s">
        <v>20</v>
      </c>
      <c r="E4" s="111" t="s">
        <v>21</v>
      </c>
      <c r="F4" s="111" t="s">
        <v>22</v>
      </c>
      <c r="G4" s="112" t="s">
        <v>11</v>
      </c>
      <c r="DA4" s="38" t="str">
        <f>+DA3</f>
        <v>IDFC First</v>
      </c>
      <c r="DF4" s="26"/>
    </row>
  </sheetData>
  <sheetProtection algorithmName="SHA-512" hashValue="hKP8tDVFK8+094x0EoU3sIptghpSZpvfnoirEQnH1GXuCwIGZc0EU+9wjwo5IeKuev4mWzxgQNuZR70OxwMEZg==" saltValue="X4mWEW6bYB4V/vSEgmQ9Y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E3 DF4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F3" name="Range1_1_8_1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227" priority="18" operator="equal">
      <formula>#N/A</formula>
    </cfRule>
  </conditionalFormatting>
  <conditionalFormatting sqref="DG2">
    <cfRule type="cellIs" dxfId="226" priority="13" operator="equal">
      <formula>#N/A</formula>
    </cfRule>
  </conditionalFormatting>
  <conditionalFormatting sqref="DH2:DI2">
    <cfRule type="cellIs" dxfId="225" priority="12" operator="equal">
      <formula>#N/A</formula>
    </cfRule>
  </conditionalFormatting>
  <conditionalFormatting sqref="I1:I2">
    <cfRule type="cellIs" dxfId="224" priority="8" operator="equal">
      <formula>#N/A</formula>
    </cfRule>
  </conditionalFormatting>
  <conditionalFormatting sqref="H1">
    <cfRule type="cellIs" dxfId="223" priority="7" operator="equal">
      <formula>#N/A</formula>
    </cfRule>
  </conditionalFormatting>
  <conditionalFormatting sqref="E1">
    <cfRule type="cellIs" dxfId="222" priority="6" operator="equal">
      <formula>#N/A</formula>
    </cfRule>
  </conditionalFormatting>
  <conditionalFormatting sqref="I1">
    <cfRule type="containsText" dxfId="221" priority="4" operator="containsText" text="All Data Import Successfully">
      <formula>NOT(ISERROR(SEARCH("All Data Import Successfully",I1)))</formula>
    </cfRule>
    <cfRule type="containsText" dxfId="220" priority="5" operator="containsText" text="Difference Entry">
      <formula>NOT(ISERROR(SEARCH("Difference Entry",I1)))</formula>
    </cfRule>
  </conditionalFormatting>
  <conditionalFormatting sqref="E2:G2">
    <cfRule type="cellIs" dxfId="219" priority="3" operator="equal">
      <formula>#N/A</formula>
    </cfRule>
  </conditionalFormatting>
  <conditionalFormatting sqref="H2">
    <cfRule type="cellIs" dxfId="218" priority="2" operator="equal">
      <formula>#N/A</formula>
    </cfRule>
  </conditionalFormatting>
  <conditionalFormatting sqref="I2">
    <cfRule type="cellIs" dxfId="21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7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06" width="24.7109375" style="6" customWidth="1"/>
    <col min="107" max="107" width="28.28515625" style="6" customWidth="1"/>
    <col min="108" max="115" width="24.7109375" style="6" customWidth="1"/>
    <col min="116" max="16384" width="9.140625" style="6"/>
  </cols>
  <sheetData>
    <row r="1" spans="1:130" ht="45" customHeight="1">
      <c r="A1" s="107"/>
      <c r="B1" s="107"/>
      <c r="C1" s="107"/>
      <c r="D1" s="107"/>
      <c r="E1" s="96" t="s">
        <v>0</v>
      </c>
      <c r="F1" s="97" t="s">
        <v>1</v>
      </c>
      <c r="G1" s="98" t="s">
        <v>2</v>
      </c>
      <c r="H1" s="99" t="s">
        <v>3</v>
      </c>
      <c r="I1" s="100" t="s">
        <v>4</v>
      </c>
      <c r="J1" s="101" t="s">
        <v>6</v>
      </c>
      <c r="K1" s="101" t="s">
        <v>6</v>
      </c>
      <c r="L1" s="101" t="s">
        <v>6</v>
      </c>
      <c r="M1" s="101" t="s">
        <v>6</v>
      </c>
      <c r="N1" s="101" t="s">
        <v>6</v>
      </c>
      <c r="O1" s="101" t="s">
        <v>6</v>
      </c>
      <c r="P1" s="101" t="s">
        <v>6</v>
      </c>
      <c r="Q1" s="101" t="s">
        <v>6</v>
      </c>
      <c r="R1" s="101" t="s">
        <v>6</v>
      </c>
      <c r="S1" s="102" t="s">
        <v>208</v>
      </c>
      <c r="T1" s="102">
        <v>8</v>
      </c>
      <c r="U1" s="102" t="s">
        <v>174</v>
      </c>
      <c r="V1" s="102" t="s">
        <v>174</v>
      </c>
      <c r="W1" s="102" t="s">
        <v>170</v>
      </c>
      <c r="X1" s="109" t="s">
        <v>6</v>
      </c>
      <c r="Y1" s="109" t="s">
        <v>6</v>
      </c>
      <c r="Z1" s="102">
        <v>0</v>
      </c>
      <c r="AH1" s="7"/>
      <c r="AL1" s="7"/>
      <c r="BZ1" s="8"/>
      <c r="DA1" s="37"/>
      <c r="DC1" s="37"/>
      <c r="DE1" s="37"/>
      <c r="DG1" s="37"/>
      <c r="DI1" s="37"/>
    </row>
    <row r="2" spans="1:130" ht="15.75">
      <c r="A2" s="103" t="s">
        <v>5</v>
      </c>
      <c r="B2" s="103" t="s">
        <v>6</v>
      </c>
      <c r="C2" s="103"/>
      <c r="D2" s="103" t="s">
        <v>172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116</v>
      </c>
      <c r="B3" s="59"/>
      <c r="C3" s="58"/>
      <c r="D3" s="58" t="s">
        <v>209</v>
      </c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RBL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IF(H3="","",VALUE(SUBSTITUTE((H3),",","")))</f>
        <v/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42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30" t="s">
        <v>25</v>
      </c>
      <c r="B4" s="314" t="s">
        <v>117</v>
      </c>
      <c r="C4" s="314"/>
      <c r="D4" s="131" t="s">
        <v>118</v>
      </c>
      <c r="E4" s="131" t="s">
        <v>18</v>
      </c>
      <c r="F4" s="132" t="s">
        <v>119</v>
      </c>
      <c r="G4" s="132" t="s">
        <v>120</v>
      </c>
      <c r="H4" s="133" t="s">
        <v>121</v>
      </c>
      <c r="DA4" s="38" t="str">
        <f>+DA3</f>
        <v>RBL Bank A/c.</v>
      </c>
    </row>
  </sheetData>
  <sheetProtection algorithmName="SHA-512" hashValue="Iv23BmRkeVSosz8c2Ou3p/jLyuxopF2p/fKsJVOOOqFmUhHxsGSKMQL8O8rJZmJIhP6rNqjQtycZQbAY/Ca/XA==" saltValue="mREw/x6jCMaYH5gQLtLgK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" name="Range1_5"/>
    <protectedRange algorithmName="SHA-512" hashValue="FeHjunJeBmEIe1Z+x4LSLD0xeXKoeHqEB4mLNgYC3pUDxBFAiT2e1scH7F48tQXpPGOh+9Z9iw2K5jb0kUxFkQ==" saltValue="Arxg+XESKZddo6Y2q+NDbg==" spinCount="100000" sqref="DD3:DE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F3" name="Range1_1_4"/>
  </protectedRanges>
  <mergeCells count="1">
    <mergeCell ref="B4:C4"/>
  </mergeCells>
  <conditionalFormatting sqref="E3">
    <cfRule type="cellIs" dxfId="216" priority="18" operator="equal">
      <formula>#N/A</formula>
    </cfRule>
  </conditionalFormatting>
  <conditionalFormatting sqref="DG2">
    <cfRule type="cellIs" dxfId="215" priority="13" operator="equal">
      <formula>#N/A</formula>
    </cfRule>
  </conditionalFormatting>
  <conditionalFormatting sqref="DH2:DI2">
    <cfRule type="cellIs" dxfId="214" priority="12" operator="equal">
      <formula>#N/A</formula>
    </cfRule>
  </conditionalFormatting>
  <conditionalFormatting sqref="I1:I2">
    <cfRule type="cellIs" dxfId="213" priority="8" operator="equal">
      <formula>#N/A</formula>
    </cfRule>
  </conditionalFormatting>
  <conditionalFormatting sqref="H1">
    <cfRule type="cellIs" dxfId="212" priority="7" operator="equal">
      <formula>#N/A</formula>
    </cfRule>
  </conditionalFormatting>
  <conditionalFormatting sqref="E1">
    <cfRule type="cellIs" dxfId="211" priority="6" operator="equal">
      <formula>#N/A</formula>
    </cfRule>
  </conditionalFormatting>
  <conditionalFormatting sqref="I1">
    <cfRule type="containsText" dxfId="210" priority="4" operator="containsText" text="All Data Import Successfully">
      <formula>NOT(ISERROR(SEARCH("All Data Import Successfully",I1)))</formula>
    </cfRule>
    <cfRule type="containsText" dxfId="209" priority="5" operator="containsText" text="Difference Entry">
      <formula>NOT(ISERROR(SEARCH("Difference Entry",I1)))</formula>
    </cfRule>
  </conditionalFormatting>
  <conditionalFormatting sqref="E2:G2">
    <cfRule type="cellIs" dxfId="208" priority="3" operator="equal">
      <formula>#N/A</formula>
    </cfRule>
  </conditionalFormatting>
  <conditionalFormatting sqref="H2">
    <cfRule type="cellIs" dxfId="207" priority="2" operator="equal">
      <formula>#N/A</formula>
    </cfRule>
  </conditionalFormatting>
  <conditionalFormatting sqref="I2">
    <cfRule type="cellIs" dxfId="206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46"/>
  <dimension ref="A1:DZ4"/>
  <sheetViews>
    <sheetView workbookViewId="0">
      <selection activeCell="D26" sqref="D26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7"/>
      <c r="B1" s="107"/>
      <c r="C1" s="107"/>
      <c r="D1" s="107"/>
      <c r="E1" s="96" t="s">
        <v>0</v>
      </c>
      <c r="F1" s="97" t="s">
        <v>1</v>
      </c>
      <c r="G1" s="98" t="s">
        <v>2</v>
      </c>
      <c r="H1" s="99" t="s">
        <v>3</v>
      </c>
      <c r="I1" s="100" t="s">
        <v>4</v>
      </c>
      <c r="J1" s="101" t="s">
        <v>6</v>
      </c>
      <c r="K1" s="101" t="s">
        <v>6</v>
      </c>
      <c r="L1" s="101" t="s">
        <v>6</v>
      </c>
      <c r="M1" s="101" t="s">
        <v>6</v>
      </c>
      <c r="N1" s="101" t="s">
        <v>6</v>
      </c>
      <c r="O1" s="101" t="s">
        <v>6</v>
      </c>
      <c r="P1" s="101" t="s">
        <v>6</v>
      </c>
      <c r="Q1" s="101" t="s">
        <v>6</v>
      </c>
      <c r="R1" s="101" t="s">
        <v>6</v>
      </c>
      <c r="S1" s="102" t="s">
        <v>291</v>
      </c>
      <c r="T1" s="102">
        <v>10</v>
      </c>
      <c r="U1" s="102" t="s">
        <v>169</v>
      </c>
      <c r="V1" s="102" t="s">
        <v>170</v>
      </c>
      <c r="W1" s="102" t="s">
        <v>171</v>
      </c>
      <c r="X1" s="109" t="s">
        <v>6</v>
      </c>
      <c r="Y1" s="109" t="s">
        <v>6</v>
      </c>
      <c r="Z1" s="10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03" t="s">
        <v>5</v>
      </c>
      <c r="B2" s="103" t="s">
        <v>6</v>
      </c>
      <c r="C2" s="103"/>
      <c r="D2" s="103" t="s">
        <v>172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142</v>
      </c>
      <c r="B3" s="18"/>
      <c r="C3" s="17"/>
      <c r="D3" s="17" t="s">
        <v>292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Union Bank of India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IF(G3="",VALUE("0"),VALUE(SUBSTITUTE((G3),",","")))</f>
        <v>0</v>
      </c>
      <c r="DE3" s="26">
        <f>IF(H3="",VALUE("0"),VALUE(SUBSTITUTE((H3),",","")))</f>
        <v>0</v>
      </c>
      <c r="DF3" s="26" t="str">
        <f>IF(I3="","",VALUE(SUBSTITUTE((I3),",","")))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207" t="s">
        <v>32</v>
      </c>
      <c r="B4" s="207" t="s">
        <v>293</v>
      </c>
      <c r="C4" s="315" t="s">
        <v>125</v>
      </c>
      <c r="D4" s="316"/>
      <c r="E4" s="207" t="s">
        <v>294</v>
      </c>
      <c r="F4" s="207" t="s">
        <v>295</v>
      </c>
      <c r="G4" s="207" t="s">
        <v>68</v>
      </c>
      <c r="H4" s="207" t="s">
        <v>69</v>
      </c>
      <c r="I4" s="208" t="s">
        <v>11</v>
      </c>
      <c r="DA4" s="38" t="str">
        <f>+DA3</f>
        <v>Union Bank of India A/c.</v>
      </c>
    </row>
  </sheetData>
  <sheetProtection algorithmName="SHA-512" hashValue="Au9tbzYfJFZ+wCLEUw13xqQ8rib+Ga1czUk48E+Xr+HHgrQRgj819GwXBEHp2a3sDewBbGC3JP8PG7OsMFFt1A==" saltValue="F3my/PJkzQnGLuNRJ8W14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_1"/>
    <protectedRange algorithmName="SHA-512" hashValue="FeHjunJeBmEIe1Z+x4LSLD0xeXKoeHqEB4mLNgYC3pUDxBFAiT2e1scH7F48tQXpPGOh+9Z9iw2K5jb0kUxFkQ==" saltValue="Arxg+XESKZddo6Y2q+NDbg==" spinCount="100000" sqref="DD3:DF3" name="Range1_1_8_1"/>
    <protectedRange algorithmName="SHA-512" hashValue="FeHjunJeBmEIe1Z+x4LSLD0xeXKoeHqEB4mLNgYC3pUDxBFAiT2e1scH7F48tQXpPGOh+9Z9iw2K5jb0kUxFkQ==" saltValue="Arxg+XESKZddo6Y2q+NDbg==" spinCount="100000" sqref="DI3" name="Range1_2_8_1"/>
    <protectedRange algorithmName="SHA-512" hashValue="FeHjunJeBmEIe1Z+x4LSLD0xeXKoeHqEB4mLNgYC3pUDxBFAiT2e1scH7F48tQXpPGOh+9Z9iw2K5jb0kUxFkQ==" saltValue="Arxg+XESKZddo6Y2q+NDbg==" spinCount="100000" sqref="DK3" name="Range1_3_7_1"/>
    <protectedRange algorithmName="SHA-512" hashValue="FeHjunJeBmEIe1Z+x4LSLD0xeXKoeHqEB4mLNgYC3pUDxBFAiT2e1scH7F48tQXpPGOh+9Z9iw2K5jb0kUxFkQ==" saltValue="Arxg+XESKZddo6Y2q+NDbg==" spinCount="100000" sqref="DB3" name="Range1_4_1_1"/>
  </protectedRanges>
  <mergeCells count="1">
    <mergeCell ref="C4:D4"/>
  </mergeCells>
  <conditionalFormatting sqref="DG2">
    <cfRule type="cellIs" dxfId="205" priority="11" operator="equal">
      <formula>#N/A</formula>
    </cfRule>
  </conditionalFormatting>
  <conditionalFormatting sqref="DH2:DI2">
    <cfRule type="cellIs" dxfId="204" priority="10" operator="equal">
      <formula>#N/A</formula>
    </cfRule>
  </conditionalFormatting>
  <conditionalFormatting sqref="I1:I2">
    <cfRule type="cellIs" dxfId="203" priority="9" operator="equal">
      <formula>#N/A</formula>
    </cfRule>
  </conditionalFormatting>
  <conditionalFormatting sqref="H1">
    <cfRule type="cellIs" dxfId="202" priority="8" operator="equal">
      <formula>#N/A</formula>
    </cfRule>
  </conditionalFormatting>
  <conditionalFormatting sqref="E1">
    <cfRule type="cellIs" dxfId="201" priority="7" operator="equal">
      <formula>#N/A</formula>
    </cfRule>
  </conditionalFormatting>
  <conditionalFormatting sqref="I1">
    <cfRule type="containsText" dxfId="200" priority="5" operator="containsText" text="All Data Import Successfully">
      <formula>NOT(ISERROR(SEARCH("All Data Import Successfully",I1)))</formula>
    </cfRule>
    <cfRule type="containsText" dxfId="199" priority="6" operator="containsText" text="Difference Entry">
      <formula>NOT(ISERROR(SEARCH("Difference Entry",I1)))</formula>
    </cfRule>
  </conditionalFormatting>
  <conditionalFormatting sqref="E2:G2">
    <cfRule type="cellIs" dxfId="198" priority="4" operator="equal">
      <formula>#N/A</formula>
    </cfRule>
  </conditionalFormatting>
  <conditionalFormatting sqref="H2">
    <cfRule type="cellIs" dxfId="197" priority="3" operator="equal">
      <formula>#N/A</formula>
    </cfRule>
  </conditionalFormatting>
  <conditionalFormatting sqref="I2">
    <cfRule type="cellIs" dxfId="196" priority="2" operator="equal">
      <formula>0</formula>
    </cfRule>
  </conditionalFormatting>
  <conditionalFormatting sqref="E3">
    <cfRule type="cellIs" dxfId="195" priority="1" operator="equal">
      <formula>#N/A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"/>
  <dimension ref="A1:DZ4"/>
  <sheetViews>
    <sheetView workbookViewId="0">
      <selection activeCell="A7" sqref="A7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7"/>
      <c r="B1" s="107"/>
      <c r="C1" s="107"/>
      <c r="D1" s="107"/>
      <c r="E1" s="96" t="s">
        <v>0</v>
      </c>
      <c r="F1" s="97" t="s">
        <v>1</v>
      </c>
      <c r="G1" s="98" t="s">
        <v>2</v>
      </c>
      <c r="H1" s="99" t="s">
        <v>3</v>
      </c>
      <c r="I1" s="100" t="s">
        <v>4</v>
      </c>
      <c r="J1" s="101" t="s">
        <v>6</v>
      </c>
      <c r="K1" s="101" t="s">
        <v>6</v>
      </c>
      <c r="L1" s="101" t="s">
        <v>6</v>
      </c>
      <c r="M1" s="101" t="s">
        <v>6</v>
      </c>
      <c r="N1" s="101" t="s">
        <v>6</v>
      </c>
      <c r="O1" s="101" t="s">
        <v>6</v>
      </c>
      <c r="P1" s="101" t="s">
        <v>6</v>
      </c>
      <c r="Q1" s="101" t="s">
        <v>6</v>
      </c>
      <c r="R1" s="101" t="s">
        <v>6</v>
      </c>
      <c r="S1" s="102" t="s">
        <v>201</v>
      </c>
      <c r="T1" s="102">
        <v>7</v>
      </c>
      <c r="U1" s="102" t="s">
        <v>182</v>
      </c>
      <c r="V1" s="102" t="s">
        <v>173</v>
      </c>
      <c r="W1" s="102" t="s">
        <v>174</v>
      </c>
      <c r="X1" s="109" t="s">
        <v>6</v>
      </c>
      <c r="Y1" s="109" t="s">
        <v>6</v>
      </c>
      <c r="Z1" s="10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03" t="s">
        <v>5</v>
      </c>
      <c r="B2" s="103" t="s">
        <v>6</v>
      </c>
      <c r="C2" s="103"/>
      <c r="D2" s="103" t="s">
        <v>172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63</v>
      </c>
      <c r="B3" s="59"/>
      <c r="C3" s="58"/>
      <c r="D3" s="58" t="s">
        <v>2796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SBI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IF(E3=" ",VALUE("0"),VALUE(SUBSTITUTE((E3),",","")))</f>
        <v>#VALUE!</v>
      </c>
      <c r="DE3" s="26" t="e">
        <f>IF(F3=" ",VALUE("0"),VALUE(SUBSTITUTE((F3),",","")))</f>
        <v>#VALUE!</v>
      </c>
      <c r="DF3" s="26" t="e">
        <f>IF(G3=" ","",VALUE(SUBSTITUTE((G3),",","")))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29" t="str">
        <f>+TRIM(C3)</f>
        <v/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10" t="s">
        <v>17</v>
      </c>
      <c r="B4" s="111" t="s">
        <v>18</v>
      </c>
      <c r="C4" s="111" t="s">
        <v>19</v>
      </c>
      <c r="D4" s="111" t="s">
        <v>20</v>
      </c>
      <c r="E4" s="111" t="s">
        <v>21</v>
      </c>
      <c r="F4" s="111" t="s">
        <v>22</v>
      </c>
      <c r="G4" s="112" t="s">
        <v>11</v>
      </c>
      <c r="DA4" s="38" t="str">
        <f>+DA3</f>
        <v>SBI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194" priority="18" operator="equal">
      <formula>#N/A</formula>
    </cfRule>
  </conditionalFormatting>
  <conditionalFormatting sqref="DG2">
    <cfRule type="cellIs" dxfId="193" priority="13" operator="equal">
      <formula>#N/A</formula>
    </cfRule>
  </conditionalFormatting>
  <conditionalFormatting sqref="DH2:DI2">
    <cfRule type="cellIs" dxfId="192" priority="12" operator="equal">
      <formula>#N/A</formula>
    </cfRule>
  </conditionalFormatting>
  <conditionalFormatting sqref="I1:I2">
    <cfRule type="cellIs" dxfId="191" priority="8" operator="equal">
      <formula>#N/A</formula>
    </cfRule>
  </conditionalFormatting>
  <conditionalFormatting sqref="H1">
    <cfRule type="cellIs" dxfId="190" priority="7" operator="equal">
      <formula>#N/A</formula>
    </cfRule>
  </conditionalFormatting>
  <conditionalFormatting sqref="E1">
    <cfRule type="cellIs" dxfId="189" priority="6" operator="equal">
      <formula>#N/A</formula>
    </cfRule>
  </conditionalFormatting>
  <conditionalFormatting sqref="I1">
    <cfRule type="containsText" dxfId="188" priority="4" operator="containsText" text="All Data Import Successfully">
      <formula>NOT(ISERROR(SEARCH("All Data Import Successfully",I1)))</formula>
    </cfRule>
    <cfRule type="containsText" dxfId="187" priority="5" operator="containsText" text="Difference Entry">
      <formula>NOT(ISERROR(SEARCH("Difference Entry",I1)))</formula>
    </cfRule>
  </conditionalFormatting>
  <conditionalFormatting sqref="E2:G2">
    <cfRule type="cellIs" dxfId="186" priority="3" operator="equal">
      <formula>#N/A</formula>
    </cfRule>
  </conditionalFormatting>
  <conditionalFormatting sqref="H2">
    <cfRule type="cellIs" dxfId="185" priority="2" operator="equal">
      <formula>#N/A</formula>
    </cfRule>
  </conditionalFormatting>
  <conditionalFormatting sqref="I2">
    <cfRule type="cellIs" dxfId="18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6"/>
  <dimension ref="A1:DZ4"/>
  <sheetViews>
    <sheetView showRuler="0" workbookViewId="0">
      <selection activeCell="D30" sqref="D30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7"/>
      <c r="B1" s="107"/>
      <c r="C1" s="107"/>
      <c r="D1" s="107"/>
      <c r="E1" s="96" t="s">
        <v>0</v>
      </c>
      <c r="F1" s="97" t="s">
        <v>1</v>
      </c>
      <c r="G1" s="98" t="s">
        <v>2</v>
      </c>
      <c r="H1" s="99" t="s">
        <v>3</v>
      </c>
      <c r="I1" s="100" t="s">
        <v>4</v>
      </c>
      <c r="J1" s="101" t="s">
        <v>6</v>
      </c>
      <c r="K1" s="101" t="s">
        <v>6</v>
      </c>
      <c r="L1" s="101" t="s">
        <v>6</v>
      </c>
      <c r="M1" s="101" t="s">
        <v>6</v>
      </c>
      <c r="N1" s="101" t="s">
        <v>6</v>
      </c>
      <c r="O1" s="101" t="s">
        <v>6</v>
      </c>
      <c r="P1" s="101" t="s">
        <v>6</v>
      </c>
      <c r="Q1" s="101" t="s">
        <v>6</v>
      </c>
      <c r="R1" s="101" t="s">
        <v>6</v>
      </c>
      <c r="S1" s="102" t="s">
        <v>210</v>
      </c>
      <c r="T1" s="102">
        <v>7</v>
      </c>
      <c r="U1" s="102" t="s">
        <v>173</v>
      </c>
      <c r="V1" s="102" t="s">
        <v>173</v>
      </c>
      <c r="W1" s="102" t="s">
        <v>174</v>
      </c>
      <c r="X1" s="109" t="s">
        <v>6</v>
      </c>
      <c r="Y1" s="109" t="s">
        <v>6</v>
      </c>
      <c r="Z1" s="10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03" t="s">
        <v>5</v>
      </c>
      <c r="B2" s="103" t="s">
        <v>6</v>
      </c>
      <c r="C2" s="103"/>
      <c r="D2" s="103" t="s">
        <v>172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103</v>
      </c>
      <c r="B3" s="59"/>
      <c r="C3" s="58"/>
      <c r="D3" s="58" t="s">
        <v>211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Bank of India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 t="e">
        <f>IF(E3="CR",VALUE("0"),VALUE(SUBSTITUTE((F3),",","")))</f>
        <v>#VALUE!</v>
      </c>
      <c r="DE3" s="26" t="e">
        <f>IF(E3="DR",VALUE("0"),VALUE(SUBSTITUTE((F3),",","")))</f>
        <v>#VALUE!</v>
      </c>
      <c r="DF3" s="26" t="str">
        <f>IF(G3="","",VALUE(SUBSTITUTE((G3),",","")))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>
        <f>VALUE(B3)</f>
        <v>0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34" t="s">
        <v>104</v>
      </c>
      <c r="B4" s="135" t="s">
        <v>17</v>
      </c>
      <c r="C4" s="135" t="s">
        <v>19</v>
      </c>
      <c r="D4" s="135" t="s">
        <v>105</v>
      </c>
      <c r="E4" s="135" t="s">
        <v>106</v>
      </c>
      <c r="F4" s="135" t="s">
        <v>107</v>
      </c>
      <c r="G4" s="136" t="s">
        <v>108</v>
      </c>
      <c r="DA4" s="38" t="str">
        <f>+DA3</f>
        <v>Bank of India A/c.</v>
      </c>
      <c r="DD4" s="53"/>
      <c r="DE4" s="53"/>
    </row>
  </sheetData>
  <sheetProtection algorithmName="SHA-512" hashValue="NwmnLT0bY2A9yMs9pDZl3nDewMw3VRVmlcbtpEko6aEAdvwr/fZBNU/TsEZWZGPnJ5mV02Or0WlUVUVM2wVFOw==" saltValue="rOG/QyD7l/X3pOOH0SLR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 DD4:DE4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183" priority="18" operator="equal">
      <formula>#N/A</formula>
    </cfRule>
  </conditionalFormatting>
  <conditionalFormatting sqref="DG2">
    <cfRule type="cellIs" dxfId="182" priority="13" operator="equal">
      <formula>#N/A</formula>
    </cfRule>
  </conditionalFormatting>
  <conditionalFormatting sqref="DH2:DI2">
    <cfRule type="cellIs" dxfId="181" priority="12" operator="equal">
      <formula>#N/A</formula>
    </cfRule>
  </conditionalFormatting>
  <conditionalFormatting sqref="I1:I2">
    <cfRule type="cellIs" dxfId="180" priority="8" operator="equal">
      <formula>#N/A</formula>
    </cfRule>
  </conditionalFormatting>
  <conditionalFormatting sqref="H1">
    <cfRule type="cellIs" dxfId="179" priority="7" operator="equal">
      <formula>#N/A</formula>
    </cfRule>
  </conditionalFormatting>
  <conditionalFormatting sqref="E1">
    <cfRule type="cellIs" dxfId="178" priority="6" operator="equal">
      <formula>#N/A</formula>
    </cfRule>
  </conditionalFormatting>
  <conditionalFormatting sqref="I1">
    <cfRule type="containsText" dxfId="177" priority="4" operator="containsText" text="All Data Import Successfully">
      <formula>NOT(ISERROR(SEARCH("All Data Import Successfully",I1)))</formula>
    </cfRule>
    <cfRule type="containsText" dxfId="176" priority="5" operator="containsText" text="Difference Entry">
      <formula>NOT(ISERROR(SEARCH("Difference Entry",I1)))</formula>
    </cfRule>
  </conditionalFormatting>
  <conditionalFormatting sqref="E2:G2">
    <cfRule type="cellIs" dxfId="175" priority="3" operator="equal">
      <formula>#N/A</formula>
    </cfRule>
  </conditionalFormatting>
  <conditionalFormatting sqref="H2">
    <cfRule type="cellIs" dxfId="174" priority="2" operator="equal">
      <formula>#N/A</formula>
    </cfRule>
  </conditionalFormatting>
  <conditionalFormatting sqref="I2">
    <cfRule type="cellIs" dxfId="17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28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7"/>
      <c r="B1" s="107"/>
      <c r="C1" s="107"/>
      <c r="D1" s="107"/>
      <c r="E1" s="96" t="s">
        <v>0</v>
      </c>
      <c r="F1" s="97" t="s">
        <v>1</v>
      </c>
      <c r="G1" s="98" t="s">
        <v>2</v>
      </c>
      <c r="H1" s="99" t="s">
        <v>3</v>
      </c>
      <c r="I1" s="100" t="s">
        <v>4</v>
      </c>
      <c r="J1" s="101" t="s">
        <v>6</v>
      </c>
      <c r="K1" s="101" t="s">
        <v>6</v>
      </c>
      <c r="L1" s="101" t="s">
        <v>6</v>
      </c>
      <c r="M1" s="101" t="s">
        <v>6</v>
      </c>
      <c r="N1" s="101" t="s">
        <v>6</v>
      </c>
      <c r="O1" s="101" t="s">
        <v>6</v>
      </c>
      <c r="P1" s="101" t="s">
        <v>6</v>
      </c>
      <c r="Q1" s="101" t="s">
        <v>6</v>
      </c>
      <c r="R1" s="101" t="s">
        <v>6</v>
      </c>
      <c r="S1" s="102" t="s">
        <v>197</v>
      </c>
      <c r="T1" s="102">
        <v>6</v>
      </c>
      <c r="U1" s="102" t="s">
        <v>198</v>
      </c>
      <c r="V1" s="102" t="s">
        <v>182</v>
      </c>
      <c r="W1" s="102" t="s">
        <v>173</v>
      </c>
      <c r="X1" s="109" t="s">
        <v>6</v>
      </c>
      <c r="Y1" s="109" t="s">
        <v>6</v>
      </c>
      <c r="Z1" s="10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03" t="s">
        <v>5</v>
      </c>
      <c r="B2" s="103" t="s">
        <v>6</v>
      </c>
      <c r="C2" s="103"/>
      <c r="D2" s="103" t="s">
        <v>172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150</v>
      </c>
      <c r="B3" s="18"/>
      <c r="C3" s="17"/>
      <c r="D3" s="17" t="s">
        <v>199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 xml:space="preserve">UCO Bank 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 ",VALUE("0"),VALUE(SUBSTITUTE((D3),",","")))</f>
        <v>#VALUE!</v>
      </c>
      <c r="DE3" s="26" t="e">
        <f>IF(E3=" ",VALUE("0"),VALUE(SUBSTITUTE((E3),",","")))</f>
        <v>#VALUE!</v>
      </c>
      <c r="DF3" s="26" t="e">
        <f>IF(F3=" ","",VALUE(SUBSTITUTE((F3),",","")))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e">
        <f>+IF(DE3=0,"Suspance Payment","Suspance Receipt")</f>
        <v>#VALUE!</v>
      </c>
      <c r="DJ3" s="2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71" t="s">
        <v>32</v>
      </c>
      <c r="B4" s="71" t="s">
        <v>148</v>
      </c>
      <c r="C4" s="71" t="s">
        <v>149</v>
      </c>
      <c r="D4" s="71" t="s">
        <v>68</v>
      </c>
      <c r="E4" s="71" t="s">
        <v>69</v>
      </c>
      <c r="F4" s="71" t="s">
        <v>11</v>
      </c>
      <c r="DA4" s="38" t="str">
        <f>+DA3</f>
        <v xml:space="preserve">UCO Bank </v>
      </c>
    </row>
  </sheetData>
  <sheetProtection algorithmName="SHA-512" hashValue="uLunNNC2Z6cXyj4VMQRGAdf1FiRnnqPdiqoACpMb4/xbrXGf96V4s7/3kRngz3UoevRgMn8SA1Oa4kFvREQ8tw==" saltValue="3oHCOZnrOtbLO9pSbLYha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172" priority="18" operator="equal">
      <formula>#N/A</formula>
    </cfRule>
  </conditionalFormatting>
  <conditionalFormatting sqref="DG2">
    <cfRule type="cellIs" dxfId="171" priority="13" operator="equal">
      <formula>#N/A</formula>
    </cfRule>
  </conditionalFormatting>
  <conditionalFormatting sqref="DH2:DI2">
    <cfRule type="cellIs" dxfId="170" priority="12" operator="equal">
      <formula>#N/A</formula>
    </cfRule>
  </conditionalFormatting>
  <conditionalFormatting sqref="I1:I2">
    <cfRule type="cellIs" dxfId="169" priority="8" operator="equal">
      <formula>#N/A</formula>
    </cfRule>
  </conditionalFormatting>
  <conditionalFormatting sqref="H1">
    <cfRule type="cellIs" dxfId="168" priority="7" operator="equal">
      <formula>#N/A</formula>
    </cfRule>
  </conditionalFormatting>
  <conditionalFormatting sqref="E1">
    <cfRule type="cellIs" dxfId="167" priority="6" operator="equal">
      <formula>#N/A</formula>
    </cfRule>
  </conditionalFormatting>
  <conditionalFormatting sqref="I1">
    <cfRule type="containsText" dxfId="166" priority="4" operator="containsText" text="All Data Import Successfully">
      <formula>NOT(ISERROR(SEARCH("All Data Import Successfully",I1)))</formula>
    </cfRule>
    <cfRule type="containsText" dxfId="165" priority="5" operator="containsText" text="Difference Entry">
      <formula>NOT(ISERROR(SEARCH("Difference Entry",I1)))</formula>
    </cfRule>
  </conditionalFormatting>
  <conditionalFormatting sqref="E2:G2">
    <cfRule type="cellIs" dxfId="164" priority="3" operator="equal">
      <formula>#N/A</formula>
    </cfRule>
  </conditionalFormatting>
  <conditionalFormatting sqref="H2">
    <cfRule type="cellIs" dxfId="163" priority="2" operator="equal">
      <formula>#N/A</formula>
    </cfRule>
  </conditionalFormatting>
  <conditionalFormatting sqref="I2">
    <cfRule type="cellIs" dxfId="16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27"/>
  <dimension ref="A1:DZ4"/>
  <sheetViews>
    <sheetView workbookViewId="0">
      <selection activeCell="A5" sqref="A5"/>
    </sheetView>
  </sheetViews>
  <sheetFormatPr defaultRowHeight="15"/>
  <cols>
    <col min="1" max="9" width="25.42578125" style="6" customWidth="1"/>
    <col min="10" max="104" width="9.140625" style="6"/>
    <col min="105" max="111" width="24.7109375" style="6" customWidth="1"/>
    <col min="112" max="112" width="24.7109375" style="5" customWidth="1"/>
    <col min="113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5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Central Bank of India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145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Central Bank of India</v>
      </c>
      <c r="DB3" s="24">
        <f>+B3</f>
        <v>0</v>
      </c>
      <c r="DC3" s="25" t="e">
        <f>+CONCATENATE(TEXT(DB3,"D"),"",TEXT(DB3,"MM"),"","/",SUBSTITUTE(DF3,",",""),"/",DK3)</f>
        <v>#VALUE!</v>
      </c>
      <c r="DD3" s="26">
        <f>IF(F3="", 0, IFERROR(VALUE(SUBSTITUTE(F3, ",", "")), 0))</f>
        <v>0</v>
      </c>
      <c r="DE3" s="26">
        <f>IF(OR(G3="", TRIM(G3) = ""), 0, IFERROR(VALUE(SUBSTITUTE(G3, ",", "")), 0))</f>
        <v>0</v>
      </c>
      <c r="DF3" s="26" t="str">
        <f>TRIM(SUBSTITUTE(SUBSTITUTE(H3, "DR", ""), "CR", ""))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70">
        <f>+B3</f>
        <v>0</v>
      </c>
      <c r="DI3" s="28" t="str">
        <f>+IF(DE3=0,"Suspance Payment","Suspance Receipt")</f>
        <v>Suspance Payment</v>
      </c>
      <c r="DJ3" s="2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69" t="s">
        <v>72</v>
      </c>
      <c r="B4" s="69" t="s">
        <v>18</v>
      </c>
      <c r="C4" s="69" t="s">
        <v>146</v>
      </c>
      <c r="D4" s="69" t="s">
        <v>137</v>
      </c>
      <c r="E4" s="69" t="s">
        <v>147</v>
      </c>
      <c r="F4" s="69" t="s">
        <v>100</v>
      </c>
      <c r="G4" s="69" t="s">
        <v>22</v>
      </c>
      <c r="H4" s="69" t="s">
        <v>11</v>
      </c>
      <c r="DA4" s="38" t="str">
        <f>+DA3</f>
        <v>Central Bank of India</v>
      </c>
    </row>
  </sheetData>
  <sheetProtection algorithmName="SHA-512" hashValue="pTnqXcU8Nt10sZtmPpFd8LJLh3cZnpdQKUNwD1QdZoHx8e7BRCg0L77tYTWymQAb4pQoUNP/V0CU7y4lcZ4aww==" saltValue="BevIs/bczDL+kAa0IB3YE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161" priority="10" operator="equal">
      <formula>#N/A</formula>
    </cfRule>
  </conditionalFormatting>
  <conditionalFormatting sqref="H1">
    <cfRule type="cellIs" dxfId="160" priority="9" operator="equal">
      <formula>#N/A</formula>
    </cfRule>
  </conditionalFormatting>
  <conditionalFormatting sqref="E1">
    <cfRule type="cellIs" dxfId="159" priority="8" operator="equal">
      <formula>#N/A</formula>
    </cfRule>
  </conditionalFormatting>
  <conditionalFormatting sqref="I1">
    <cfRule type="containsText" dxfId="158" priority="6" operator="containsText" text="All Data Import Successfully">
      <formula>NOT(ISERROR(SEARCH("All Data Import Successfully",I1)))</formula>
    </cfRule>
    <cfRule type="containsText" dxfId="157" priority="7" operator="containsText" text="Difference Entry">
      <formula>NOT(ISERROR(SEARCH("Difference Entry",I1)))</formula>
    </cfRule>
  </conditionalFormatting>
  <conditionalFormatting sqref="DG2">
    <cfRule type="cellIs" dxfId="156" priority="5" operator="equal">
      <formula>#N/A</formula>
    </cfRule>
  </conditionalFormatting>
  <conditionalFormatting sqref="DH2:DI2">
    <cfRule type="cellIs" dxfId="155" priority="4" operator="equal">
      <formula>#N/A</formula>
    </cfRule>
  </conditionalFormatting>
  <conditionalFormatting sqref="E2:G2">
    <cfRule type="cellIs" dxfId="154" priority="3" operator="equal">
      <formula>#N/A</formula>
    </cfRule>
  </conditionalFormatting>
  <conditionalFormatting sqref="H2">
    <cfRule type="cellIs" dxfId="153" priority="2" operator="equal">
      <formula>#N/A</formula>
    </cfRule>
  </conditionalFormatting>
  <conditionalFormatting sqref="I2">
    <cfRule type="cellIs" dxfId="15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7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1" width="27.42578125" style="6" customWidth="1"/>
    <col min="12" max="16" width="9.140625" style="6"/>
    <col min="17" max="17" width="16.5703125" style="6" customWidth="1"/>
    <col min="18" max="19" width="9.140625" style="6"/>
    <col min="20" max="20" width="14.28515625" style="6" bestFit="1" customWidth="1"/>
    <col min="2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Bank of Baroda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7" t="s">
        <v>66</v>
      </c>
      <c r="B3" s="18" t="s">
        <v>91</v>
      </c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Bank of Baroda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IF(K3="",VALUE("0"),VALUE(SUBSTITUTE((K3),",","")))</f>
        <v>0</v>
      </c>
      <c r="DE3" s="26">
        <f>IF(Q3="",VALUE("0"),VALUE(SUBSTITUTE((Q3),",","")))</f>
        <v>0</v>
      </c>
      <c r="DF3" s="26" t="e">
        <f>IF(T3=" ","",VALUE(SUBSTITUTE((SUBSTITUTE((T3),"Cr","")),",","")))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customHeight="1">
      <c r="A4" s="40" t="s">
        <v>51</v>
      </c>
      <c r="B4" s="48"/>
      <c r="C4" s="48" t="s">
        <v>52</v>
      </c>
      <c r="D4" s="48"/>
      <c r="E4" s="48"/>
      <c r="F4" s="48"/>
      <c r="G4" s="48"/>
      <c r="H4" s="317" t="s">
        <v>53</v>
      </c>
      <c r="I4" s="317"/>
      <c r="J4" s="48"/>
      <c r="K4" s="48" t="s">
        <v>54</v>
      </c>
      <c r="L4" s="48"/>
      <c r="M4" s="48"/>
      <c r="N4" s="48"/>
      <c r="O4" s="48"/>
      <c r="P4" s="48"/>
      <c r="Q4" s="48" t="s">
        <v>55</v>
      </c>
      <c r="R4" s="48"/>
      <c r="S4" s="48"/>
      <c r="T4" s="48" t="s">
        <v>56</v>
      </c>
      <c r="U4" s="41"/>
      <c r="V4" s="48"/>
      <c r="W4" s="48"/>
      <c r="X4" s="48"/>
      <c r="DA4" s="38" t="str">
        <f>+DA3</f>
        <v>Bank of Baroda A/c.</v>
      </c>
    </row>
  </sheetData>
  <sheetProtection algorithmName="SHA-512" hashValue="g4ucQQGb5OcAnBEYxw8jwMXPgxGA9aUDUrNcj33OfgnMA4I7GWRiFsHsyFir6PDGPf44kuTrKQmixf+7mMYGBA==" saltValue="cBvM3YSrlOL9vF+t4bXVm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mergeCells count="1">
    <mergeCell ref="H4:I4"/>
  </mergeCells>
  <conditionalFormatting sqref="E3 I1:I2">
    <cfRule type="cellIs" dxfId="151" priority="10" operator="equal">
      <formula>#N/A</formula>
    </cfRule>
  </conditionalFormatting>
  <conditionalFormatting sqref="H1">
    <cfRule type="cellIs" dxfId="150" priority="9" operator="equal">
      <formula>#N/A</formula>
    </cfRule>
  </conditionalFormatting>
  <conditionalFormatting sqref="E1">
    <cfRule type="cellIs" dxfId="149" priority="8" operator="equal">
      <formula>#N/A</formula>
    </cfRule>
  </conditionalFormatting>
  <conditionalFormatting sqref="I1">
    <cfRule type="containsText" dxfId="148" priority="6" operator="containsText" text="All Data Import Successfully">
      <formula>NOT(ISERROR(SEARCH("All Data Import Successfully",I1)))</formula>
    </cfRule>
    <cfRule type="containsText" dxfId="147" priority="7" operator="containsText" text="Difference Entry">
      <formula>NOT(ISERROR(SEARCH("Difference Entry",I1)))</formula>
    </cfRule>
  </conditionalFormatting>
  <conditionalFormatting sqref="DG2">
    <cfRule type="cellIs" dxfId="146" priority="5" operator="equal">
      <formula>#N/A</formula>
    </cfRule>
  </conditionalFormatting>
  <conditionalFormatting sqref="DH2:DI2">
    <cfRule type="cellIs" dxfId="145" priority="4" operator="equal">
      <formula>#N/A</formula>
    </cfRule>
  </conditionalFormatting>
  <conditionalFormatting sqref="E2:G2">
    <cfRule type="cellIs" dxfId="144" priority="3" operator="equal">
      <formula>#N/A</formula>
    </cfRule>
  </conditionalFormatting>
  <conditionalFormatting sqref="H2">
    <cfRule type="cellIs" dxfId="143" priority="2" operator="equal">
      <formula>#N/A</formula>
    </cfRule>
  </conditionalFormatting>
  <conditionalFormatting sqref="I2">
    <cfRule type="cellIs" dxfId="142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13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1" width="16.28515625" style="6" customWidth="1"/>
    <col min="12" max="12" width="18" style="6" customWidth="1"/>
    <col min="13" max="16" width="9.140625" style="6"/>
    <col min="17" max="17" width="16.5703125" style="6" customWidth="1"/>
    <col min="18" max="19" width="9.140625" style="6"/>
    <col min="20" max="20" width="14.28515625" style="6" bestFit="1" customWidth="1"/>
    <col min="21" max="22" width="9.140625" style="6"/>
    <col min="23" max="23" width="17.7109375" style="6" customWidth="1"/>
    <col min="24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Bank of Baroda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7" t="s">
        <v>66</v>
      </c>
      <c r="B3" s="18" t="s">
        <v>92</v>
      </c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Bank of Baroda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IF(L3="",VALUE("0"),VALUE(SUBSTITUTE((L3),",","")))</f>
        <v>0</v>
      </c>
      <c r="DE3" s="26">
        <f>IF(Q3="",VALUE("0"),VALUE(SUBSTITUTE((Q3),",","")))</f>
        <v>0</v>
      </c>
      <c r="DF3" s="26" t="e">
        <f>IF(W3=" ","",VALUE(SUBSTITUTE((SUBSTITUTE((W3),"Cr","")),",","")))</f>
        <v>#VALUE!</v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5" customFormat="1" ht="15.75" customHeight="1">
      <c r="A4" s="49" t="s">
        <v>51</v>
      </c>
      <c r="B4" s="49"/>
      <c r="C4" s="49"/>
      <c r="D4" s="49" t="s">
        <v>52</v>
      </c>
      <c r="E4" s="49"/>
      <c r="F4" s="49"/>
      <c r="G4" s="49"/>
      <c r="H4" s="318" t="s">
        <v>53</v>
      </c>
      <c r="I4" s="318"/>
      <c r="J4" s="49"/>
      <c r="K4" s="49"/>
      <c r="L4" s="49" t="s">
        <v>54</v>
      </c>
      <c r="M4" s="49"/>
      <c r="N4" s="49"/>
      <c r="O4" s="49"/>
      <c r="P4" s="49"/>
      <c r="Q4" s="49" t="s">
        <v>55</v>
      </c>
      <c r="R4" s="49"/>
      <c r="S4" s="49"/>
      <c r="T4" s="49"/>
      <c r="U4" s="50"/>
      <c r="V4" s="49"/>
      <c r="W4" s="49" t="s">
        <v>56</v>
      </c>
      <c r="X4" s="49"/>
      <c r="DA4" s="51" t="str">
        <f>+DA3</f>
        <v>Bank of Baroda A/c.</v>
      </c>
    </row>
  </sheetData>
  <sheetProtection algorithmName="SHA-512" hashValue="C2uv7hkhUdiEMHPmjd7gBk4TLyVRUuJRSfpj2LxcHZwHOoORBpvGAdexPXPKc5ZIZMAO1wvK7ZLaFBAD/6JeAA==" saltValue="Ih98+Ro4AwppoCH4hMDbD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mergeCells count="1">
    <mergeCell ref="H4:I4"/>
  </mergeCells>
  <conditionalFormatting sqref="E3 I1:I2">
    <cfRule type="cellIs" dxfId="141" priority="10" operator="equal">
      <formula>#N/A</formula>
    </cfRule>
  </conditionalFormatting>
  <conditionalFormatting sqref="H1">
    <cfRule type="cellIs" dxfId="140" priority="9" operator="equal">
      <formula>#N/A</formula>
    </cfRule>
  </conditionalFormatting>
  <conditionalFormatting sqref="E1">
    <cfRule type="cellIs" dxfId="139" priority="8" operator="equal">
      <formula>#N/A</formula>
    </cfRule>
  </conditionalFormatting>
  <conditionalFormatting sqref="I1">
    <cfRule type="containsText" dxfId="138" priority="6" operator="containsText" text="All Data Import Successfully">
      <formula>NOT(ISERROR(SEARCH("All Data Import Successfully",I1)))</formula>
    </cfRule>
    <cfRule type="containsText" dxfId="137" priority="7" operator="containsText" text="Difference Entry">
      <formula>NOT(ISERROR(SEARCH("Difference Entry",I1)))</formula>
    </cfRule>
  </conditionalFormatting>
  <conditionalFormatting sqref="DG2">
    <cfRule type="cellIs" dxfId="136" priority="5" operator="equal">
      <formula>#N/A</formula>
    </cfRule>
  </conditionalFormatting>
  <conditionalFormatting sqref="DH2:DI2">
    <cfRule type="cellIs" dxfId="135" priority="4" operator="equal">
      <formula>#N/A</formula>
    </cfRule>
  </conditionalFormatting>
  <conditionalFormatting sqref="E2:G2">
    <cfRule type="cellIs" dxfId="134" priority="3" operator="equal">
      <formula>#N/A</formula>
    </cfRule>
  </conditionalFormatting>
  <conditionalFormatting sqref="H2">
    <cfRule type="cellIs" dxfId="133" priority="2" operator="equal">
      <formula>#N/A</formula>
    </cfRule>
  </conditionalFormatting>
  <conditionalFormatting sqref="I2">
    <cfRule type="cellIs" dxfId="132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22"/>
  <dimension ref="A1:DZ4"/>
  <sheetViews>
    <sheetView showRuler="0" workbookViewId="0">
      <selection activeCell="D38" sqref="D38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7"/>
      <c r="B1" s="107"/>
      <c r="C1" s="107"/>
      <c r="D1" s="107"/>
      <c r="E1" s="96" t="s">
        <v>0</v>
      </c>
      <c r="F1" s="97" t="s">
        <v>1</v>
      </c>
      <c r="G1" s="98" t="s">
        <v>2</v>
      </c>
      <c r="H1" s="99" t="s">
        <v>3</v>
      </c>
      <c r="I1" s="100" t="s">
        <v>4</v>
      </c>
      <c r="J1" s="101" t="s">
        <v>6</v>
      </c>
      <c r="K1" s="101" t="s">
        <v>6</v>
      </c>
      <c r="L1" s="101" t="s">
        <v>6</v>
      </c>
      <c r="M1" s="101" t="s">
        <v>6</v>
      </c>
      <c r="N1" s="101" t="s">
        <v>6</v>
      </c>
      <c r="O1" s="101" t="s">
        <v>6</v>
      </c>
      <c r="P1" s="101" t="s">
        <v>6</v>
      </c>
      <c r="Q1" s="101" t="s">
        <v>6</v>
      </c>
      <c r="R1" s="101" t="s">
        <v>6</v>
      </c>
      <c r="S1" s="102" t="s">
        <v>184</v>
      </c>
      <c r="T1" s="102">
        <v>6</v>
      </c>
      <c r="U1" s="102" t="s">
        <v>185</v>
      </c>
      <c r="V1" s="102" t="s">
        <v>185</v>
      </c>
      <c r="W1" s="102" t="s">
        <v>182</v>
      </c>
      <c r="X1" s="109" t="s">
        <v>6</v>
      </c>
      <c r="Y1" s="109" t="s">
        <v>6</v>
      </c>
      <c r="Z1" s="10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03" t="s">
        <v>5</v>
      </c>
      <c r="B2" s="103" t="s">
        <v>6</v>
      </c>
      <c r="C2" s="103"/>
      <c r="D2" s="103" t="s">
        <v>172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126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127</v>
      </c>
      <c r="B3" s="59"/>
      <c r="C3" s="58"/>
      <c r="D3" s="58" t="s">
        <v>186</v>
      </c>
      <c r="E3" s="60"/>
      <c r="F3" s="58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PNB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IF(D3="CR",VALUE("0"),VALUE(SUBSTITUTE((C3),",","")))</f>
        <v>#VALUE!</v>
      </c>
      <c r="DE3" s="26" t="e">
        <f>IF(D3="DR",VALUE("0"),VALUE(SUBSTITUTE((C3),",","")))</f>
        <v>#VALUE!</v>
      </c>
      <c r="DF3" s="26" t="str">
        <f>IF(E3="","",VALUE(SUBSTITUTE((E3),",","")))</f>
        <v/>
      </c>
      <c r="DG3" s="27" t="str">
        <f ca="1">(SUBSTITUTE(TRIM(IF(LEFT(F3,3)="CLG",LEFT(IF(SUM(LEN(F3)-LEN(SUBSTITUTE(F3,{"0","1","2","3","4","5","6","7","8","9"},"")))&gt;0,SUMPRODUCT(MID(0&amp;F3,LARGE(INDEX(ISNUMBER(--MID(F3,ROW(INDIRECT("$1:$"&amp;LEN(F3))),1))*ROW(INDIRECT("$1:$"&amp;LEN(F3))),0),ROW(INDIRECT("$1:$"&amp;LEN(F3))))+1,1)*10^ROW(INDIRECT("$1:$"&amp;LEN(F3)))/10),""),6),LEFT(IF(SUM(LEN(F3)-LEN(SUBSTITUTE(F3,{"0","1","2","3","4","5","6","7","8","9"},"")))&gt;0,SUMPRODUCT(MID(0&amp;F3,LARGE(INDEX(ISNUMBER(--MID(F3,ROW(INDIRECT("$1:$"&amp;LEN(F3))),1))*ROW(INDIRECT("$1:$"&amp;LEN(F3))),0),ROW(INDIRECT("$1:$"&amp;LEN(F3))))+1,1)*10^ROW(INDIRECT("$1:$"&amp;LEN(F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39">
        <f>+F3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13" t="s">
        <v>32</v>
      </c>
      <c r="B4" s="114" t="s">
        <v>124</v>
      </c>
      <c r="C4" s="114" t="s">
        <v>80</v>
      </c>
      <c r="D4" s="114" t="s">
        <v>95</v>
      </c>
      <c r="E4" s="114" t="s">
        <v>11</v>
      </c>
      <c r="F4" s="115" t="s">
        <v>125</v>
      </c>
      <c r="G4" s="6" t="s">
        <v>6</v>
      </c>
      <c r="H4" s="6" t="s">
        <v>6</v>
      </c>
      <c r="I4" s="6" t="s">
        <v>6</v>
      </c>
      <c r="J4" s="6" t="s">
        <v>6</v>
      </c>
      <c r="DA4" s="38" t="str">
        <f>+DA3</f>
        <v>PNB A/c.</v>
      </c>
    </row>
  </sheetData>
  <sheetProtection algorithmName="SHA-512" hashValue="FZnY6KSTtnE+DVsb4ZrZ3Pj+Natszn5t9U7b/BQ8T2JeQRmgnrQ+jP2QLTWRU7qmqFFoOu9NFCXbcpBYQ9Wr/g==" saltValue="0d7rm3SpjsrTJl8yxXKYI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131" priority="18" operator="equal">
      <formula>#N/A</formula>
    </cfRule>
  </conditionalFormatting>
  <conditionalFormatting sqref="DG2">
    <cfRule type="cellIs" dxfId="130" priority="13" operator="equal">
      <formula>#N/A</formula>
    </cfRule>
  </conditionalFormatting>
  <conditionalFormatting sqref="DH2:DI2">
    <cfRule type="cellIs" dxfId="129" priority="12" operator="equal">
      <formula>#N/A</formula>
    </cfRule>
  </conditionalFormatting>
  <conditionalFormatting sqref="I1:I2">
    <cfRule type="cellIs" dxfId="128" priority="8" operator="equal">
      <formula>#N/A</formula>
    </cfRule>
  </conditionalFormatting>
  <conditionalFormatting sqref="H1">
    <cfRule type="cellIs" dxfId="127" priority="7" operator="equal">
      <formula>#N/A</formula>
    </cfRule>
  </conditionalFormatting>
  <conditionalFormatting sqref="E1">
    <cfRule type="cellIs" dxfId="126" priority="6" operator="equal">
      <formula>#N/A</formula>
    </cfRule>
  </conditionalFormatting>
  <conditionalFormatting sqref="I1">
    <cfRule type="containsText" dxfId="125" priority="4" operator="containsText" text="All Data Import Successfully">
      <formula>NOT(ISERROR(SEARCH("All Data Import Successfully",I1)))</formula>
    </cfRule>
    <cfRule type="containsText" dxfId="124" priority="5" operator="containsText" text="Difference Entry">
      <formula>NOT(ISERROR(SEARCH("Difference Entry",I1)))</formula>
    </cfRule>
  </conditionalFormatting>
  <conditionalFormatting sqref="E2:G2">
    <cfRule type="cellIs" dxfId="123" priority="3" operator="equal">
      <formula>#N/A</formula>
    </cfRule>
  </conditionalFormatting>
  <conditionalFormatting sqref="H2">
    <cfRule type="cellIs" dxfId="122" priority="2" operator="equal">
      <formula>#N/A</formula>
    </cfRule>
  </conditionalFormatting>
  <conditionalFormatting sqref="I2">
    <cfRule type="cellIs" dxfId="12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54"/>
  <dimension ref="A1:DZ4"/>
  <sheetViews>
    <sheetView workbookViewId="0">
      <selection activeCell="E8" sqref="E8"/>
    </sheetView>
  </sheetViews>
  <sheetFormatPr defaultRowHeight="15"/>
  <cols>
    <col min="1" max="1" width="25.7109375" style="246" customWidth="1"/>
    <col min="2" max="4" width="25.7109375" style="6" customWidth="1"/>
    <col min="5" max="5" width="25.7109375" style="8" customWidth="1"/>
    <col min="6" max="6" width="25.7109375" style="6" customWidth="1"/>
    <col min="7" max="7" width="28.7109375" style="6" customWidth="1"/>
    <col min="8" max="9" width="25.7109375" style="6" customWidth="1"/>
    <col min="10" max="10" width="17.7109375" style="6" customWidth="1"/>
    <col min="11" max="12" width="9.140625" style="6"/>
    <col min="13" max="13" width="23.28515625" style="6" customWidth="1"/>
    <col min="14" max="15" width="9.140625" style="6"/>
    <col min="16" max="16" width="30.28515625" style="6" customWidth="1"/>
    <col min="17" max="104" width="9.140625" style="6"/>
    <col min="105" max="113" width="24.7109375" style="6" customWidth="1"/>
    <col min="114" max="114" width="38.42578125" style="6" customWidth="1"/>
    <col min="115" max="115" width="24.7109375" style="6" customWidth="1"/>
    <col min="116" max="16384" width="9.140625" style="6"/>
  </cols>
  <sheetData>
    <row r="1" spans="1:130" ht="45" customHeight="1">
      <c r="A1" s="242"/>
      <c r="B1" s="107"/>
      <c r="C1" s="107"/>
      <c r="D1" s="107"/>
      <c r="E1" s="96" t="s">
        <v>0</v>
      </c>
      <c r="F1" s="97" t="s">
        <v>1</v>
      </c>
      <c r="G1" s="98" t="s">
        <v>2</v>
      </c>
      <c r="H1" s="99" t="s">
        <v>3</v>
      </c>
      <c r="I1" s="100" t="s">
        <v>4</v>
      </c>
      <c r="J1" s="101" t="s">
        <v>6</v>
      </c>
      <c r="K1" s="101" t="s">
        <v>6</v>
      </c>
      <c r="L1" s="101" t="s">
        <v>6</v>
      </c>
      <c r="M1" s="101" t="s">
        <v>6</v>
      </c>
      <c r="N1" s="101" t="s">
        <v>6</v>
      </c>
      <c r="O1" s="101" t="s">
        <v>6</v>
      </c>
      <c r="P1" s="101" t="s">
        <v>6</v>
      </c>
      <c r="Q1" s="101" t="s">
        <v>6</v>
      </c>
      <c r="R1" s="101" t="s">
        <v>6</v>
      </c>
      <c r="S1" s="102" t="s">
        <v>194</v>
      </c>
      <c r="T1" s="102">
        <v>8</v>
      </c>
      <c r="U1" s="102" t="s">
        <v>182</v>
      </c>
      <c r="V1" s="102" t="s">
        <v>182</v>
      </c>
      <c r="W1" s="102" t="s">
        <v>174</v>
      </c>
      <c r="X1" s="109" t="s">
        <v>6</v>
      </c>
      <c r="Y1" s="109" t="s">
        <v>6</v>
      </c>
      <c r="Z1" s="102">
        <v>0</v>
      </c>
      <c r="AA1" s="102" t="s">
        <v>259</v>
      </c>
      <c r="AB1" s="102" t="s">
        <v>259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243" t="s">
        <v>5</v>
      </c>
      <c r="B2" s="103" t="s">
        <v>6</v>
      </c>
      <c r="C2" s="103"/>
      <c r="D2" s="103" t="s">
        <v>172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126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44" t="s">
        <v>127</v>
      </c>
      <c r="B3" s="59"/>
      <c r="C3" s="58"/>
      <c r="D3" s="58"/>
      <c r="E3" s="214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1" t="str">
        <f>+$A$3</f>
        <v>PNB A/c.</v>
      </c>
      <c r="DB3" s="232">
        <f>VALUE(C3)</f>
        <v>0</v>
      </c>
      <c r="DC3" s="233" t="e">
        <f>+CONCATENATE(TEXT(DB3,"D"),"",TEXT(DB3,"MM"),"","/",SUBSTITUTE(DF3,",",""),"/",DK3)</f>
        <v>#VALUE!</v>
      </c>
      <c r="DD3" s="234">
        <f>IF(I3="",VALUE("0"),VALUE(SUBSTITUTE((I3),",","")))</f>
        <v>0</v>
      </c>
      <c r="DE3" s="234">
        <f>IF(J3="",VALUE("0"),VALUE(SUBSTITUTE((J3),",","")))</f>
        <v>0</v>
      </c>
      <c r="DF3" s="234" t="e">
        <f>+VALUE(SUBSTITUTE(SUBSTITUTE(SUBSTITUTE((M3),",",""),"Cr.",""),"Dr.",""))</f>
        <v>#VALUE!</v>
      </c>
      <c r="DG3" s="235" t="str">
        <f ca="1">IF(H3="",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,H3)</f>
        <v>0</v>
      </c>
      <c r="DH3" s="236">
        <f>+DB3</f>
        <v>0</v>
      </c>
      <c r="DI3" s="236" t="str">
        <f>+IF(DE3=0,"Suspance Payment","Suspance Receipt")</f>
        <v>Suspance Payment</v>
      </c>
      <c r="DJ3" s="237">
        <f>+E3</f>
        <v>0</v>
      </c>
      <c r="DK3" s="238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1" customHeight="1" thickBot="1">
      <c r="A4" s="245" t="s">
        <v>331</v>
      </c>
      <c r="B4" s="239"/>
      <c r="C4" s="239" t="s">
        <v>17</v>
      </c>
      <c r="D4" s="239"/>
      <c r="E4" s="240" t="s">
        <v>19</v>
      </c>
      <c r="F4" s="239"/>
      <c r="G4" s="239" t="s">
        <v>192</v>
      </c>
      <c r="H4" s="239" t="s">
        <v>74</v>
      </c>
      <c r="I4" s="239" t="s">
        <v>332</v>
      </c>
      <c r="J4" s="239" t="s">
        <v>333</v>
      </c>
      <c r="K4" s="239"/>
      <c r="L4" s="239"/>
      <c r="M4" s="239" t="s">
        <v>11</v>
      </c>
      <c r="N4" s="239"/>
      <c r="O4" s="239"/>
      <c r="P4" s="241" t="s">
        <v>334</v>
      </c>
      <c r="Q4" s="5"/>
      <c r="DA4" s="38" t="str">
        <f>+DA3</f>
        <v>PNB A/c.</v>
      </c>
    </row>
  </sheetData>
  <sheetProtection algorithmName="SHA-512" hashValue="Zbz0N+QtdV+bl5lEncb622Ux/tj54et+DZqdta+hRW295umJ8nuIdpbwgkWGssuMbHexvBqAsyivSFPxLThX2g==" saltValue="iu1SUxbQyKZaRxb/Osesl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120" priority="11" operator="equal">
      <formula>#N/A</formula>
    </cfRule>
  </conditionalFormatting>
  <conditionalFormatting sqref="DG2">
    <cfRule type="cellIs" dxfId="119" priority="10" operator="equal">
      <formula>#N/A</formula>
    </cfRule>
  </conditionalFormatting>
  <conditionalFormatting sqref="DH2:DI2">
    <cfRule type="cellIs" dxfId="118" priority="9" operator="equal">
      <formula>#N/A</formula>
    </cfRule>
  </conditionalFormatting>
  <conditionalFormatting sqref="I1:I2">
    <cfRule type="cellIs" dxfId="117" priority="8" operator="equal">
      <formula>#N/A</formula>
    </cfRule>
  </conditionalFormatting>
  <conditionalFormatting sqref="H1">
    <cfRule type="cellIs" dxfId="116" priority="7" operator="equal">
      <formula>#N/A</formula>
    </cfRule>
  </conditionalFormatting>
  <conditionalFormatting sqref="E1">
    <cfRule type="cellIs" dxfId="115" priority="6" operator="equal">
      <formula>#N/A</formula>
    </cfRule>
  </conditionalFormatting>
  <conditionalFormatting sqref="I1">
    <cfRule type="containsText" dxfId="114" priority="4" operator="containsText" text="All Data Import Successfully">
      <formula>NOT(ISERROR(SEARCH("All Data Import Successfully",I1)))</formula>
    </cfRule>
    <cfRule type="containsText" dxfId="113" priority="5" operator="containsText" text="Difference Entry">
      <formula>NOT(ISERROR(SEARCH("Difference Entry",I1)))</formula>
    </cfRule>
  </conditionalFormatting>
  <conditionalFormatting sqref="E2:G2">
    <cfRule type="cellIs" dxfId="112" priority="3" operator="equal">
      <formula>#N/A</formula>
    </cfRule>
  </conditionalFormatting>
  <conditionalFormatting sqref="H2">
    <cfRule type="cellIs" dxfId="111" priority="2" operator="equal">
      <formula>#N/A</formula>
    </cfRule>
  </conditionalFormatting>
  <conditionalFormatting sqref="I2">
    <cfRule type="cellIs" dxfId="11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9"/>
  <dimension ref="A1:DZ4"/>
  <sheetViews>
    <sheetView workbookViewId="0">
      <selection activeCell="A5" sqref="A5"/>
    </sheetView>
  </sheetViews>
  <sheetFormatPr defaultRowHeight="15"/>
  <cols>
    <col min="1" max="2" width="25.42578125" style="6" customWidth="1"/>
    <col min="3" max="3" width="35.7109375" style="6" customWidth="1"/>
    <col min="4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16" width="9.5703125" style="6" bestFit="1" customWidth="1"/>
    <col min="117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tr">
        <f>+A3</f>
        <v>Rajkot Nagarik Sahakari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/>
    </row>
    <row r="3" spans="1:130">
      <c r="A3" s="17" t="s">
        <v>110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Rajkot Nagarik Sahakari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IF(C3="",VALUE("0"),VALUE(SUBSTITUTE((C3),",","")))</f>
        <v>0</v>
      </c>
      <c r="DE3" s="26">
        <f>IF(D3="",VALUE("0"),VALUE(SUBSTITUTE((D3),",","")))</f>
        <v>0</v>
      </c>
      <c r="DF3" s="26" t="e">
        <f>IF(E3=" ","",VALUE(SUBSTITUTE((SUBSTITUTE((E3),"Cr.","")),",","")))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>
        <f>+DK2+1</f>
        <v>1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>
      <c r="A4" s="6" t="s">
        <v>111</v>
      </c>
      <c r="B4" s="6" t="s">
        <v>112</v>
      </c>
      <c r="C4" s="6" t="s">
        <v>113</v>
      </c>
      <c r="D4" s="6" t="s">
        <v>114</v>
      </c>
      <c r="E4" s="6" t="s">
        <v>115</v>
      </c>
      <c r="DA4" s="38" t="str">
        <f>+DA3</f>
        <v>Rajkot Nagarik Sahakari Bank A/c.</v>
      </c>
    </row>
  </sheetData>
  <sheetProtection algorithmName="SHA-512" hashValue="rKIvMnq+uBNWMIGlP+PbaEe732k/8G9txvnoLxszYhO0yuQ8UbcN4EwM/g14Cx4rrs053ql6963zGrkYgEIbag==" saltValue="C+NL1mEeOPNCz7WaylUYo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109" priority="10" operator="equal">
      <formula>#N/A</formula>
    </cfRule>
  </conditionalFormatting>
  <conditionalFormatting sqref="H1">
    <cfRule type="cellIs" dxfId="108" priority="9" operator="equal">
      <formula>#N/A</formula>
    </cfRule>
  </conditionalFormatting>
  <conditionalFormatting sqref="E1">
    <cfRule type="cellIs" dxfId="107" priority="8" operator="equal">
      <formula>#N/A</formula>
    </cfRule>
  </conditionalFormatting>
  <conditionalFormatting sqref="I1">
    <cfRule type="containsText" dxfId="106" priority="6" operator="containsText" text="All Data Import Successfully">
      <formula>NOT(ISERROR(SEARCH("All Data Import Successfully",I1)))</formula>
    </cfRule>
    <cfRule type="containsText" dxfId="105" priority="7" operator="containsText" text="Difference Entry">
      <formula>NOT(ISERROR(SEARCH("Difference Entry",I1)))</formula>
    </cfRule>
  </conditionalFormatting>
  <conditionalFormatting sqref="DG2">
    <cfRule type="cellIs" dxfId="104" priority="5" operator="equal">
      <formula>#N/A</formula>
    </cfRule>
  </conditionalFormatting>
  <conditionalFormatting sqref="DH2:DI2">
    <cfRule type="cellIs" dxfId="103" priority="4" operator="equal">
      <formula>#N/A</formula>
    </cfRule>
  </conditionalFormatting>
  <conditionalFormatting sqref="E2:G2">
    <cfRule type="cellIs" dxfId="102" priority="3" operator="equal">
      <formula>#N/A</formula>
    </cfRule>
  </conditionalFormatting>
  <conditionalFormatting sqref="H2">
    <cfRule type="cellIs" dxfId="101" priority="2" operator="equal">
      <formula>#N/A</formula>
    </cfRule>
  </conditionalFormatting>
  <conditionalFormatting sqref="I2">
    <cfRule type="cellIs" dxfId="10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30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7"/>
      <c r="B1" s="107"/>
      <c r="C1" s="107"/>
      <c r="D1" s="107"/>
      <c r="E1" s="96" t="s">
        <v>0</v>
      </c>
      <c r="F1" s="97" t="s">
        <v>1</v>
      </c>
      <c r="G1" s="98" t="s">
        <v>2</v>
      </c>
      <c r="H1" s="99" t="s">
        <v>3</v>
      </c>
      <c r="I1" s="100" t="s">
        <v>4</v>
      </c>
      <c r="J1" s="101" t="s">
        <v>6</v>
      </c>
      <c r="K1" s="101" t="s">
        <v>6</v>
      </c>
      <c r="L1" s="101" t="s">
        <v>6</v>
      </c>
      <c r="M1" s="101" t="s">
        <v>6</v>
      </c>
      <c r="N1" s="101" t="s">
        <v>6</v>
      </c>
      <c r="O1" s="101" t="s">
        <v>6</v>
      </c>
      <c r="P1" s="101" t="s">
        <v>6</v>
      </c>
      <c r="Q1" s="101" t="s">
        <v>6</v>
      </c>
      <c r="R1" s="101" t="s">
        <v>6</v>
      </c>
      <c r="S1" s="102" t="s">
        <v>194</v>
      </c>
      <c r="T1" s="102">
        <v>10</v>
      </c>
      <c r="U1" s="102" t="s">
        <v>169</v>
      </c>
      <c r="V1" s="102" t="s">
        <v>170</v>
      </c>
      <c r="W1" s="102" t="s">
        <v>171</v>
      </c>
      <c r="X1" s="109" t="s">
        <v>6</v>
      </c>
      <c r="Y1" s="109" t="s">
        <v>6</v>
      </c>
      <c r="Z1" s="10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03" t="s">
        <v>5</v>
      </c>
      <c r="B2" s="103" t="s">
        <v>6</v>
      </c>
      <c r="C2" s="103"/>
      <c r="D2" s="103" t="s">
        <v>172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152</v>
      </c>
      <c r="B3" s="59"/>
      <c r="C3" s="58"/>
      <c r="D3" s="58" t="s">
        <v>195</v>
      </c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Federal Bank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IF(H3="", 0, IFERROR(VALUE(SUBSTITUTE(H3, ",", "")), 0))</f>
        <v>0</v>
      </c>
      <c r="DE3" s="26">
        <f>IF(I3="", 0, IFERROR(VALUE(SUBSTITUTE(I3, ",", "")), 0))</f>
        <v>0</v>
      </c>
      <c r="DF3" s="26" t="e">
        <f>IF(J3=" ","",VALUE(SUBSTITUTE((J3),",","")))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VALUE(B3)</f>
        <v>0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3.25" thickBot="1">
      <c r="A4" s="121" t="s">
        <v>78</v>
      </c>
      <c r="B4" s="122" t="s">
        <v>39</v>
      </c>
      <c r="C4" s="319" t="s">
        <v>148</v>
      </c>
      <c r="D4" s="319"/>
      <c r="E4" s="122" t="s">
        <v>18</v>
      </c>
      <c r="F4" s="122" t="s">
        <v>153</v>
      </c>
      <c r="G4" s="122" t="s">
        <v>154</v>
      </c>
      <c r="H4" s="122" t="s">
        <v>155</v>
      </c>
      <c r="I4" s="122" t="s">
        <v>156</v>
      </c>
      <c r="J4" s="123" t="s">
        <v>157</v>
      </c>
      <c r="DA4" s="38" t="str">
        <f>+DA3</f>
        <v>Federal Bank</v>
      </c>
    </row>
  </sheetData>
  <sheetProtection algorithmName="SHA-512" hashValue="8XdXyqmHoRe1Yh5M2iAhBpcGpZt1Z9DHS/6Bid60x/n6Id3NOQpC2ou3YTj4xYgiV8eEH7KFCDAEOI4XM8+5pQ==" saltValue="HZ+LfHm5jyJMaabfZgTK/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mergeCells count="1">
    <mergeCell ref="C4:D4"/>
  </mergeCells>
  <conditionalFormatting sqref="E3">
    <cfRule type="cellIs" dxfId="99" priority="23" operator="equal">
      <formula>#N/A</formula>
    </cfRule>
  </conditionalFormatting>
  <conditionalFormatting sqref="DG2">
    <cfRule type="cellIs" dxfId="98" priority="18" operator="equal">
      <formula>#N/A</formula>
    </cfRule>
  </conditionalFormatting>
  <conditionalFormatting sqref="DH2:DI2">
    <cfRule type="cellIs" dxfId="97" priority="17" operator="equal">
      <formula>#N/A</formula>
    </cfRule>
  </conditionalFormatting>
  <conditionalFormatting sqref="I1:I2">
    <cfRule type="cellIs" dxfId="96" priority="8" operator="equal">
      <formula>#N/A</formula>
    </cfRule>
  </conditionalFormatting>
  <conditionalFormatting sqref="H1">
    <cfRule type="cellIs" dxfId="95" priority="7" operator="equal">
      <formula>#N/A</formula>
    </cfRule>
  </conditionalFormatting>
  <conditionalFormatting sqref="E1">
    <cfRule type="cellIs" dxfId="94" priority="6" operator="equal">
      <formula>#N/A</formula>
    </cfRule>
  </conditionalFormatting>
  <conditionalFormatting sqref="I1">
    <cfRule type="containsText" dxfId="93" priority="4" operator="containsText" text="All Data Import Successfully">
      <formula>NOT(ISERROR(SEARCH("All Data Import Successfully",I1)))</formula>
    </cfRule>
    <cfRule type="containsText" dxfId="92" priority="5" operator="containsText" text="Difference Entry">
      <formula>NOT(ISERROR(SEARCH("Difference Entry",I1)))</formula>
    </cfRule>
  </conditionalFormatting>
  <conditionalFormatting sqref="E2:G2">
    <cfRule type="cellIs" dxfId="91" priority="3" operator="equal">
      <formula>#N/A</formula>
    </cfRule>
  </conditionalFormatting>
  <conditionalFormatting sqref="H2">
    <cfRule type="cellIs" dxfId="90" priority="2" operator="equal">
      <formula>#N/A</formula>
    </cfRule>
  </conditionalFormatting>
  <conditionalFormatting sqref="I2">
    <cfRule type="cellIs" dxfId="89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15"/>
  <dimension ref="A1:DZ4"/>
  <sheetViews>
    <sheetView workbookViewId="0">
      <selection activeCell="D23" sqref="D23"/>
    </sheetView>
  </sheetViews>
  <sheetFormatPr defaultRowHeight="15"/>
  <cols>
    <col min="1" max="2" width="25.42578125" style="6" customWidth="1"/>
    <col min="3" max="3" width="35.7109375" style="6" customWidth="1"/>
    <col min="4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tr">
        <f>+A3</f>
        <v>The Varachha Co-op.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102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The Varachha Co-op.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IF(D3="",VALUE("0"),VALUE(SUBSTITUTE((D3),",","")))</f>
        <v>0</v>
      </c>
      <c r="DE3" s="26">
        <f>IF(E3="",VALUE("0"),VALUE(SUBSTITUTE((E3),",","")))</f>
        <v>0</v>
      </c>
      <c r="DF3" s="26" t="e">
        <f>IF(F3=" ","",VALUE(SUBSTITUTE((SUBSTITUTE((F3),"Cr.","")),",","")))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52" t="s">
        <v>32</v>
      </c>
      <c r="B4" s="52" t="s">
        <v>33</v>
      </c>
      <c r="C4" s="52" t="s">
        <v>99</v>
      </c>
      <c r="D4" s="52" t="s">
        <v>100</v>
      </c>
      <c r="E4" s="52" t="s">
        <v>22</v>
      </c>
      <c r="F4" s="52" t="s">
        <v>101</v>
      </c>
      <c r="DA4" s="38" t="str">
        <f>+DA3</f>
        <v>The Varachha Co-op. Bank A/c.</v>
      </c>
    </row>
  </sheetData>
  <sheetProtection algorithmName="SHA-512" hashValue="Zy11J5SjYs3yAxUDRQNfC8u+btBxBvxDOMm92kxbg2HwUh1K7R3Wc7Y5lrBBX8nYdP15YYLwb6desSp/6FmgXg==" saltValue="NoxHI9CHBVZkGBoPqrOIy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88" priority="10" operator="equal">
      <formula>#N/A</formula>
    </cfRule>
  </conditionalFormatting>
  <conditionalFormatting sqref="H1">
    <cfRule type="cellIs" dxfId="87" priority="9" operator="equal">
      <formula>#N/A</formula>
    </cfRule>
  </conditionalFormatting>
  <conditionalFormatting sqref="E1">
    <cfRule type="cellIs" dxfId="86" priority="8" operator="equal">
      <formula>#N/A</formula>
    </cfRule>
  </conditionalFormatting>
  <conditionalFormatting sqref="I1">
    <cfRule type="containsText" dxfId="85" priority="6" operator="containsText" text="All Data Import Successfully">
      <formula>NOT(ISERROR(SEARCH("All Data Import Successfully",I1)))</formula>
    </cfRule>
    <cfRule type="containsText" dxfId="84" priority="7" operator="containsText" text="Difference Entry">
      <formula>NOT(ISERROR(SEARCH("Difference Entry",I1)))</formula>
    </cfRule>
  </conditionalFormatting>
  <conditionalFormatting sqref="DG2">
    <cfRule type="cellIs" dxfId="83" priority="5" operator="equal">
      <formula>#N/A</formula>
    </cfRule>
  </conditionalFormatting>
  <conditionalFormatting sqref="DH2:DI2">
    <cfRule type="cellIs" dxfId="82" priority="4" operator="equal">
      <formula>#N/A</formula>
    </cfRule>
  </conditionalFormatting>
  <conditionalFormatting sqref="E2:G2">
    <cfRule type="cellIs" dxfId="81" priority="3" operator="equal">
      <formula>#N/A</formula>
    </cfRule>
  </conditionalFormatting>
  <conditionalFormatting sqref="H2">
    <cfRule type="cellIs" dxfId="80" priority="2" operator="equal">
      <formula>#N/A</formula>
    </cfRule>
  </conditionalFormatting>
  <conditionalFormatting sqref="I2">
    <cfRule type="cellIs" dxfId="7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29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7"/>
      <c r="B1" s="107"/>
      <c r="C1" s="107"/>
      <c r="D1" s="107"/>
      <c r="E1" s="96" t="s">
        <v>0</v>
      </c>
      <c r="F1" s="97" t="s">
        <v>1</v>
      </c>
      <c r="G1" s="98" t="s">
        <v>2</v>
      </c>
      <c r="H1" s="99" t="s">
        <v>3</v>
      </c>
      <c r="I1" s="100" t="s">
        <v>4</v>
      </c>
      <c r="J1" s="101" t="s">
        <v>6</v>
      </c>
      <c r="K1" s="101" t="s">
        <v>6</v>
      </c>
      <c r="L1" s="101" t="s">
        <v>6</v>
      </c>
      <c r="M1" s="101" t="s">
        <v>6</v>
      </c>
      <c r="N1" s="101" t="s">
        <v>6</v>
      </c>
      <c r="O1" s="101" t="s">
        <v>6</v>
      </c>
      <c r="P1" s="101" t="s">
        <v>6</v>
      </c>
      <c r="Q1" s="101" t="s">
        <v>6</v>
      </c>
      <c r="R1" s="101" t="s">
        <v>6</v>
      </c>
      <c r="S1" s="102" t="s">
        <v>180</v>
      </c>
      <c r="T1" s="102">
        <v>6</v>
      </c>
      <c r="U1" s="102" t="s">
        <v>182</v>
      </c>
      <c r="V1" s="102" t="s">
        <v>173</v>
      </c>
      <c r="W1" s="102" t="s">
        <v>174</v>
      </c>
      <c r="X1" s="109" t="s">
        <v>6</v>
      </c>
      <c r="Y1" s="109">
        <v>1</v>
      </c>
      <c r="Z1" s="10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03" t="s">
        <v>5</v>
      </c>
      <c r="B2" s="103" t="s">
        <v>6</v>
      </c>
      <c r="C2" s="103"/>
      <c r="D2" s="103" t="s">
        <v>172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151</v>
      </c>
      <c r="B3" s="59"/>
      <c r="C3" s="58"/>
      <c r="D3" s="58" t="s">
        <v>196</v>
      </c>
      <c r="E3" s="60"/>
      <c r="F3" s="58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Surat National Co-op. Bank Ltd.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IF(D3="",VALUE("0"),VALUE(SUBSTITUTE((D3),",","")))</f>
        <v>#VALUE!</v>
      </c>
      <c r="DE3" s="26">
        <f>IF(E3="",VALUE("0"),VALUE(SUBSTITUTE((E3),",","")))</f>
        <v>0</v>
      </c>
      <c r="DF3" s="26" t="e">
        <f>IF(F3=" ","",VALUE(SUBSTITUTE((SUBSTITUTE((F3),"Cr.","")),",","")))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24" t="s">
        <v>32</v>
      </c>
      <c r="B4" s="125" t="s">
        <v>33</v>
      </c>
      <c r="C4" s="125" t="s">
        <v>99</v>
      </c>
      <c r="D4" s="125" t="s">
        <v>100</v>
      </c>
      <c r="E4" s="125" t="s">
        <v>22</v>
      </c>
      <c r="F4" s="126" t="s">
        <v>101</v>
      </c>
      <c r="DA4" s="38" t="str">
        <f>+DA3</f>
        <v>Surat National Co-op. Bank Ltd.</v>
      </c>
    </row>
  </sheetData>
  <sheetProtection algorithmName="SHA-512" hashValue="c+mSYsCBXix2kEIlLmORljL0j6Q6g/8kxiDs24A8HezzpiVuGe1lI/sZMzfdW/LMVurqpMvnVFTlHqJJ0nWZxg==" saltValue="hgAvLVnz/8HF8ynhofHj1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78" priority="18" operator="equal">
      <formula>#N/A</formula>
    </cfRule>
  </conditionalFormatting>
  <conditionalFormatting sqref="DG2">
    <cfRule type="cellIs" dxfId="77" priority="13" operator="equal">
      <formula>#N/A</formula>
    </cfRule>
  </conditionalFormatting>
  <conditionalFormatting sqref="DH2:DI2">
    <cfRule type="cellIs" dxfId="76" priority="12" operator="equal">
      <formula>#N/A</formula>
    </cfRule>
  </conditionalFormatting>
  <conditionalFormatting sqref="I1:I2">
    <cfRule type="cellIs" dxfId="75" priority="8" operator="equal">
      <formula>#N/A</formula>
    </cfRule>
  </conditionalFormatting>
  <conditionalFormatting sqref="H1">
    <cfRule type="cellIs" dxfId="74" priority="7" operator="equal">
      <formula>#N/A</formula>
    </cfRule>
  </conditionalFormatting>
  <conditionalFormatting sqref="E1">
    <cfRule type="cellIs" dxfId="73" priority="6" operator="equal">
      <formula>#N/A</formula>
    </cfRule>
  </conditionalFormatting>
  <conditionalFormatting sqref="I1">
    <cfRule type="containsText" dxfId="72" priority="4" operator="containsText" text="All Data Import Successfully">
      <formula>NOT(ISERROR(SEARCH("All Data Import Successfully",I1)))</formula>
    </cfRule>
    <cfRule type="containsText" dxfId="71" priority="5" operator="containsText" text="Difference Entry">
      <formula>NOT(ISERROR(SEARCH("Difference Entry",I1)))</formula>
    </cfRule>
  </conditionalFormatting>
  <conditionalFormatting sqref="E2:G2">
    <cfRule type="cellIs" dxfId="70" priority="3" operator="equal">
      <formula>#N/A</formula>
    </cfRule>
  </conditionalFormatting>
  <conditionalFormatting sqref="H2">
    <cfRule type="cellIs" dxfId="69" priority="2" operator="equal">
      <formula>#N/A</formula>
    </cfRule>
  </conditionalFormatting>
  <conditionalFormatting sqref="I2">
    <cfRule type="cellIs" dxfId="68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23"/>
  <dimension ref="A1:DZ102"/>
  <sheetViews>
    <sheetView showRuler="0" workbookViewId="0">
      <selection activeCell="C22" sqref="C22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98</v>
      </c>
      <c r="F2" s="11">
        <f>+COUNTIF($DE:$DE,"&gt;"&amp;0)</f>
        <v>0</v>
      </c>
      <c r="G2" s="11">
        <f>+COUNTIF($DD:$DD,"&gt;"&amp;0)</f>
        <v>16</v>
      </c>
      <c r="H2" s="12">
        <f>+F2+G2</f>
        <v>16</v>
      </c>
      <c r="I2" s="12">
        <f>+E2-H2</f>
        <v>82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THE SURAT DISTRICT CO-OP. BANK LTD.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135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THE SURAT DISTRICT CO-OP. BANK LTD.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IF(G3="",VALUE("0"),VALUE(SUBSTITUTE((G3),",","")))</f>
        <v>0</v>
      </c>
      <c r="DE3" s="26">
        <f>IF(I3="",VALUE("0"),VALUE(SUBSTITUTE((I3),",","")))</f>
        <v>0</v>
      </c>
      <c r="DF3" s="26" t="str">
        <f>IF(J3="","",VALUE(SUBSTITUTE((J3),",","")))</f>
        <v/>
      </c>
      <c r="DG3" s="27" t="str">
        <f ca="1">(SUBSTITUTE(TRIM(IF(LEFT(E3,3)="CLG"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6)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12))),".",""))</f>
        <v/>
      </c>
      <c r="DH3" s="28">
        <f>VALUE(B3)</f>
        <v>0</v>
      </c>
      <c r="DI3" s="28" t="str">
        <f>+IF(DE3=0,"Suspance Payment","Suspance Receipt")</f>
        <v>Suspance Payment</v>
      </c>
      <c r="DJ3" s="3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63" t="s">
        <v>128</v>
      </c>
      <c r="B4" s="64" t="s">
        <v>129</v>
      </c>
      <c r="C4" s="64"/>
      <c r="D4" s="64"/>
      <c r="E4" s="64" t="s">
        <v>130</v>
      </c>
      <c r="F4" s="64" t="s">
        <v>131</v>
      </c>
      <c r="G4" s="64" t="s">
        <v>132</v>
      </c>
      <c r="H4" s="64"/>
      <c r="I4" s="64" t="s">
        <v>133</v>
      </c>
      <c r="J4" s="65" t="s">
        <v>134</v>
      </c>
      <c r="DA4" s="38" t="str">
        <f>+DA3</f>
        <v>THE SURAT DISTRICT CO-OP. BANK LTD.</v>
      </c>
    </row>
    <row r="5" spans="1:130" ht="15" customHeight="1">
      <c r="A5" s="271">
        <v>45386</v>
      </c>
      <c r="B5" s="272">
        <v>45386</v>
      </c>
      <c r="C5" s="273" t="s">
        <v>2875</v>
      </c>
      <c r="D5" s="274"/>
      <c r="E5" s="275" t="s">
        <v>2876</v>
      </c>
      <c r="F5" s="276"/>
      <c r="G5" s="277"/>
      <c r="H5" s="278">
        <v>16580</v>
      </c>
      <c r="I5" s="279" t="s">
        <v>2877</v>
      </c>
      <c r="J5" s="280"/>
      <c r="DA5" s="281" t="s">
        <v>135</v>
      </c>
      <c r="DB5" s="282">
        <v>45386</v>
      </c>
      <c r="DC5" s="283" t="s">
        <v>3071</v>
      </c>
      <c r="DD5" s="284">
        <v>0</v>
      </c>
      <c r="DE5" s="284" t="e">
        <v>#VALUE!</v>
      </c>
      <c r="DF5" s="284" t="s">
        <v>6</v>
      </c>
      <c r="DG5" s="285" t="s">
        <v>6</v>
      </c>
      <c r="DH5" s="286">
        <v>45386</v>
      </c>
      <c r="DI5" s="286" t="e">
        <v>#VALUE!</v>
      </c>
      <c r="DJ5" s="287" t="s">
        <v>336</v>
      </c>
      <c r="DK5" s="288">
        <v>1</v>
      </c>
    </row>
    <row r="6" spans="1:130" ht="15" customHeight="1">
      <c r="A6" s="271">
        <v>45387</v>
      </c>
      <c r="B6" s="272">
        <v>45387</v>
      </c>
      <c r="C6" s="273" t="s">
        <v>2878</v>
      </c>
      <c r="D6" s="274"/>
      <c r="E6" s="275" t="s">
        <v>2876</v>
      </c>
      <c r="F6" s="276"/>
      <c r="G6" s="277"/>
      <c r="H6" s="278">
        <v>11453</v>
      </c>
      <c r="I6" s="279" t="s">
        <v>2879</v>
      </c>
      <c r="J6" s="280"/>
      <c r="DA6" s="281" t="s">
        <v>135</v>
      </c>
      <c r="DB6" s="282">
        <v>45387</v>
      </c>
      <c r="DC6" s="283" t="s">
        <v>3072</v>
      </c>
      <c r="DD6" s="284">
        <v>0</v>
      </c>
      <c r="DE6" s="284" t="e">
        <v>#VALUE!</v>
      </c>
      <c r="DF6" s="284" t="s">
        <v>6</v>
      </c>
      <c r="DG6" s="285" t="s">
        <v>6</v>
      </c>
      <c r="DH6" s="286">
        <v>45387</v>
      </c>
      <c r="DI6" s="286" t="e">
        <v>#VALUE!</v>
      </c>
      <c r="DJ6" s="287" t="s">
        <v>336</v>
      </c>
      <c r="DK6" s="288">
        <v>2</v>
      </c>
    </row>
    <row r="7" spans="1:130" ht="15" customHeight="1">
      <c r="A7" s="271">
        <v>45389</v>
      </c>
      <c r="B7" s="272">
        <v>45389</v>
      </c>
      <c r="C7" s="273" t="s">
        <v>2880</v>
      </c>
      <c r="D7" s="274"/>
      <c r="E7" s="275" t="s">
        <v>2876</v>
      </c>
      <c r="F7" s="276"/>
      <c r="G7" s="277"/>
      <c r="H7" s="278">
        <v>24545</v>
      </c>
      <c r="I7" s="279" t="s">
        <v>2881</v>
      </c>
      <c r="J7" s="280"/>
      <c r="DA7" s="281" t="s">
        <v>135</v>
      </c>
      <c r="DB7" s="282">
        <v>45389</v>
      </c>
      <c r="DC7" s="283" t="s">
        <v>3073</v>
      </c>
      <c r="DD7" s="284">
        <v>0</v>
      </c>
      <c r="DE7" s="284" t="e">
        <v>#VALUE!</v>
      </c>
      <c r="DF7" s="284" t="s">
        <v>6</v>
      </c>
      <c r="DG7" s="285" t="s">
        <v>6</v>
      </c>
      <c r="DH7" s="286">
        <v>45389</v>
      </c>
      <c r="DI7" s="286" t="e">
        <v>#VALUE!</v>
      </c>
      <c r="DJ7" s="287" t="s">
        <v>336</v>
      </c>
      <c r="DK7" s="288">
        <v>3</v>
      </c>
    </row>
    <row r="8" spans="1:130" ht="15" customHeight="1">
      <c r="A8" s="271">
        <v>45389</v>
      </c>
      <c r="B8" s="272">
        <v>45389</v>
      </c>
      <c r="C8" s="273" t="s">
        <v>2882</v>
      </c>
      <c r="D8" s="274"/>
      <c r="E8" s="275" t="s">
        <v>2876</v>
      </c>
      <c r="F8" s="276"/>
      <c r="G8" s="289"/>
      <c r="H8" s="278">
        <v>12495</v>
      </c>
      <c r="I8" s="279" t="s">
        <v>2883</v>
      </c>
      <c r="J8" s="280"/>
      <c r="DA8" s="281" t="s">
        <v>135</v>
      </c>
      <c r="DB8" s="282">
        <v>45389</v>
      </c>
      <c r="DC8" s="283" t="s">
        <v>3074</v>
      </c>
      <c r="DD8" s="284">
        <v>0</v>
      </c>
      <c r="DE8" s="284" t="e">
        <v>#VALUE!</v>
      </c>
      <c r="DF8" s="284" t="s">
        <v>6</v>
      </c>
      <c r="DG8" s="285" t="s">
        <v>6</v>
      </c>
      <c r="DH8" s="286">
        <v>45389</v>
      </c>
      <c r="DI8" s="286" t="e">
        <v>#VALUE!</v>
      </c>
      <c r="DJ8" s="287" t="s">
        <v>336</v>
      </c>
      <c r="DK8" s="288">
        <v>4</v>
      </c>
    </row>
    <row r="9" spans="1:130" ht="15" customHeight="1">
      <c r="A9" s="271">
        <v>45391</v>
      </c>
      <c r="B9" s="272">
        <v>45391</v>
      </c>
      <c r="C9" s="273" t="s">
        <v>2884</v>
      </c>
      <c r="D9" s="274"/>
      <c r="E9" s="275" t="s">
        <v>2876</v>
      </c>
      <c r="F9" s="276"/>
      <c r="G9" s="277"/>
      <c r="H9" s="278">
        <v>13390</v>
      </c>
      <c r="I9" s="279" t="s">
        <v>2885</v>
      </c>
      <c r="J9" s="280"/>
      <c r="DA9" s="281" t="s">
        <v>135</v>
      </c>
      <c r="DB9" s="282">
        <v>45391</v>
      </c>
      <c r="DC9" s="283" t="s">
        <v>3075</v>
      </c>
      <c r="DD9" s="284">
        <v>0</v>
      </c>
      <c r="DE9" s="284" t="e">
        <v>#VALUE!</v>
      </c>
      <c r="DF9" s="284" t="s">
        <v>6</v>
      </c>
      <c r="DG9" s="285" t="s">
        <v>6</v>
      </c>
      <c r="DH9" s="286">
        <v>45391</v>
      </c>
      <c r="DI9" s="286" t="e">
        <v>#VALUE!</v>
      </c>
      <c r="DJ9" s="287" t="s">
        <v>336</v>
      </c>
      <c r="DK9" s="288">
        <v>5</v>
      </c>
    </row>
    <row r="10" spans="1:130" ht="15" customHeight="1">
      <c r="A10" s="271">
        <v>45393</v>
      </c>
      <c r="B10" s="272">
        <v>45393</v>
      </c>
      <c r="C10" s="273" t="s">
        <v>2886</v>
      </c>
      <c r="D10" s="274"/>
      <c r="E10" s="275" t="s">
        <v>2876</v>
      </c>
      <c r="F10" s="276"/>
      <c r="G10" s="277"/>
      <c r="H10" s="278">
        <v>5540</v>
      </c>
      <c r="I10" s="279" t="s">
        <v>2887</v>
      </c>
      <c r="J10" s="280"/>
      <c r="DA10" s="281" t="s">
        <v>135</v>
      </c>
      <c r="DB10" s="282">
        <v>45393</v>
      </c>
      <c r="DC10" s="283" t="s">
        <v>3076</v>
      </c>
      <c r="DD10" s="284">
        <v>0</v>
      </c>
      <c r="DE10" s="284" t="e">
        <v>#VALUE!</v>
      </c>
      <c r="DF10" s="284" t="s">
        <v>6</v>
      </c>
      <c r="DG10" s="285" t="s">
        <v>6</v>
      </c>
      <c r="DH10" s="286">
        <v>45393</v>
      </c>
      <c r="DI10" s="286" t="e">
        <v>#VALUE!</v>
      </c>
      <c r="DJ10" s="287" t="s">
        <v>336</v>
      </c>
      <c r="DK10" s="288">
        <v>6</v>
      </c>
    </row>
    <row r="11" spans="1:130" ht="15" customHeight="1">
      <c r="A11" s="271">
        <v>45394</v>
      </c>
      <c r="B11" s="272">
        <v>45394</v>
      </c>
      <c r="C11" s="273" t="s">
        <v>2888</v>
      </c>
      <c r="D11" s="274"/>
      <c r="E11" s="275" t="s">
        <v>2876</v>
      </c>
      <c r="F11" s="276"/>
      <c r="G11" s="277"/>
      <c r="H11" s="278">
        <v>1695</v>
      </c>
      <c r="I11" s="279" t="s">
        <v>2889</v>
      </c>
      <c r="J11" s="280"/>
      <c r="DA11" s="281" t="s">
        <v>135</v>
      </c>
      <c r="DB11" s="282">
        <v>45394</v>
      </c>
      <c r="DC11" s="283" t="s">
        <v>3077</v>
      </c>
      <c r="DD11" s="284">
        <v>0</v>
      </c>
      <c r="DE11" s="284" t="e">
        <v>#VALUE!</v>
      </c>
      <c r="DF11" s="284" t="s">
        <v>6</v>
      </c>
      <c r="DG11" s="285" t="s">
        <v>6</v>
      </c>
      <c r="DH11" s="286">
        <v>45394</v>
      </c>
      <c r="DI11" s="286" t="e">
        <v>#VALUE!</v>
      </c>
      <c r="DJ11" s="287" t="s">
        <v>336</v>
      </c>
      <c r="DK11" s="288">
        <v>7</v>
      </c>
    </row>
    <row r="12" spans="1:130" ht="15" customHeight="1">
      <c r="A12" s="271">
        <v>45394</v>
      </c>
      <c r="B12" s="272">
        <v>45394</v>
      </c>
      <c r="C12" s="273" t="s">
        <v>2890</v>
      </c>
      <c r="D12" s="274"/>
      <c r="E12" s="275" t="s">
        <v>2876</v>
      </c>
      <c r="F12" s="276"/>
      <c r="G12" s="277"/>
      <c r="H12" s="278">
        <v>12887</v>
      </c>
      <c r="I12" s="279" t="s">
        <v>2891</v>
      </c>
      <c r="J12" s="280"/>
      <c r="DA12" s="281" t="s">
        <v>135</v>
      </c>
      <c r="DB12" s="282">
        <v>45394</v>
      </c>
      <c r="DC12" s="283" t="s">
        <v>3078</v>
      </c>
      <c r="DD12" s="284">
        <v>0</v>
      </c>
      <c r="DE12" s="284" t="e">
        <v>#VALUE!</v>
      </c>
      <c r="DF12" s="284" t="s">
        <v>6</v>
      </c>
      <c r="DG12" s="285" t="s">
        <v>6</v>
      </c>
      <c r="DH12" s="286">
        <v>45394</v>
      </c>
      <c r="DI12" s="286" t="e">
        <v>#VALUE!</v>
      </c>
      <c r="DJ12" s="287" t="s">
        <v>336</v>
      </c>
      <c r="DK12" s="288">
        <v>8</v>
      </c>
    </row>
    <row r="13" spans="1:130" ht="15" customHeight="1">
      <c r="A13" s="271">
        <v>45395</v>
      </c>
      <c r="B13" s="272">
        <v>45395</v>
      </c>
      <c r="C13" s="273" t="s">
        <v>2892</v>
      </c>
      <c r="D13" s="274"/>
      <c r="E13" s="275" t="s">
        <v>2876</v>
      </c>
      <c r="F13" s="276"/>
      <c r="G13" s="277"/>
      <c r="H13" s="278">
        <v>6795</v>
      </c>
      <c r="I13" s="279" t="s">
        <v>2893</v>
      </c>
      <c r="J13" s="280"/>
      <c r="DA13" s="281" t="s">
        <v>135</v>
      </c>
      <c r="DB13" s="282">
        <v>45395</v>
      </c>
      <c r="DC13" s="283" t="s">
        <v>3079</v>
      </c>
      <c r="DD13" s="284">
        <v>0</v>
      </c>
      <c r="DE13" s="284" t="e">
        <v>#VALUE!</v>
      </c>
      <c r="DF13" s="284" t="s">
        <v>6</v>
      </c>
      <c r="DG13" s="285" t="s">
        <v>6</v>
      </c>
      <c r="DH13" s="286">
        <v>45395</v>
      </c>
      <c r="DI13" s="286" t="e">
        <v>#VALUE!</v>
      </c>
      <c r="DJ13" s="287" t="s">
        <v>336</v>
      </c>
      <c r="DK13" s="288">
        <v>9</v>
      </c>
    </row>
    <row r="14" spans="1:130" ht="15" customHeight="1">
      <c r="A14" s="271">
        <v>45395</v>
      </c>
      <c r="B14" s="272">
        <v>45395</v>
      </c>
      <c r="C14" s="273" t="s">
        <v>2894</v>
      </c>
      <c r="D14" s="274"/>
      <c r="E14" s="275" t="s">
        <v>2876</v>
      </c>
      <c r="F14" s="276"/>
      <c r="G14" s="290">
        <v>100000</v>
      </c>
      <c r="H14" s="277"/>
      <c r="I14" s="279" t="s">
        <v>2895</v>
      </c>
      <c r="J14" s="280"/>
      <c r="DA14" s="281" t="s">
        <v>135</v>
      </c>
      <c r="DB14" s="282">
        <v>45395</v>
      </c>
      <c r="DC14" s="283" t="s">
        <v>3080</v>
      </c>
      <c r="DD14" s="284">
        <v>100000</v>
      </c>
      <c r="DE14" s="284" t="e">
        <v>#VALUE!</v>
      </c>
      <c r="DF14" s="284" t="s">
        <v>6</v>
      </c>
      <c r="DG14" s="285" t="s">
        <v>6</v>
      </c>
      <c r="DH14" s="286">
        <v>45395</v>
      </c>
      <c r="DI14" s="286" t="e">
        <v>#VALUE!</v>
      </c>
      <c r="DJ14" s="287" t="s">
        <v>336</v>
      </c>
      <c r="DK14" s="288">
        <v>10</v>
      </c>
    </row>
    <row r="15" spans="1:130" ht="15" customHeight="1">
      <c r="A15" s="271">
        <v>45395</v>
      </c>
      <c r="B15" s="272">
        <v>45395</v>
      </c>
      <c r="C15" s="273" t="s">
        <v>2896</v>
      </c>
      <c r="D15" s="274"/>
      <c r="E15" s="275" t="s">
        <v>2876</v>
      </c>
      <c r="F15" s="276"/>
      <c r="G15" s="290">
        <v>39242</v>
      </c>
      <c r="H15" s="277"/>
      <c r="I15" s="279" t="s">
        <v>2897</v>
      </c>
      <c r="J15" s="280"/>
      <c r="DA15" s="281" t="s">
        <v>135</v>
      </c>
      <c r="DB15" s="282">
        <v>45395</v>
      </c>
      <c r="DC15" s="283" t="s">
        <v>3081</v>
      </c>
      <c r="DD15" s="284">
        <v>39242</v>
      </c>
      <c r="DE15" s="284" t="e">
        <v>#VALUE!</v>
      </c>
      <c r="DF15" s="284" t="s">
        <v>6</v>
      </c>
      <c r="DG15" s="285" t="s">
        <v>6</v>
      </c>
      <c r="DH15" s="286">
        <v>45395</v>
      </c>
      <c r="DI15" s="286" t="e">
        <v>#VALUE!</v>
      </c>
      <c r="DJ15" s="287" t="s">
        <v>336</v>
      </c>
      <c r="DK15" s="288">
        <v>11</v>
      </c>
    </row>
    <row r="16" spans="1:130" ht="15" customHeight="1">
      <c r="A16" s="271">
        <v>45395</v>
      </c>
      <c r="B16" s="272">
        <v>45395</v>
      </c>
      <c r="C16" s="273" t="s">
        <v>2898</v>
      </c>
      <c r="D16" s="274"/>
      <c r="E16" s="275" t="s">
        <v>2876</v>
      </c>
      <c r="F16" s="276"/>
      <c r="G16" s="290">
        <v>10000</v>
      </c>
      <c r="H16" s="277"/>
      <c r="I16" s="279" t="s">
        <v>2899</v>
      </c>
      <c r="J16" s="280"/>
      <c r="DA16" s="281" t="s">
        <v>135</v>
      </c>
      <c r="DB16" s="282">
        <v>45395</v>
      </c>
      <c r="DC16" s="283" t="s">
        <v>3082</v>
      </c>
      <c r="DD16" s="284">
        <v>10000</v>
      </c>
      <c r="DE16" s="284" t="e">
        <v>#VALUE!</v>
      </c>
      <c r="DF16" s="284" t="s">
        <v>6</v>
      </c>
      <c r="DG16" s="285" t="s">
        <v>6</v>
      </c>
      <c r="DH16" s="286">
        <v>45395</v>
      </c>
      <c r="DI16" s="286" t="e">
        <v>#VALUE!</v>
      </c>
      <c r="DJ16" s="287" t="s">
        <v>336</v>
      </c>
      <c r="DK16" s="288">
        <v>12</v>
      </c>
    </row>
    <row r="17" spans="1:115" ht="15" customHeight="1">
      <c r="A17" s="271">
        <v>45398</v>
      </c>
      <c r="B17" s="272">
        <v>45398</v>
      </c>
      <c r="C17" s="273" t="s">
        <v>2900</v>
      </c>
      <c r="D17" s="274"/>
      <c r="E17" s="275" t="s">
        <v>2876</v>
      </c>
      <c r="F17" s="276"/>
      <c r="G17" s="277"/>
      <c r="H17" s="278">
        <v>8085</v>
      </c>
      <c r="I17" s="279" t="s">
        <v>2901</v>
      </c>
      <c r="J17" s="280"/>
      <c r="DA17" s="281" t="s">
        <v>135</v>
      </c>
      <c r="DB17" s="282">
        <v>45398</v>
      </c>
      <c r="DC17" s="283" t="s">
        <v>3083</v>
      </c>
      <c r="DD17" s="284">
        <v>0</v>
      </c>
      <c r="DE17" s="284" t="e">
        <v>#VALUE!</v>
      </c>
      <c r="DF17" s="284" t="s">
        <v>6</v>
      </c>
      <c r="DG17" s="285" t="s">
        <v>6</v>
      </c>
      <c r="DH17" s="286">
        <v>45398</v>
      </c>
      <c r="DI17" s="286" t="e">
        <v>#VALUE!</v>
      </c>
      <c r="DJ17" s="287" t="s">
        <v>336</v>
      </c>
      <c r="DK17" s="288">
        <v>13</v>
      </c>
    </row>
    <row r="18" spans="1:115" ht="15" customHeight="1">
      <c r="A18" s="271">
        <v>45398</v>
      </c>
      <c r="B18" s="272">
        <v>45398</v>
      </c>
      <c r="C18" s="273" t="s">
        <v>2902</v>
      </c>
      <c r="D18" s="274"/>
      <c r="E18" s="275" t="s">
        <v>2876</v>
      </c>
      <c r="F18" s="276"/>
      <c r="G18" s="277"/>
      <c r="H18" s="278">
        <v>139242</v>
      </c>
      <c r="I18" s="279" t="s">
        <v>2903</v>
      </c>
      <c r="J18" s="280"/>
      <c r="DA18" s="281" t="s">
        <v>135</v>
      </c>
      <c r="DB18" s="282">
        <v>45398</v>
      </c>
      <c r="DC18" s="283" t="s">
        <v>3084</v>
      </c>
      <c r="DD18" s="284">
        <v>0</v>
      </c>
      <c r="DE18" s="284" t="e">
        <v>#VALUE!</v>
      </c>
      <c r="DF18" s="284" t="s">
        <v>6</v>
      </c>
      <c r="DG18" s="285" t="s">
        <v>6</v>
      </c>
      <c r="DH18" s="286">
        <v>45398</v>
      </c>
      <c r="DI18" s="286" t="e">
        <v>#VALUE!</v>
      </c>
      <c r="DJ18" s="287" t="s">
        <v>336</v>
      </c>
      <c r="DK18" s="288">
        <v>14</v>
      </c>
    </row>
    <row r="19" spans="1:115" ht="15" customHeight="1">
      <c r="A19" s="271">
        <v>45399</v>
      </c>
      <c r="B19" s="272">
        <v>45399</v>
      </c>
      <c r="C19" s="273" t="s">
        <v>2904</v>
      </c>
      <c r="D19" s="274"/>
      <c r="E19" s="275" t="s">
        <v>2876</v>
      </c>
      <c r="F19" s="276"/>
      <c r="G19" s="277"/>
      <c r="H19" s="278">
        <v>9485</v>
      </c>
      <c r="I19" s="279" t="s">
        <v>2905</v>
      </c>
      <c r="J19" s="280"/>
      <c r="DA19" s="281" t="s">
        <v>135</v>
      </c>
      <c r="DB19" s="282">
        <v>45399</v>
      </c>
      <c r="DC19" s="283" t="s">
        <v>3085</v>
      </c>
      <c r="DD19" s="284">
        <v>0</v>
      </c>
      <c r="DE19" s="284" t="e">
        <v>#VALUE!</v>
      </c>
      <c r="DF19" s="284" t="s">
        <v>6</v>
      </c>
      <c r="DG19" s="285" t="s">
        <v>6</v>
      </c>
      <c r="DH19" s="286">
        <v>45399</v>
      </c>
      <c r="DI19" s="286" t="e">
        <v>#VALUE!</v>
      </c>
      <c r="DJ19" s="287" t="s">
        <v>336</v>
      </c>
      <c r="DK19" s="288">
        <v>15</v>
      </c>
    </row>
    <row r="20" spans="1:115" ht="15" customHeight="1">
      <c r="A20" s="271">
        <v>45400</v>
      </c>
      <c r="B20" s="272">
        <v>45400</v>
      </c>
      <c r="C20" s="273" t="s">
        <v>2906</v>
      </c>
      <c r="D20" s="274"/>
      <c r="E20" s="275" t="s">
        <v>2876</v>
      </c>
      <c r="F20" s="276"/>
      <c r="G20" s="277"/>
      <c r="H20" s="278">
        <v>10495</v>
      </c>
      <c r="I20" s="279" t="s">
        <v>2907</v>
      </c>
      <c r="J20" s="280"/>
      <c r="DA20" s="281" t="s">
        <v>135</v>
      </c>
      <c r="DB20" s="282">
        <v>45400</v>
      </c>
      <c r="DC20" s="283" t="s">
        <v>3086</v>
      </c>
      <c r="DD20" s="284">
        <v>0</v>
      </c>
      <c r="DE20" s="284" t="e">
        <v>#VALUE!</v>
      </c>
      <c r="DF20" s="284" t="s">
        <v>6</v>
      </c>
      <c r="DG20" s="285" t="s">
        <v>6</v>
      </c>
      <c r="DH20" s="286">
        <v>45400</v>
      </c>
      <c r="DI20" s="286" t="e">
        <v>#VALUE!</v>
      </c>
      <c r="DJ20" s="287" t="s">
        <v>336</v>
      </c>
      <c r="DK20" s="288">
        <v>16</v>
      </c>
    </row>
    <row r="21" spans="1:115" ht="15" customHeight="1">
      <c r="A21" s="271">
        <v>45401</v>
      </c>
      <c r="B21" s="272">
        <v>45401</v>
      </c>
      <c r="C21" s="273" t="s">
        <v>2908</v>
      </c>
      <c r="D21" s="274"/>
      <c r="E21" s="279" t="s">
        <v>2876</v>
      </c>
      <c r="F21" s="280"/>
      <c r="G21" s="277"/>
      <c r="H21" s="278">
        <v>5365</v>
      </c>
      <c r="I21" s="279" t="s">
        <v>2909</v>
      </c>
      <c r="J21" s="280"/>
      <c r="DA21" s="281" t="s">
        <v>135</v>
      </c>
      <c r="DB21" s="282">
        <v>45401</v>
      </c>
      <c r="DC21" s="283" t="s">
        <v>3087</v>
      </c>
      <c r="DD21" s="284">
        <v>0</v>
      </c>
      <c r="DE21" s="284" t="e">
        <v>#VALUE!</v>
      </c>
      <c r="DF21" s="284" t="s">
        <v>6</v>
      </c>
      <c r="DG21" s="285" t="s">
        <v>6</v>
      </c>
      <c r="DH21" s="286">
        <v>45401</v>
      </c>
      <c r="DI21" s="286" t="e">
        <v>#VALUE!</v>
      </c>
      <c r="DJ21" s="287" t="s">
        <v>336</v>
      </c>
      <c r="DK21" s="288">
        <v>17</v>
      </c>
    </row>
    <row r="22" spans="1:115" ht="15" customHeight="1">
      <c r="A22" s="271">
        <v>45401</v>
      </c>
      <c r="B22" s="272">
        <v>45401</v>
      </c>
      <c r="C22" s="273" t="s">
        <v>2910</v>
      </c>
      <c r="D22" s="274"/>
      <c r="E22" s="291">
        <v>22</v>
      </c>
      <c r="F22" s="292"/>
      <c r="G22" s="290">
        <v>172000</v>
      </c>
      <c r="H22" s="289"/>
      <c r="I22" s="279" t="s">
        <v>2911</v>
      </c>
      <c r="J22" s="280"/>
      <c r="DA22" s="281" t="s">
        <v>135</v>
      </c>
      <c r="DB22" s="282">
        <v>45401</v>
      </c>
      <c r="DC22" s="283" t="s">
        <v>3088</v>
      </c>
      <c r="DD22" s="284">
        <v>172000</v>
      </c>
      <c r="DE22" s="284" t="e">
        <v>#VALUE!</v>
      </c>
      <c r="DF22" s="284" t="s">
        <v>6</v>
      </c>
      <c r="DG22" s="285" t="s">
        <v>3089</v>
      </c>
      <c r="DH22" s="286">
        <v>45401</v>
      </c>
      <c r="DI22" s="286" t="e">
        <v>#VALUE!</v>
      </c>
      <c r="DJ22" s="287">
        <v>22</v>
      </c>
      <c r="DK22" s="288">
        <v>18</v>
      </c>
    </row>
    <row r="23" spans="1:115" ht="15" customHeight="1">
      <c r="A23" s="271">
        <v>45401</v>
      </c>
      <c r="B23" s="272">
        <v>45401</v>
      </c>
      <c r="C23" s="273" t="s">
        <v>2912</v>
      </c>
      <c r="D23" s="274"/>
      <c r="E23" s="279" t="s">
        <v>2876</v>
      </c>
      <c r="F23" s="280"/>
      <c r="G23" s="277"/>
      <c r="H23" s="278">
        <v>139242</v>
      </c>
      <c r="I23" s="279" t="s">
        <v>2913</v>
      </c>
      <c r="J23" s="280"/>
      <c r="DA23" s="281" t="s">
        <v>135</v>
      </c>
      <c r="DB23" s="282">
        <v>45401</v>
      </c>
      <c r="DC23" s="283" t="s">
        <v>3090</v>
      </c>
      <c r="DD23" s="284">
        <v>0</v>
      </c>
      <c r="DE23" s="284" t="e">
        <v>#VALUE!</v>
      </c>
      <c r="DF23" s="284" t="s">
        <v>6</v>
      </c>
      <c r="DG23" s="285" t="s">
        <v>6</v>
      </c>
      <c r="DH23" s="286">
        <v>45401</v>
      </c>
      <c r="DI23" s="286" t="e">
        <v>#VALUE!</v>
      </c>
      <c r="DJ23" s="287" t="s">
        <v>336</v>
      </c>
      <c r="DK23" s="288">
        <v>19</v>
      </c>
    </row>
    <row r="24" spans="1:115" ht="15" customHeight="1">
      <c r="A24" s="271">
        <v>45402</v>
      </c>
      <c r="B24" s="272">
        <v>45402</v>
      </c>
      <c r="C24" s="273" t="s">
        <v>2914</v>
      </c>
      <c r="D24" s="274"/>
      <c r="E24" s="279" t="s">
        <v>2876</v>
      </c>
      <c r="F24" s="280"/>
      <c r="G24" s="277"/>
      <c r="H24" s="278">
        <v>6418</v>
      </c>
      <c r="I24" s="279" t="s">
        <v>2915</v>
      </c>
      <c r="J24" s="280"/>
      <c r="DA24" s="281" t="s">
        <v>135</v>
      </c>
      <c r="DB24" s="282">
        <v>45402</v>
      </c>
      <c r="DC24" s="283" t="s">
        <v>3091</v>
      </c>
      <c r="DD24" s="284">
        <v>0</v>
      </c>
      <c r="DE24" s="284" t="e">
        <v>#VALUE!</v>
      </c>
      <c r="DF24" s="284" t="s">
        <v>6</v>
      </c>
      <c r="DG24" s="285" t="s">
        <v>6</v>
      </c>
      <c r="DH24" s="286">
        <v>45402</v>
      </c>
      <c r="DI24" s="286" t="e">
        <v>#VALUE!</v>
      </c>
      <c r="DJ24" s="287" t="s">
        <v>336</v>
      </c>
      <c r="DK24" s="288">
        <v>20</v>
      </c>
    </row>
    <row r="25" spans="1:115" ht="15" customHeight="1">
      <c r="A25" s="271">
        <v>45403</v>
      </c>
      <c r="B25" s="272">
        <v>45403</v>
      </c>
      <c r="C25" s="273" t="s">
        <v>2916</v>
      </c>
      <c r="D25" s="274"/>
      <c r="E25" s="279" t="s">
        <v>2876</v>
      </c>
      <c r="F25" s="280"/>
      <c r="G25" s="277"/>
      <c r="H25" s="278">
        <v>1295</v>
      </c>
      <c r="I25" s="279" t="s">
        <v>2917</v>
      </c>
      <c r="J25" s="280"/>
      <c r="DA25" s="281" t="s">
        <v>135</v>
      </c>
      <c r="DB25" s="282">
        <v>45403</v>
      </c>
      <c r="DC25" s="283" t="s">
        <v>3092</v>
      </c>
      <c r="DD25" s="284">
        <v>0</v>
      </c>
      <c r="DE25" s="284" t="e">
        <v>#VALUE!</v>
      </c>
      <c r="DF25" s="284" t="s">
        <v>6</v>
      </c>
      <c r="DG25" s="285" t="s">
        <v>6</v>
      </c>
      <c r="DH25" s="286">
        <v>45403</v>
      </c>
      <c r="DI25" s="286" t="e">
        <v>#VALUE!</v>
      </c>
      <c r="DJ25" s="287" t="s">
        <v>336</v>
      </c>
      <c r="DK25" s="288">
        <v>21</v>
      </c>
    </row>
    <row r="26" spans="1:115" ht="15" customHeight="1">
      <c r="A26" s="271">
        <v>45406</v>
      </c>
      <c r="B26" s="272">
        <v>45406</v>
      </c>
      <c r="C26" s="273" t="s">
        <v>2918</v>
      </c>
      <c r="D26" s="274"/>
      <c r="E26" s="279" t="s">
        <v>2876</v>
      </c>
      <c r="F26" s="280"/>
      <c r="G26" s="277"/>
      <c r="H26" s="278">
        <v>4495</v>
      </c>
      <c r="I26" s="279" t="s">
        <v>2919</v>
      </c>
      <c r="J26" s="280"/>
      <c r="DA26" s="281" t="s">
        <v>135</v>
      </c>
      <c r="DB26" s="282">
        <v>45406</v>
      </c>
      <c r="DC26" s="283" t="s">
        <v>3093</v>
      </c>
      <c r="DD26" s="284">
        <v>0</v>
      </c>
      <c r="DE26" s="284" t="e">
        <v>#VALUE!</v>
      </c>
      <c r="DF26" s="284" t="s">
        <v>6</v>
      </c>
      <c r="DG26" s="285" t="s">
        <v>6</v>
      </c>
      <c r="DH26" s="286">
        <v>45406</v>
      </c>
      <c r="DI26" s="286" t="e">
        <v>#VALUE!</v>
      </c>
      <c r="DJ26" s="287" t="s">
        <v>336</v>
      </c>
      <c r="DK26" s="288">
        <v>22</v>
      </c>
    </row>
    <row r="27" spans="1:115" ht="15" customHeight="1">
      <c r="A27" s="271">
        <v>45407</v>
      </c>
      <c r="B27" s="272">
        <v>45407</v>
      </c>
      <c r="C27" s="273" t="s">
        <v>2920</v>
      </c>
      <c r="D27" s="274"/>
      <c r="E27" s="279" t="s">
        <v>2876</v>
      </c>
      <c r="F27" s="280"/>
      <c r="G27" s="277"/>
      <c r="H27" s="278">
        <v>1400</v>
      </c>
      <c r="I27" s="279" t="s">
        <v>2921</v>
      </c>
      <c r="J27" s="280"/>
      <c r="DA27" s="281" t="s">
        <v>135</v>
      </c>
      <c r="DB27" s="282">
        <v>45407</v>
      </c>
      <c r="DC27" s="283" t="s">
        <v>3094</v>
      </c>
      <c r="DD27" s="284">
        <v>0</v>
      </c>
      <c r="DE27" s="284" t="e">
        <v>#VALUE!</v>
      </c>
      <c r="DF27" s="284" t="s">
        <v>6</v>
      </c>
      <c r="DG27" s="285" t="s">
        <v>6</v>
      </c>
      <c r="DH27" s="286">
        <v>45407</v>
      </c>
      <c r="DI27" s="286" t="e">
        <v>#VALUE!</v>
      </c>
      <c r="DJ27" s="287" t="s">
        <v>336</v>
      </c>
      <c r="DK27" s="288">
        <v>23</v>
      </c>
    </row>
    <row r="28" spans="1:115" ht="15" customHeight="1">
      <c r="A28" s="271">
        <v>45408</v>
      </c>
      <c r="B28" s="272">
        <v>45408</v>
      </c>
      <c r="C28" s="273" t="s">
        <v>2922</v>
      </c>
      <c r="D28" s="274"/>
      <c r="E28" s="291">
        <v>23</v>
      </c>
      <c r="F28" s="292"/>
      <c r="G28" s="290">
        <v>100000</v>
      </c>
      <c r="H28" s="277"/>
      <c r="I28" s="279" t="s">
        <v>2923</v>
      </c>
      <c r="J28" s="280"/>
      <c r="DA28" s="281" t="s">
        <v>135</v>
      </c>
      <c r="DB28" s="282">
        <v>45408</v>
      </c>
      <c r="DC28" s="283" t="s">
        <v>3095</v>
      </c>
      <c r="DD28" s="284">
        <v>100000</v>
      </c>
      <c r="DE28" s="284" t="e">
        <v>#VALUE!</v>
      </c>
      <c r="DF28" s="284" t="s">
        <v>6</v>
      </c>
      <c r="DG28" s="285" t="s">
        <v>3096</v>
      </c>
      <c r="DH28" s="286">
        <v>45408</v>
      </c>
      <c r="DI28" s="286" t="e">
        <v>#VALUE!</v>
      </c>
      <c r="DJ28" s="287">
        <v>23</v>
      </c>
      <c r="DK28" s="288">
        <v>24</v>
      </c>
    </row>
    <row r="29" spans="1:115" ht="15" customHeight="1">
      <c r="A29" s="271">
        <v>45412</v>
      </c>
      <c r="B29" s="272">
        <v>45412</v>
      </c>
      <c r="C29" s="273" t="s">
        <v>2924</v>
      </c>
      <c r="D29" s="274"/>
      <c r="E29" s="279" t="s">
        <v>2876</v>
      </c>
      <c r="F29" s="280"/>
      <c r="G29" s="289"/>
      <c r="H29" s="278">
        <v>3816</v>
      </c>
      <c r="I29" s="279" t="s">
        <v>2925</v>
      </c>
      <c r="J29" s="280"/>
      <c r="DA29" s="281" t="s">
        <v>135</v>
      </c>
      <c r="DB29" s="282">
        <v>45412</v>
      </c>
      <c r="DC29" s="283" t="s">
        <v>3097</v>
      </c>
      <c r="DD29" s="284">
        <v>0</v>
      </c>
      <c r="DE29" s="284" t="e">
        <v>#VALUE!</v>
      </c>
      <c r="DF29" s="284" t="s">
        <v>6</v>
      </c>
      <c r="DG29" s="285" t="s">
        <v>6</v>
      </c>
      <c r="DH29" s="286">
        <v>45412</v>
      </c>
      <c r="DI29" s="286" t="e">
        <v>#VALUE!</v>
      </c>
      <c r="DJ29" s="287" t="s">
        <v>336</v>
      </c>
      <c r="DK29" s="288">
        <v>25</v>
      </c>
    </row>
    <row r="30" spans="1:115" ht="15" customHeight="1">
      <c r="A30" s="271">
        <v>45414</v>
      </c>
      <c r="B30" s="272">
        <v>45414</v>
      </c>
      <c r="C30" s="273" t="s">
        <v>2926</v>
      </c>
      <c r="D30" s="274"/>
      <c r="E30" s="279" t="s">
        <v>2876</v>
      </c>
      <c r="F30" s="280"/>
      <c r="G30" s="277"/>
      <c r="H30" s="278">
        <v>550</v>
      </c>
      <c r="I30" s="279" t="s">
        <v>2927</v>
      </c>
      <c r="J30" s="280"/>
      <c r="DA30" s="281" t="s">
        <v>135</v>
      </c>
      <c r="DB30" s="282">
        <v>45414</v>
      </c>
      <c r="DC30" s="283" t="s">
        <v>3098</v>
      </c>
      <c r="DD30" s="284">
        <v>0</v>
      </c>
      <c r="DE30" s="284" t="e">
        <v>#VALUE!</v>
      </c>
      <c r="DF30" s="284" t="s">
        <v>6</v>
      </c>
      <c r="DG30" s="285" t="s">
        <v>6</v>
      </c>
      <c r="DH30" s="286">
        <v>45414</v>
      </c>
      <c r="DI30" s="286" t="e">
        <v>#VALUE!</v>
      </c>
      <c r="DJ30" s="287" t="s">
        <v>336</v>
      </c>
      <c r="DK30" s="288">
        <v>26</v>
      </c>
    </row>
    <row r="31" spans="1:115" ht="15" customHeight="1">
      <c r="A31" s="271">
        <v>45415</v>
      </c>
      <c r="B31" s="272">
        <v>45415</v>
      </c>
      <c r="C31" s="273" t="s">
        <v>2928</v>
      </c>
      <c r="D31" s="274"/>
      <c r="E31" s="279" t="s">
        <v>2876</v>
      </c>
      <c r="F31" s="280"/>
      <c r="G31" s="277"/>
      <c r="H31" s="278">
        <v>9200</v>
      </c>
      <c r="I31" s="279" t="s">
        <v>2929</v>
      </c>
      <c r="J31" s="280"/>
      <c r="DA31" s="281" t="s">
        <v>135</v>
      </c>
      <c r="DB31" s="282">
        <v>45415</v>
      </c>
      <c r="DC31" s="283" t="s">
        <v>3099</v>
      </c>
      <c r="DD31" s="284">
        <v>0</v>
      </c>
      <c r="DE31" s="284" t="e">
        <v>#VALUE!</v>
      </c>
      <c r="DF31" s="284" t="s">
        <v>6</v>
      </c>
      <c r="DG31" s="285" t="s">
        <v>6</v>
      </c>
      <c r="DH31" s="286">
        <v>45415</v>
      </c>
      <c r="DI31" s="286" t="e">
        <v>#VALUE!</v>
      </c>
      <c r="DJ31" s="287" t="s">
        <v>336</v>
      </c>
      <c r="DK31" s="288">
        <v>27</v>
      </c>
    </row>
    <row r="32" spans="1:115" ht="15" customHeight="1">
      <c r="A32" s="271">
        <v>45416</v>
      </c>
      <c r="B32" s="272">
        <v>45416</v>
      </c>
      <c r="C32" s="273" t="s">
        <v>2930</v>
      </c>
      <c r="D32" s="274"/>
      <c r="E32" s="279" t="s">
        <v>2876</v>
      </c>
      <c r="F32" s="280"/>
      <c r="G32" s="277"/>
      <c r="H32" s="278">
        <v>2250</v>
      </c>
      <c r="I32" s="279" t="s">
        <v>2931</v>
      </c>
      <c r="J32" s="280"/>
      <c r="DA32" s="281" t="s">
        <v>135</v>
      </c>
      <c r="DB32" s="282">
        <v>45416</v>
      </c>
      <c r="DC32" s="283" t="s">
        <v>3100</v>
      </c>
      <c r="DD32" s="284">
        <v>0</v>
      </c>
      <c r="DE32" s="284" t="e">
        <v>#VALUE!</v>
      </c>
      <c r="DF32" s="284" t="s">
        <v>6</v>
      </c>
      <c r="DG32" s="285" t="s">
        <v>6</v>
      </c>
      <c r="DH32" s="286">
        <v>45416</v>
      </c>
      <c r="DI32" s="286" t="e">
        <v>#VALUE!</v>
      </c>
      <c r="DJ32" s="287" t="s">
        <v>336</v>
      </c>
      <c r="DK32" s="288">
        <v>28</v>
      </c>
    </row>
    <row r="33" spans="1:115" ht="15" customHeight="1">
      <c r="A33" s="271">
        <v>45417</v>
      </c>
      <c r="B33" s="272">
        <v>45417</v>
      </c>
      <c r="C33" s="273" t="s">
        <v>2932</v>
      </c>
      <c r="D33" s="274"/>
      <c r="E33" s="279" t="s">
        <v>2876</v>
      </c>
      <c r="F33" s="280"/>
      <c r="G33" s="277"/>
      <c r="H33" s="278">
        <v>16400</v>
      </c>
      <c r="I33" s="279" t="s">
        <v>2933</v>
      </c>
      <c r="J33" s="280"/>
      <c r="DA33" s="281" t="s">
        <v>135</v>
      </c>
      <c r="DB33" s="282">
        <v>45417</v>
      </c>
      <c r="DC33" s="283" t="s">
        <v>3101</v>
      </c>
      <c r="DD33" s="284">
        <v>0</v>
      </c>
      <c r="DE33" s="284" t="e">
        <v>#VALUE!</v>
      </c>
      <c r="DF33" s="284" t="s">
        <v>6</v>
      </c>
      <c r="DG33" s="285" t="s">
        <v>6</v>
      </c>
      <c r="DH33" s="286">
        <v>45417</v>
      </c>
      <c r="DI33" s="286" t="e">
        <v>#VALUE!</v>
      </c>
      <c r="DJ33" s="287" t="s">
        <v>336</v>
      </c>
      <c r="DK33" s="288">
        <v>29</v>
      </c>
    </row>
    <row r="34" spans="1:115" ht="15" customHeight="1">
      <c r="A34" s="271">
        <v>45420</v>
      </c>
      <c r="B34" s="272">
        <v>45420</v>
      </c>
      <c r="C34" s="273" t="s">
        <v>2934</v>
      </c>
      <c r="D34" s="274"/>
      <c r="E34" s="279" t="s">
        <v>2876</v>
      </c>
      <c r="F34" s="280"/>
      <c r="G34" s="277"/>
      <c r="H34" s="278">
        <v>698</v>
      </c>
      <c r="I34" s="279" t="s">
        <v>2935</v>
      </c>
      <c r="J34" s="280"/>
      <c r="DA34" s="281" t="s">
        <v>135</v>
      </c>
      <c r="DB34" s="282">
        <v>45420</v>
      </c>
      <c r="DC34" s="283" t="s">
        <v>3102</v>
      </c>
      <c r="DD34" s="284">
        <v>0</v>
      </c>
      <c r="DE34" s="284" t="e">
        <v>#VALUE!</v>
      </c>
      <c r="DF34" s="284" t="s">
        <v>6</v>
      </c>
      <c r="DG34" s="285" t="s">
        <v>6</v>
      </c>
      <c r="DH34" s="286">
        <v>45420</v>
      </c>
      <c r="DI34" s="286" t="e">
        <v>#VALUE!</v>
      </c>
      <c r="DJ34" s="287" t="s">
        <v>336</v>
      </c>
      <c r="DK34" s="288">
        <v>30</v>
      </c>
    </row>
    <row r="35" spans="1:115" ht="15" customHeight="1">
      <c r="A35" s="271">
        <v>45421</v>
      </c>
      <c r="B35" s="272">
        <v>45421</v>
      </c>
      <c r="C35" s="273" t="s">
        <v>2936</v>
      </c>
      <c r="D35" s="274"/>
      <c r="E35" s="279" t="s">
        <v>2876</v>
      </c>
      <c r="F35" s="280"/>
      <c r="G35" s="277"/>
      <c r="H35" s="278">
        <v>4733</v>
      </c>
      <c r="I35" s="279" t="s">
        <v>2937</v>
      </c>
      <c r="J35" s="280"/>
      <c r="DA35" s="281" t="s">
        <v>135</v>
      </c>
      <c r="DB35" s="282">
        <v>45421</v>
      </c>
      <c r="DC35" s="283" t="s">
        <v>3103</v>
      </c>
      <c r="DD35" s="284">
        <v>0</v>
      </c>
      <c r="DE35" s="284" t="e">
        <v>#VALUE!</v>
      </c>
      <c r="DF35" s="284" t="s">
        <v>6</v>
      </c>
      <c r="DG35" s="285" t="s">
        <v>6</v>
      </c>
      <c r="DH35" s="286">
        <v>45421</v>
      </c>
      <c r="DI35" s="286" t="e">
        <v>#VALUE!</v>
      </c>
      <c r="DJ35" s="287" t="s">
        <v>336</v>
      </c>
      <c r="DK35" s="288">
        <v>31</v>
      </c>
    </row>
    <row r="36" spans="1:115" ht="15" customHeight="1">
      <c r="A36" s="271">
        <v>45421</v>
      </c>
      <c r="B36" s="272">
        <v>45421</v>
      </c>
      <c r="C36" s="273" t="s">
        <v>2938</v>
      </c>
      <c r="D36" s="274"/>
      <c r="E36" s="279" t="s">
        <v>2876</v>
      </c>
      <c r="F36" s="280"/>
      <c r="G36" s="290">
        <v>40000</v>
      </c>
      <c r="H36" s="277"/>
      <c r="I36" s="279" t="s">
        <v>2939</v>
      </c>
      <c r="J36" s="280"/>
      <c r="DA36" s="281" t="s">
        <v>135</v>
      </c>
      <c r="DB36" s="282">
        <v>45421</v>
      </c>
      <c r="DC36" s="283" t="s">
        <v>3104</v>
      </c>
      <c r="DD36" s="284">
        <v>40000</v>
      </c>
      <c r="DE36" s="284" t="e">
        <v>#VALUE!</v>
      </c>
      <c r="DF36" s="284" t="s">
        <v>6</v>
      </c>
      <c r="DG36" s="285" t="s">
        <v>6</v>
      </c>
      <c r="DH36" s="286">
        <v>45421</v>
      </c>
      <c r="DI36" s="286" t="e">
        <v>#VALUE!</v>
      </c>
      <c r="DJ36" s="287" t="s">
        <v>336</v>
      </c>
      <c r="DK36" s="288">
        <v>32</v>
      </c>
    </row>
    <row r="37" spans="1:115" ht="15" customHeight="1">
      <c r="A37" s="271">
        <v>45422</v>
      </c>
      <c r="B37" s="272">
        <v>45422</v>
      </c>
      <c r="C37" s="273" t="s">
        <v>2940</v>
      </c>
      <c r="D37" s="274"/>
      <c r="E37" s="279" t="s">
        <v>2876</v>
      </c>
      <c r="F37" s="280"/>
      <c r="G37" s="277"/>
      <c r="H37" s="278">
        <v>13740</v>
      </c>
      <c r="I37" s="279" t="s">
        <v>2941</v>
      </c>
      <c r="J37" s="280"/>
      <c r="DA37" s="281" t="s">
        <v>135</v>
      </c>
      <c r="DB37" s="282">
        <v>45422</v>
      </c>
      <c r="DC37" s="283" t="s">
        <v>3105</v>
      </c>
      <c r="DD37" s="284">
        <v>0</v>
      </c>
      <c r="DE37" s="284" t="e">
        <v>#VALUE!</v>
      </c>
      <c r="DF37" s="284" t="s">
        <v>6</v>
      </c>
      <c r="DG37" s="285" t="s">
        <v>6</v>
      </c>
      <c r="DH37" s="286">
        <v>45422</v>
      </c>
      <c r="DI37" s="286" t="e">
        <v>#VALUE!</v>
      </c>
      <c r="DJ37" s="287" t="s">
        <v>336</v>
      </c>
      <c r="DK37" s="288">
        <v>33</v>
      </c>
    </row>
    <row r="38" spans="1:115" ht="15" customHeight="1">
      <c r="A38" s="271">
        <v>45424</v>
      </c>
      <c r="B38" s="272">
        <v>45424</v>
      </c>
      <c r="C38" s="273" t="s">
        <v>2942</v>
      </c>
      <c r="D38" s="274"/>
      <c r="E38" s="279" t="s">
        <v>2876</v>
      </c>
      <c r="F38" s="280"/>
      <c r="G38" s="277"/>
      <c r="H38" s="278">
        <v>52430</v>
      </c>
      <c r="I38" s="279" t="s">
        <v>2943</v>
      </c>
      <c r="J38" s="280"/>
      <c r="DA38" s="281" t="s">
        <v>135</v>
      </c>
      <c r="DB38" s="282">
        <v>45424</v>
      </c>
      <c r="DC38" s="283" t="s">
        <v>3106</v>
      </c>
      <c r="DD38" s="284">
        <v>0</v>
      </c>
      <c r="DE38" s="284" t="e">
        <v>#VALUE!</v>
      </c>
      <c r="DF38" s="284" t="s">
        <v>6</v>
      </c>
      <c r="DG38" s="285" t="s">
        <v>6</v>
      </c>
      <c r="DH38" s="286">
        <v>45424</v>
      </c>
      <c r="DI38" s="286" t="e">
        <v>#VALUE!</v>
      </c>
      <c r="DJ38" s="287" t="s">
        <v>336</v>
      </c>
      <c r="DK38" s="288">
        <v>34</v>
      </c>
    </row>
    <row r="39" spans="1:115" ht="15" customHeight="1">
      <c r="A39" s="271">
        <v>45424</v>
      </c>
      <c r="B39" s="272">
        <v>45424</v>
      </c>
      <c r="C39" s="293" t="s">
        <v>2944</v>
      </c>
      <c r="D39" s="294"/>
      <c r="E39" s="279" t="s">
        <v>2876</v>
      </c>
      <c r="F39" s="280"/>
      <c r="G39" s="277"/>
      <c r="H39" s="278">
        <v>7900</v>
      </c>
      <c r="I39" s="279" t="s">
        <v>2945</v>
      </c>
      <c r="J39" s="280"/>
      <c r="DA39" s="281" t="s">
        <v>135</v>
      </c>
      <c r="DB39" s="282">
        <v>45424</v>
      </c>
      <c r="DC39" s="283" t="s">
        <v>3107</v>
      </c>
      <c r="DD39" s="284">
        <v>0</v>
      </c>
      <c r="DE39" s="284" t="e">
        <v>#VALUE!</v>
      </c>
      <c r="DF39" s="284" t="s">
        <v>6</v>
      </c>
      <c r="DG39" s="285" t="s">
        <v>6</v>
      </c>
      <c r="DH39" s="286">
        <v>45424</v>
      </c>
      <c r="DI39" s="286" t="e">
        <v>#VALUE!</v>
      </c>
      <c r="DJ39" s="287" t="s">
        <v>336</v>
      </c>
      <c r="DK39" s="288">
        <v>35</v>
      </c>
    </row>
    <row r="40" spans="1:115" ht="15" customHeight="1">
      <c r="A40" s="271">
        <v>45426</v>
      </c>
      <c r="B40" s="272">
        <v>45426</v>
      </c>
      <c r="C40" s="273" t="s">
        <v>2946</v>
      </c>
      <c r="D40" s="274"/>
      <c r="E40" s="279" t="s">
        <v>2876</v>
      </c>
      <c r="F40" s="280"/>
      <c r="G40" s="277"/>
      <c r="H40" s="278">
        <v>4200</v>
      </c>
      <c r="I40" s="279" t="s">
        <v>2947</v>
      </c>
      <c r="J40" s="280"/>
      <c r="DA40" s="281" t="s">
        <v>135</v>
      </c>
      <c r="DB40" s="282">
        <v>45426</v>
      </c>
      <c r="DC40" s="283" t="s">
        <v>3108</v>
      </c>
      <c r="DD40" s="284">
        <v>0</v>
      </c>
      <c r="DE40" s="284" t="e">
        <v>#VALUE!</v>
      </c>
      <c r="DF40" s="284" t="s">
        <v>6</v>
      </c>
      <c r="DG40" s="285" t="s">
        <v>6</v>
      </c>
      <c r="DH40" s="286">
        <v>45426</v>
      </c>
      <c r="DI40" s="286" t="e">
        <v>#VALUE!</v>
      </c>
      <c r="DJ40" s="287" t="s">
        <v>336</v>
      </c>
      <c r="DK40" s="288">
        <v>36</v>
      </c>
    </row>
    <row r="41" spans="1:115" ht="15" customHeight="1">
      <c r="A41" s="271">
        <v>45426</v>
      </c>
      <c r="B41" s="272">
        <v>45426</v>
      </c>
      <c r="C41" s="273" t="s">
        <v>2948</v>
      </c>
      <c r="D41" s="274"/>
      <c r="E41" s="275" t="s">
        <v>2876</v>
      </c>
      <c r="F41" s="276"/>
      <c r="G41" s="277"/>
      <c r="H41" s="278">
        <v>15000</v>
      </c>
      <c r="I41" s="279" t="s">
        <v>2949</v>
      </c>
      <c r="J41" s="280"/>
      <c r="DA41" s="281" t="s">
        <v>135</v>
      </c>
      <c r="DB41" s="282">
        <v>45426</v>
      </c>
      <c r="DC41" s="283" t="s">
        <v>3109</v>
      </c>
      <c r="DD41" s="284">
        <v>0</v>
      </c>
      <c r="DE41" s="284" t="e">
        <v>#VALUE!</v>
      </c>
      <c r="DF41" s="284" t="s">
        <v>6</v>
      </c>
      <c r="DG41" s="285" t="s">
        <v>6</v>
      </c>
      <c r="DH41" s="286">
        <v>45426</v>
      </c>
      <c r="DI41" s="286" t="e">
        <v>#VALUE!</v>
      </c>
      <c r="DJ41" s="287" t="s">
        <v>336</v>
      </c>
      <c r="DK41" s="288">
        <v>37</v>
      </c>
    </row>
    <row r="42" spans="1:115" ht="15" customHeight="1">
      <c r="A42" s="271">
        <v>45427</v>
      </c>
      <c r="B42" s="272">
        <v>45427</v>
      </c>
      <c r="C42" s="273" t="s">
        <v>2950</v>
      </c>
      <c r="D42" s="274"/>
      <c r="E42" s="275" t="s">
        <v>2876</v>
      </c>
      <c r="F42" s="276"/>
      <c r="G42" s="277"/>
      <c r="H42" s="278">
        <v>9600</v>
      </c>
      <c r="I42" s="279" t="s">
        <v>2951</v>
      </c>
      <c r="J42" s="280"/>
      <c r="DA42" s="281" t="s">
        <v>135</v>
      </c>
      <c r="DB42" s="282">
        <v>45427</v>
      </c>
      <c r="DC42" s="283" t="s">
        <v>3110</v>
      </c>
      <c r="DD42" s="284">
        <v>0</v>
      </c>
      <c r="DE42" s="284" t="e">
        <v>#VALUE!</v>
      </c>
      <c r="DF42" s="284" t="s">
        <v>6</v>
      </c>
      <c r="DG42" s="285" t="s">
        <v>6</v>
      </c>
      <c r="DH42" s="286">
        <v>45427</v>
      </c>
      <c r="DI42" s="286" t="e">
        <v>#VALUE!</v>
      </c>
      <c r="DJ42" s="287" t="s">
        <v>336</v>
      </c>
      <c r="DK42" s="288">
        <v>38</v>
      </c>
    </row>
    <row r="43" spans="1:115" ht="15" customHeight="1">
      <c r="A43" s="271">
        <v>45427</v>
      </c>
      <c r="B43" s="272">
        <v>45427</v>
      </c>
      <c r="C43" s="273" t="s">
        <v>2952</v>
      </c>
      <c r="D43" s="274"/>
      <c r="E43" s="275" t="s">
        <v>2876</v>
      </c>
      <c r="F43" s="276"/>
      <c r="G43" s="290">
        <v>150000</v>
      </c>
      <c r="H43" s="289"/>
      <c r="I43" s="279" t="s">
        <v>2953</v>
      </c>
      <c r="J43" s="280"/>
      <c r="DA43" s="281" t="s">
        <v>135</v>
      </c>
      <c r="DB43" s="282">
        <v>45427</v>
      </c>
      <c r="DC43" s="283" t="s">
        <v>3111</v>
      </c>
      <c r="DD43" s="284">
        <v>150000</v>
      </c>
      <c r="DE43" s="284" t="e">
        <v>#VALUE!</v>
      </c>
      <c r="DF43" s="284" t="s">
        <v>6</v>
      </c>
      <c r="DG43" s="285" t="s">
        <v>6</v>
      </c>
      <c r="DH43" s="286">
        <v>45427</v>
      </c>
      <c r="DI43" s="286" t="e">
        <v>#VALUE!</v>
      </c>
      <c r="DJ43" s="287" t="s">
        <v>336</v>
      </c>
      <c r="DK43" s="288">
        <v>39</v>
      </c>
    </row>
    <row r="44" spans="1:115" ht="15" customHeight="1">
      <c r="A44" s="271">
        <v>45429</v>
      </c>
      <c r="B44" s="272">
        <v>45429</v>
      </c>
      <c r="C44" s="273" t="s">
        <v>2954</v>
      </c>
      <c r="D44" s="274"/>
      <c r="E44" s="275" t="s">
        <v>2876</v>
      </c>
      <c r="F44" s="276"/>
      <c r="G44" s="277"/>
      <c r="H44" s="278">
        <v>2400</v>
      </c>
      <c r="I44" s="279" t="s">
        <v>2955</v>
      </c>
      <c r="J44" s="280"/>
      <c r="DA44" s="281" t="s">
        <v>135</v>
      </c>
      <c r="DB44" s="282">
        <v>45429</v>
      </c>
      <c r="DC44" s="283" t="s">
        <v>3112</v>
      </c>
      <c r="DD44" s="284">
        <v>0</v>
      </c>
      <c r="DE44" s="284" t="e">
        <v>#VALUE!</v>
      </c>
      <c r="DF44" s="284" t="s">
        <v>6</v>
      </c>
      <c r="DG44" s="285" t="s">
        <v>6</v>
      </c>
      <c r="DH44" s="286">
        <v>45429</v>
      </c>
      <c r="DI44" s="286" t="e">
        <v>#VALUE!</v>
      </c>
      <c r="DJ44" s="287" t="s">
        <v>336</v>
      </c>
      <c r="DK44" s="288">
        <v>40</v>
      </c>
    </row>
    <row r="45" spans="1:115" ht="15" customHeight="1">
      <c r="A45" s="271">
        <v>45430</v>
      </c>
      <c r="B45" s="272">
        <v>45430</v>
      </c>
      <c r="C45" s="273" t="s">
        <v>2956</v>
      </c>
      <c r="D45" s="274"/>
      <c r="E45" s="275" t="s">
        <v>2876</v>
      </c>
      <c r="F45" s="276"/>
      <c r="G45" s="277"/>
      <c r="H45" s="278">
        <v>8300</v>
      </c>
      <c r="I45" s="279" t="s">
        <v>2957</v>
      </c>
      <c r="J45" s="280"/>
      <c r="DA45" s="281" t="s">
        <v>135</v>
      </c>
      <c r="DB45" s="282">
        <v>45430</v>
      </c>
      <c r="DC45" s="283" t="s">
        <v>3113</v>
      </c>
      <c r="DD45" s="284">
        <v>0</v>
      </c>
      <c r="DE45" s="284" t="e">
        <v>#VALUE!</v>
      </c>
      <c r="DF45" s="284" t="s">
        <v>6</v>
      </c>
      <c r="DG45" s="285" t="s">
        <v>6</v>
      </c>
      <c r="DH45" s="286">
        <v>45430</v>
      </c>
      <c r="DI45" s="286" t="e">
        <v>#VALUE!</v>
      </c>
      <c r="DJ45" s="287" t="s">
        <v>336</v>
      </c>
      <c r="DK45" s="288">
        <v>41</v>
      </c>
    </row>
    <row r="46" spans="1:115" ht="15" customHeight="1">
      <c r="A46" s="271">
        <v>45431</v>
      </c>
      <c r="B46" s="272">
        <v>45431</v>
      </c>
      <c r="C46" s="273" t="s">
        <v>2958</v>
      </c>
      <c r="D46" s="274"/>
      <c r="E46" s="275" t="s">
        <v>2876</v>
      </c>
      <c r="F46" s="276"/>
      <c r="G46" s="277"/>
      <c r="H46" s="278">
        <v>31000</v>
      </c>
      <c r="I46" s="279" t="s">
        <v>2959</v>
      </c>
      <c r="J46" s="280"/>
      <c r="DA46" s="281" t="s">
        <v>135</v>
      </c>
      <c r="DB46" s="282">
        <v>45431</v>
      </c>
      <c r="DC46" s="283" t="s">
        <v>3114</v>
      </c>
      <c r="DD46" s="284">
        <v>0</v>
      </c>
      <c r="DE46" s="284" t="e">
        <v>#VALUE!</v>
      </c>
      <c r="DF46" s="284" t="s">
        <v>6</v>
      </c>
      <c r="DG46" s="285" t="s">
        <v>6</v>
      </c>
      <c r="DH46" s="286">
        <v>45431</v>
      </c>
      <c r="DI46" s="286" t="e">
        <v>#VALUE!</v>
      </c>
      <c r="DJ46" s="287" t="s">
        <v>336</v>
      </c>
      <c r="DK46" s="288">
        <v>42</v>
      </c>
    </row>
    <row r="47" spans="1:115" ht="15" customHeight="1">
      <c r="A47" s="271">
        <v>45434</v>
      </c>
      <c r="B47" s="272">
        <v>45434</v>
      </c>
      <c r="C47" s="273" t="s">
        <v>2960</v>
      </c>
      <c r="D47" s="274"/>
      <c r="E47" s="275" t="s">
        <v>2876</v>
      </c>
      <c r="F47" s="276"/>
      <c r="G47" s="277"/>
      <c r="H47" s="278">
        <v>5700</v>
      </c>
      <c r="I47" s="279" t="s">
        <v>2961</v>
      </c>
      <c r="J47" s="280"/>
      <c r="DA47" s="281" t="s">
        <v>135</v>
      </c>
      <c r="DB47" s="282">
        <v>45434</v>
      </c>
      <c r="DC47" s="283" t="s">
        <v>3115</v>
      </c>
      <c r="DD47" s="284">
        <v>0</v>
      </c>
      <c r="DE47" s="284" t="e">
        <v>#VALUE!</v>
      </c>
      <c r="DF47" s="284" t="s">
        <v>6</v>
      </c>
      <c r="DG47" s="285" t="s">
        <v>6</v>
      </c>
      <c r="DH47" s="286">
        <v>45434</v>
      </c>
      <c r="DI47" s="286" t="e">
        <v>#VALUE!</v>
      </c>
      <c r="DJ47" s="287" t="s">
        <v>336</v>
      </c>
      <c r="DK47" s="288">
        <v>43</v>
      </c>
    </row>
    <row r="48" spans="1:115" ht="15" customHeight="1">
      <c r="A48" s="271">
        <v>45434</v>
      </c>
      <c r="B48" s="272">
        <v>45434</v>
      </c>
      <c r="C48" s="273" t="s">
        <v>2962</v>
      </c>
      <c r="D48" s="274"/>
      <c r="E48" s="275" t="s">
        <v>2876</v>
      </c>
      <c r="F48" s="276"/>
      <c r="G48" s="289"/>
      <c r="H48" s="278">
        <v>1850</v>
      </c>
      <c r="I48" s="279" t="s">
        <v>2963</v>
      </c>
      <c r="J48" s="280"/>
      <c r="DA48" s="281" t="s">
        <v>135</v>
      </c>
      <c r="DB48" s="282">
        <v>45434</v>
      </c>
      <c r="DC48" s="283" t="s">
        <v>3116</v>
      </c>
      <c r="DD48" s="284">
        <v>0</v>
      </c>
      <c r="DE48" s="284" t="e">
        <v>#VALUE!</v>
      </c>
      <c r="DF48" s="284" t="s">
        <v>6</v>
      </c>
      <c r="DG48" s="285" t="s">
        <v>6</v>
      </c>
      <c r="DH48" s="286">
        <v>45434</v>
      </c>
      <c r="DI48" s="286" t="e">
        <v>#VALUE!</v>
      </c>
      <c r="DJ48" s="287" t="s">
        <v>336</v>
      </c>
      <c r="DK48" s="288">
        <v>44</v>
      </c>
    </row>
    <row r="49" spans="1:115" ht="15" customHeight="1">
      <c r="A49" s="271">
        <v>45435</v>
      </c>
      <c r="B49" s="272">
        <v>45435</v>
      </c>
      <c r="C49" s="273" t="s">
        <v>2964</v>
      </c>
      <c r="D49" s="274"/>
      <c r="E49" s="275" t="s">
        <v>2876</v>
      </c>
      <c r="F49" s="276"/>
      <c r="G49" s="277"/>
      <c r="H49" s="278">
        <v>1800</v>
      </c>
      <c r="I49" s="279" t="s">
        <v>2965</v>
      </c>
      <c r="J49" s="280"/>
      <c r="DA49" s="281" t="s">
        <v>135</v>
      </c>
      <c r="DB49" s="282">
        <v>45435</v>
      </c>
      <c r="DC49" s="283" t="s">
        <v>3117</v>
      </c>
      <c r="DD49" s="284">
        <v>0</v>
      </c>
      <c r="DE49" s="284" t="e">
        <v>#VALUE!</v>
      </c>
      <c r="DF49" s="284" t="s">
        <v>6</v>
      </c>
      <c r="DG49" s="285" t="s">
        <v>6</v>
      </c>
      <c r="DH49" s="286">
        <v>45435</v>
      </c>
      <c r="DI49" s="286" t="e">
        <v>#VALUE!</v>
      </c>
      <c r="DJ49" s="287" t="s">
        <v>336</v>
      </c>
      <c r="DK49" s="288">
        <v>45</v>
      </c>
    </row>
    <row r="50" spans="1:115" ht="15" customHeight="1">
      <c r="A50" s="271">
        <v>45436</v>
      </c>
      <c r="B50" s="272">
        <v>45436</v>
      </c>
      <c r="C50" s="273" t="s">
        <v>2966</v>
      </c>
      <c r="D50" s="274"/>
      <c r="E50" s="275" t="s">
        <v>2876</v>
      </c>
      <c r="F50" s="276"/>
      <c r="G50" s="277"/>
      <c r="H50" s="278">
        <v>13000</v>
      </c>
      <c r="I50" s="279" t="s">
        <v>2967</v>
      </c>
      <c r="J50" s="280"/>
      <c r="DA50" s="281" t="s">
        <v>135</v>
      </c>
      <c r="DB50" s="282">
        <v>45436</v>
      </c>
      <c r="DC50" s="283" t="s">
        <v>3118</v>
      </c>
      <c r="DD50" s="284">
        <v>0</v>
      </c>
      <c r="DE50" s="284" t="e">
        <v>#VALUE!</v>
      </c>
      <c r="DF50" s="284" t="s">
        <v>6</v>
      </c>
      <c r="DG50" s="285" t="s">
        <v>6</v>
      </c>
      <c r="DH50" s="286">
        <v>45436</v>
      </c>
      <c r="DI50" s="286" t="e">
        <v>#VALUE!</v>
      </c>
      <c r="DJ50" s="287" t="s">
        <v>336</v>
      </c>
      <c r="DK50" s="288">
        <v>46</v>
      </c>
    </row>
    <row r="51" spans="1:115" ht="15" customHeight="1">
      <c r="A51" s="271">
        <v>45437</v>
      </c>
      <c r="B51" s="272">
        <v>45437</v>
      </c>
      <c r="C51" s="273" t="s">
        <v>2968</v>
      </c>
      <c r="D51" s="274"/>
      <c r="E51" s="275" t="s">
        <v>2876</v>
      </c>
      <c r="F51" s="276"/>
      <c r="G51" s="277"/>
      <c r="H51" s="278">
        <v>13900</v>
      </c>
      <c r="I51" s="279" t="s">
        <v>2969</v>
      </c>
      <c r="J51" s="280"/>
      <c r="DA51" s="281" t="s">
        <v>135</v>
      </c>
      <c r="DB51" s="282">
        <v>45437</v>
      </c>
      <c r="DC51" s="283" t="s">
        <v>3119</v>
      </c>
      <c r="DD51" s="284">
        <v>0</v>
      </c>
      <c r="DE51" s="284" t="e">
        <v>#VALUE!</v>
      </c>
      <c r="DF51" s="284" t="s">
        <v>6</v>
      </c>
      <c r="DG51" s="285" t="s">
        <v>6</v>
      </c>
      <c r="DH51" s="286">
        <v>45437</v>
      </c>
      <c r="DI51" s="286" t="e">
        <v>#VALUE!</v>
      </c>
      <c r="DJ51" s="287" t="s">
        <v>336</v>
      </c>
      <c r="DK51" s="288">
        <v>47</v>
      </c>
    </row>
    <row r="52" spans="1:115" ht="15" customHeight="1">
      <c r="A52" s="271">
        <v>45439</v>
      </c>
      <c r="B52" s="272">
        <v>45439</v>
      </c>
      <c r="C52" s="273" t="s">
        <v>2970</v>
      </c>
      <c r="D52" s="274"/>
      <c r="E52" s="275" t="s">
        <v>2876</v>
      </c>
      <c r="F52" s="276"/>
      <c r="G52" s="277"/>
      <c r="H52" s="278">
        <v>1500</v>
      </c>
      <c r="I52" s="279" t="s">
        <v>2971</v>
      </c>
      <c r="J52" s="280"/>
      <c r="DA52" s="281" t="s">
        <v>135</v>
      </c>
      <c r="DB52" s="282">
        <v>45439</v>
      </c>
      <c r="DC52" s="283" t="s">
        <v>3120</v>
      </c>
      <c r="DD52" s="284">
        <v>0</v>
      </c>
      <c r="DE52" s="284" t="e">
        <v>#VALUE!</v>
      </c>
      <c r="DF52" s="284" t="s">
        <v>6</v>
      </c>
      <c r="DG52" s="285" t="s">
        <v>6</v>
      </c>
      <c r="DH52" s="286">
        <v>45439</v>
      </c>
      <c r="DI52" s="286" t="e">
        <v>#VALUE!</v>
      </c>
      <c r="DJ52" s="287" t="s">
        <v>336</v>
      </c>
      <c r="DK52" s="288">
        <v>48</v>
      </c>
    </row>
    <row r="53" spans="1:115" ht="15" customHeight="1">
      <c r="A53" s="271">
        <v>45439</v>
      </c>
      <c r="B53" s="272">
        <v>45439</v>
      </c>
      <c r="C53" s="273" t="s">
        <v>2972</v>
      </c>
      <c r="D53" s="274"/>
      <c r="E53" s="275" t="s">
        <v>2876</v>
      </c>
      <c r="F53" s="276"/>
      <c r="G53" s="289"/>
      <c r="H53" s="278">
        <v>8350</v>
      </c>
      <c r="I53" s="279" t="s">
        <v>2973</v>
      </c>
      <c r="J53" s="280"/>
      <c r="DA53" s="281" t="s">
        <v>135</v>
      </c>
      <c r="DB53" s="282">
        <v>45439</v>
      </c>
      <c r="DC53" s="283" t="s">
        <v>3121</v>
      </c>
      <c r="DD53" s="284">
        <v>0</v>
      </c>
      <c r="DE53" s="284" t="e">
        <v>#VALUE!</v>
      </c>
      <c r="DF53" s="284" t="s">
        <v>6</v>
      </c>
      <c r="DG53" s="285" t="s">
        <v>6</v>
      </c>
      <c r="DH53" s="286">
        <v>45439</v>
      </c>
      <c r="DI53" s="286" t="e">
        <v>#VALUE!</v>
      </c>
      <c r="DJ53" s="287" t="s">
        <v>336</v>
      </c>
      <c r="DK53" s="288">
        <v>49</v>
      </c>
    </row>
    <row r="54" spans="1:115" ht="15" customHeight="1">
      <c r="A54" s="271">
        <v>45440</v>
      </c>
      <c r="B54" s="272">
        <v>45440</v>
      </c>
      <c r="C54" s="273" t="s">
        <v>2974</v>
      </c>
      <c r="D54" s="274"/>
      <c r="E54" s="275" t="s">
        <v>2876</v>
      </c>
      <c r="F54" s="276"/>
      <c r="G54" s="277"/>
      <c r="H54" s="278">
        <v>11600</v>
      </c>
      <c r="I54" s="279" t="s">
        <v>2975</v>
      </c>
      <c r="J54" s="280"/>
      <c r="DA54" s="281" t="s">
        <v>135</v>
      </c>
      <c r="DB54" s="282">
        <v>45440</v>
      </c>
      <c r="DC54" s="283" t="s">
        <v>3122</v>
      </c>
      <c r="DD54" s="284">
        <v>0</v>
      </c>
      <c r="DE54" s="284" t="e">
        <v>#VALUE!</v>
      </c>
      <c r="DF54" s="284" t="s">
        <v>6</v>
      </c>
      <c r="DG54" s="285" t="s">
        <v>6</v>
      </c>
      <c r="DH54" s="286">
        <v>45440</v>
      </c>
      <c r="DI54" s="286" t="e">
        <v>#VALUE!</v>
      </c>
      <c r="DJ54" s="287" t="s">
        <v>336</v>
      </c>
      <c r="DK54" s="288">
        <v>50</v>
      </c>
    </row>
    <row r="55" spans="1:115" ht="15" customHeight="1">
      <c r="A55" s="271">
        <v>45442</v>
      </c>
      <c r="B55" s="272">
        <v>45442</v>
      </c>
      <c r="C55" s="273" t="s">
        <v>2976</v>
      </c>
      <c r="D55" s="274"/>
      <c r="E55" s="275" t="s">
        <v>2876</v>
      </c>
      <c r="F55" s="276"/>
      <c r="G55" s="277"/>
      <c r="H55" s="278">
        <v>8275</v>
      </c>
      <c r="I55" s="279" t="s">
        <v>2977</v>
      </c>
      <c r="J55" s="280"/>
      <c r="DA55" s="281" t="s">
        <v>135</v>
      </c>
      <c r="DB55" s="282">
        <v>45442</v>
      </c>
      <c r="DC55" s="283" t="s">
        <v>3123</v>
      </c>
      <c r="DD55" s="284">
        <v>0</v>
      </c>
      <c r="DE55" s="284" t="e">
        <v>#VALUE!</v>
      </c>
      <c r="DF55" s="284" t="s">
        <v>6</v>
      </c>
      <c r="DG55" s="285" t="s">
        <v>6</v>
      </c>
      <c r="DH55" s="286">
        <v>45442</v>
      </c>
      <c r="DI55" s="286" t="e">
        <v>#VALUE!</v>
      </c>
      <c r="DJ55" s="287" t="s">
        <v>336</v>
      </c>
      <c r="DK55" s="288">
        <v>51</v>
      </c>
    </row>
    <row r="56" spans="1:115" ht="15" customHeight="1">
      <c r="A56" s="271">
        <v>45443</v>
      </c>
      <c r="B56" s="272">
        <v>45443</v>
      </c>
      <c r="C56" s="273" t="s">
        <v>2978</v>
      </c>
      <c r="D56" s="274"/>
      <c r="E56" s="275" t="s">
        <v>2876</v>
      </c>
      <c r="F56" s="276"/>
      <c r="G56" s="277"/>
      <c r="H56" s="278">
        <v>3000</v>
      </c>
      <c r="I56" s="279" t="s">
        <v>2979</v>
      </c>
      <c r="J56" s="280"/>
      <c r="DA56" s="281" t="s">
        <v>135</v>
      </c>
      <c r="DB56" s="282">
        <v>45443</v>
      </c>
      <c r="DC56" s="283" t="s">
        <v>3124</v>
      </c>
      <c r="DD56" s="284">
        <v>0</v>
      </c>
      <c r="DE56" s="284" t="e">
        <v>#VALUE!</v>
      </c>
      <c r="DF56" s="284" t="s">
        <v>6</v>
      </c>
      <c r="DG56" s="285" t="s">
        <v>6</v>
      </c>
      <c r="DH56" s="286">
        <v>45443</v>
      </c>
      <c r="DI56" s="286" t="e">
        <v>#VALUE!</v>
      </c>
      <c r="DJ56" s="287" t="s">
        <v>336</v>
      </c>
      <c r="DK56" s="288">
        <v>52</v>
      </c>
    </row>
    <row r="57" spans="1:115" ht="15" customHeight="1">
      <c r="A57" s="271">
        <v>45444</v>
      </c>
      <c r="B57" s="272">
        <v>45444</v>
      </c>
      <c r="C57" s="273" t="s">
        <v>2980</v>
      </c>
      <c r="D57" s="274"/>
      <c r="E57" s="275" t="s">
        <v>2876</v>
      </c>
      <c r="F57" s="276"/>
      <c r="G57" s="277"/>
      <c r="H57" s="278">
        <v>12460</v>
      </c>
      <c r="I57" s="279" t="s">
        <v>2981</v>
      </c>
      <c r="J57" s="280"/>
      <c r="DA57" s="281" t="s">
        <v>135</v>
      </c>
      <c r="DB57" s="282">
        <v>45444</v>
      </c>
      <c r="DC57" s="283" t="s">
        <v>3125</v>
      </c>
      <c r="DD57" s="284">
        <v>0</v>
      </c>
      <c r="DE57" s="284" t="e">
        <v>#VALUE!</v>
      </c>
      <c r="DF57" s="284" t="s">
        <v>6</v>
      </c>
      <c r="DG57" s="285" t="s">
        <v>6</v>
      </c>
      <c r="DH57" s="286">
        <v>45444</v>
      </c>
      <c r="DI57" s="286" t="e">
        <v>#VALUE!</v>
      </c>
      <c r="DJ57" s="287" t="s">
        <v>336</v>
      </c>
      <c r="DK57" s="288">
        <v>53</v>
      </c>
    </row>
    <row r="58" spans="1:115" ht="15" customHeight="1">
      <c r="A58" s="271">
        <v>45445</v>
      </c>
      <c r="B58" s="272">
        <v>45445</v>
      </c>
      <c r="C58" s="273" t="s">
        <v>2982</v>
      </c>
      <c r="D58" s="274"/>
      <c r="E58" s="275" t="s">
        <v>2876</v>
      </c>
      <c r="F58" s="276"/>
      <c r="G58" s="289"/>
      <c r="H58" s="278">
        <v>2300</v>
      </c>
      <c r="I58" s="279" t="s">
        <v>2983</v>
      </c>
      <c r="J58" s="280"/>
      <c r="DA58" s="281" t="s">
        <v>135</v>
      </c>
      <c r="DB58" s="282">
        <v>45445</v>
      </c>
      <c r="DC58" s="283" t="s">
        <v>3126</v>
      </c>
      <c r="DD58" s="284">
        <v>0</v>
      </c>
      <c r="DE58" s="284" t="e">
        <v>#VALUE!</v>
      </c>
      <c r="DF58" s="284" t="s">
        <v>6</v>
      </c>
      <c r="DG58" s="285" t="s">
        <v>6</v>
      </c>
      <c r="DH58" s="286">
        <v>45445</v>
      </c>
      <c r="DI58" s="286" t="e">
        <v>#VALUE!</v>
      </c>
      <c r="DJ58" s="287" t="s">
        <v>336</v>
      </c>
      <c r="DK58" s="288">
        <v>54</v>
      </c>
    </row>
    <row r="59" spans="1:115" ht="15" customHeight="1">
      <c r="A59" s="271">
        <v>45447</v>
      </c>
      <c r="B59" s="272">
        <v>45447</v>
      </c>
      <c r="C59" s="273" t="s">
        <v>2984</v>
      </c>
      <c r="D59" s="274"/>
      <c r="E59" s="275" t="s">
        <v>2876</v>
      </c>
      <c r="F59" s="276"/>
      <c r="G59" s="277"/>
      <c r="H59" s="278">
        <v>7590</v>
      </c>
      <c r="I59" s="279" t="s">
        <v>2985</v>
      </c>
      <c r="J59" s="280"/>
      <c r="DA59" s="281" t="s">
        <v>135</v>
      </c>
      <c r="DB59" s="282">
        <v>45447</v>
      </c>
      <c r="DC59" s="283" t="s">
        <v>3127</v>
      </c>
      <c r="DD59" s="284">
        <v>0</v>
      </c>
      <c r="DE59" s="284" t="e">
        <v>#VALUE!</v>
      </c>
      <c r="DF59" s="284" t="s">
        <v>6</v>
      </c>
      <c r="DG59" s="285" t="s">
        <v>6</v>
      </c>
      <c r="DH59" s="286">
        <v>45447</v>
      </c>
      <c r="DI59" s="286" t="e">
        <v>#VALUE!</v>
      </c>
      <c r="DJ59" s="287" t="s">
        <v>336</v>
      </c>
      <c r="DK59" s="288">
        <v>55</v>
      </c>
    </row>
    <row r="60" spans="1:115" ht="15" customHeight="1">
      <c r="A60" s="271">
        <v>45447</v>
      </c>
      <c r="B60" s="272">
        <v>45447</v>
      </c>
      <c r="C60" s="273" t="s">
        <v>2986</v>
      </c>
      <c r="D60" s="274"/>
      <c r="E60" s="275" t="s">
        <v>2876</v>
      </c>
      <c r="F60" s="276"/>
      <c r="G60" s="290">
        <v>100000</v>
      </c>
      <c r="H60" s="277"/>
      <c r="I60" s="279" t="s">
        <v>2987</v>
      </c>
      <c r="J60" s="280"/>
      <c r="DA60" s="281" t="s">
        <v>135</v>
      </c>
      <c r="DB60" s="282">
        <v>45447</v>
      </c>
      <c r="DC60" s="283" t="s">
        <v>3128</v>
      </c>
      <c r="DD60" s="284">
        <v>100000</v>
      </c>
      <c r="DE60" s="284" t="e">
        <v>#VALUE!</v>
      </c>
      <c r="DF60" s="284" t="s">
        <v>6</v>
      </c>
      <c r="DG60" s="285" t="s">
        <v>6</v>
      </c>
      <c r="DH60" s="286">
        <v>45447</v>
      </c>
      <c r="DI60" s="286" t="e">
        <v>#VALUE!</v>
      </c>
      <c r="DJ60" s="287" t="s">
        <v>336</v>
      </c>
      <c r="DK60" s="288">
        <v>56</v>
      </c>
    </row>
    <row r="61" spans="1:115" ht="15" customHeight="1">
      <c r="A61" s="271">
        <v>45448</v>
      </c>
      <c r="B61" s="272">
        <v>45448</v>
      </c>
      <c r="C61" s="273" t="s">
        <v>2988</v>
      </c>
      <c r="D61" s="274"/>
      <c r="E61" s="275" t="s">
        <v>2876</v>
      </c>
      <c r="F61" s="276"/>
      <c r="G61" s="277"/>
      <c r="H61" s="278">
        <v>5180</v>
      </c>
      <c r="I61" s="279" t="s">
        <v>2989</v>
      </c>
      <c r="J61" s="280"/>
      <c r="DA61" s="281" t="s">
        <v>135</v>
      </c>
      <c r="DB61" s="282">
        <v>45448</v>
      </c>
      <c r="DC61" s="283" t="s">
        <v>3129</v>
      </c>
      <c r="DD61" s="284">
        <v>0</v>
      </c>
      <c r="DE61" s="284" t="e">
        <v>#VALUE!</v>
      </c>
      <c r="DF61" s="284" t="s">
        <v>6</v>
      </c>
      <c r="DG61" s="285" t="s">
        <v>6</v>
      </c>
      <c r="DH61" s="286">
        <v>45448</v>
      </c>
      <c r="DI61" s="286" t="e">
        <v>#VALUE!</v>
      </c>
      <c r="DJ61" s="287" t="s">
        <v>336</v>
      </c>
      <c r="DK61" s="288">
        <v>57</v>
      </c>
    </row>
    <row r="62" spans="1:115" ht="15" customHeight="1">
      <c r="A62" s="271">
        <v>45449</v>
      </c>
      <c r="B62" s="272">
        <v>45449</v>
      </c>
      <c r="C62" s="273" t="s">
        <v>2990</v>
      </c>
      <c r="D62" s="274"/>
      <c r="E62" s="275" t="s">
        <v>2876</v>
      </c>
      <c r="F62" s="276"/>
      <c r="G62" s="277"/>
      <c r="H62" s="278">
        <v>6220</v>
      </c>
      <c r="I62" s="275" t="s">
        <v>2991</v>
      </c>
      <c r="J62" s="276"/>
      <c r="DA62" s="281" t="s">
        <v>135</v>
      </c>
      <c r="DB62" s="282">
        <v>45449</v>
      </c>
      <c r="DC62" s="283" t="s">
        <v>3130</v>
      </c>
      <c r="DD62" s="284">
        <v>0</v>
      </c>
      <c r="DE62" s="284" t="e">
        <v>#VALUE!</v>
      </c>
      <c r="DF62" s="284" t="s">
        <v>6</v>
      </c>
      <c r="DG62" s="285" t="s">
        <v>6</v>
      </c>
      <c r="DH62" s="286">
        <v>45449</v>
      </c>
      <c r="DI62" s="286" t="e">
        <v>#VALUE!</v>
      </c>
      <c r="DJ62" s="287" t="s">
        <v>336</v>
      </c>
      <c r="DK62" s="288">
        <v>58</v>
      </c>
    </row>
    <row r="63" spans="1:115" ht="15" customHeight="1">
      <c r="A63" s="271">
        <v>45450</v>
      </c>
      <c r="B63" s="272">
        <v>45450</v>
      </c>
      <c r="C63" s="273" t="s">
        <v>2992</v>
      </c>
      <c r="D63" s="274"/>
      <c r="E63" s="275" t="s">
        <v>2876</v>
      </c>
      <c r="F63" s="276"/>
      <c r="G63" s="277"/>
      <c r="H63" s="278">
        <v>8853</v>
      </c>
      <c r="I63" s="275" t="s">
        <v>2993</v>
      </c>
      <c r="J63" s="276"/>
      <c r="DA63" s="281" t="s">
        <v>135</v>
      </c>
      <c r="DB63" s="282">
        <v>45450</v>
      </c>
      <c r="DC63" s="283" t="s">
        <v>3131</v>
      </c>
      <c r="DD63" s="284">
        <v>0</v>
      </c>
      <c r="DE63" s="284" t="e">
        <v>#VALUE!</v>
      </c>
      <c r="DF63" s="284" t="s">
        <v>6</v>
      </c>
      <c r="DG63" s="285" t="s">
        <v>6</v>
      </c>
      <c r="DH63" s="286">
        <v>45450</v>
      </c>
      <c r="DI63" s="286" t="e">
        <v>#VALUE!</v>
      </c>
      <c r="DJ63" s="287" t="s">
        <v>336</v>
      </c>
      <c r="DK63" s="288">
        <v>59</v>
      </c>
    </row>
    <row r="64" spans="1:115" ht="15" customHeight="1">
      <c r="A64" s="271">
        <v>45451</v>
      </c>
      <c r="B64" s="272">
        <v>45451</v>
      </c>
      <c r="C64" s="273" t="s">
        <v>2994</v>
      </c>
      <c r="D64" s="274"/>
      <c r="E64" s="275" t="s">
        <v>2876</v>
      </c>
      <c r="F64" s="276"/>
      <c r="G64" s="277"/>
      <c r="H64" s="278">
        <v>18500</v>
      </c>
      <c r="I64" s="275" t="s">
        <v>2995</v>
      </c>
      <c r="J64" s="276"/>
      <c r="DA64" s="281" t="s">
        <v>135</v>
      </c>
      <c r="DB64" s="282">
        <v>45451</v>
      </c>
      <c r="DC64" s="283" t="s">
        <v>3132</v>
      </c>
      <c r="DD64" s="284">
        <v>0</v>
      </c>
      <c r="DE64" s="284" t="e">
        <v>#VALUE!</v>
      </c>
      <c r="DF64" s="284" t="s">
        <v>6</v>
      </c>
      <c r="DG64" s="285" t="s">
        <v>6</v>
      </c>
      <c r="DH64" s="286">
        <v>45451</v>
      </c>
      <c r="DI64" s="286" t="e">
        <v>#VALUE!</v>
      </c>
      <c r="DJ64" s="287" t="s">
        <v>336</v>
      </c>
      <c r="DK64" s="288">
        <v>60</v>
      </c>
    </row>
    <row r="65" spans="1:115" ht="15" customHeight="1">
      <c r="A65" s="271">
        <v>45453</v>
      </c>
      <c r="B65" s="272">
        <v>45453</v>
      </c>
      <c r="C65" s="273" t="s">
        <v>2996</v>
      </c>
      <c r="D65" s="274"/>
      <c r="E65" s="275" t="s">
        <v>2876</v>
      </c>
      <c r="F65" s="276"/>
      <c r="G65" s="290">
        <v>20000</v>
      </c>
      <c r="H65" s="289"/>
      <c r="I65" s="275" t="s">
        <v>2997</v>
      </c>
      <c r="J65" s="276"/>
      <c r="DA65" s="281" t="s">
        <v>135</v>
      </c>
      <c r="DB65" s="282">
        <v>45453</v>
      </c>
      <c r="DC65" s="283" t="s">
        <v>3133</v>
      </c>
      <c r="DD65" s="284">
        <v>20000</v>
      </c>
      <c r="DE65" s="284" t="e">
        <v>#VALUE!</v>
      </c>
      <c r="DF65" s="284" t="s">
        <v>6</v>
      </c>
      <c r="DG65" s="285" t="s">
        <v>6</v>
      </c>
      <c r="DH65" s="286">
        <v>45453</v>
      </c>
      <c r="DI65" s="286" t="e">
        <v>#VALUE!</v>
      </c>
      <c r="DJ65" s="287" t="s">
        <v>336</v>
      </c>
      <c r="DK65" s="288">
        <v>61</v>
      </c>
    </row>
    <row r="66" spans="1:115" ht="15" customHeight="1">
      <c r="A66" s="271">
        <v>45453</v>
      </c>
      <c r="B66" s="272">
        <v>45453</v>
      </c>
      <c r="C66" s="273" t="s">
        <v>2998</v>
      </c>
      <c r="D66" s="274"/>
      <c r="E66" s="275" t="s">
        <v>2876</v>
      </c>
      <c r="F66" s="276"/>
      <c r="G66" s="289"/>
      <c r="H66" s="278">
        <v>15900</v>
      </c>
      <c r="I66" s="275" t="s">
        <v>2999</v>
      </c>
      <c r="J66" s="276"/>
      <c r="DA66" s="281" t="s">
        <v>135</v>
      </c>
      <c r="DB66" s="282">
        <v>45453</v>
      </c>
      <c r="DC66" s="283" t="s">
        <v>3134</v>
      </c>
      <c r="DD66" s="284">
        <v>0</v>
      </c>
      <c r="DE66" s="284" t="e">
        <v>#VALUE!</v>
      </c>
      <c r="DF66" s="284" t="s">
        <v>6</v>
      </c>
      <c r="DG66" s="285" t="s">
        <v>6</v>
      </c>
      <c r="DH66" s="286">
        <v>45453</v>
      </c>
      <c r="DI66" s="286" t="e">
        <v>#VALUE!</v>
      </c>
      <c r="DJ66" s="287" t="s">
        <v>336</v>
      </c>
      <c r="DK66" s="288">
        <v>62</v>
      </c>
    </row>
    <row r="67" spans="1:115" ht="15" customHeight="1">
      <c r="A67" s="271">
        <v>45454</v>
      </c>
      <c r="B67" s="272">
        <v>45454</v>
      </c>
      <c r="C67" s="273" t="s">
        <v>3000</v>
      </c>
      <c r="D67" s="274"/>
      <c r="E67" s="275" t="s">
        <v>2876</v>
      </c>
      <c r="F67" s="276"/>
      <c r="G67" s="277"/>
      <c r="H67" s="278">
        <v>4960</v>
      </c>
      <c r="I67" s="275" t="s">
        <v>3001</v>
      </c>
      <c r="J67" s="276"/>
      <c r="DA67" s="281" t="s">
        <v>135</v>
      </c>
      <c r="DB67" s="282">
        <v>45454</v>
      </c>
      <c r="DC67" s="283" t="s">
        <v>3135</v>
      </c>
      <c r="DD67" s="284">
        <v>0</v>
      </c>
      <c r="DE67" s="284" t="e">
        <v>#VALUE!</v>
      </c>
      <c r="DF67" s="284" t="s">
        <v>6</v>
      </c>
      <c r="DG67" s="285" t="s">
        <v>6</v>
      </c>
      <c r="DH67" s="286">
        <v>45454</v>
      </c>
      <c r="DI67" s="286" t="e">
        <v>#VALUE!</v>
      </c>
      <c r="DJ67" s="287" t="s">
        <v>336</v>
      </c>
      <c r="DK67" s="288">
        <v>63</v>
      </c>
    </row>
    <row r="68" spans="1:115" ht="15" customHeight="1">
      <c r="A68" s="271">
        <v>45454</v>
      </c>
      <c r="B68" s="272">
        <v>45454</v>
      </c>
      <c r="C68" s="273" t="s">
        <v>3002</v>
      </c>
      <c r="D68" s="274"/>
      <c r="E68" s="275" t="s">
        <v>2876</v>
      </c>
      <c r="F68" s="276"/>
      <c r="G68" s="290">
        <v>80000</v>
      </c>
      <c r="H68" s="277"/>
      <c r="I68" s="275" t="s">
        <v>3003</v>
      </c>
      <c r="J68" s="276"/>
      <c r="DA68" s="281" t="s">
        <v>135</v>
      </c>
      <c r="DB68" s="282">
        <v>45454</v>
      </c>
      <c r="DC68" s="283" t="s">
        <v>3136</v>
      </c>
      <c r="DD68" s="284">
        <v>80000</v>
      </c>
      <c r="DE68" s="284" t="e">
        <v>#VALUE!</v>
      </c>
      <c r="DF68" s="284" t="s">
        <v>6</v>
      </c>
      <c r="DG68" s="285" t="s">
        <v>6</v>
      </c>
      <c r="DH68" s="286">
        <v>45454</v>
      </c>
      <c r="DI68" s="286" t="e">
        <v>#VALUE!</v>
      </c>
      <c r="DJ68" s="287" t="s">
        <v>336</v>
      </c>
      <c r="DK68" s="288">
        <v>64</v>
      </c>
    </row>
    <row r="69" spans="1:115" ht="15" customHeight="1">
      <c r="A69" s="271">
        <v>45456</v>
      </c>
      <c r="B69" s="272">
        <v>45456</v>
      </c>
      <c r="C69" s="273" t="s">
        <v>3004</v>
      </c>
      <c r="D69" s="274"/>
      <c r="E69" s="275" t="s">
        <v>2876</v>
      </c>
      <c r="F69" s="276"/>
      <c r="G69" s="277"/>
      <c r="H69" s="278">
        <v>800</v>
      </c>
      <c r="I69" s="275" t="s">
        <v>3005</v>
      </c>
      <c r="J69" s="276"/>
      <c r="DA69" s="281" t="s">
        <v>135</v>
      </c>
      <c r="DB69" s="282">
        <v>45456</v>
      </c>
      <c r="DC69" s="283" t="s">
        <v>3137</v>
      </c>
      <c r="DD69" s="284">
        <v>0</v>
      </c>
      <c r="DE69" s="284" t="e">
        <v>#VALUE!</v>
      </c>
      <c r="DF69" s="284" t="s">
        <v>6</v>
      </c>
      <c r="DG69" s="285" t="s">
        <v>6</v>
      </c>
      <c r="DH69" s="286">
        <v>45456</v>
      </c>
      <c r="DI69" s="286" t="e">
        <v>#VALUE!</v>
      </c>
      <c r="DJ69" s="287" t="s">
        <v>336</v>
      </c>
      <c r="DK69" s="288">
        <v>65</v>
      </c>
    </row>
    <row r="70" spans="1:115" ht="15" customHeight="1">
      <c r="A70" s="271">
        <v>45457</v>
      </c>
      <c r="B70" s="272">
        <v>45457</v>
      </c>
      <c r="C70" s="273" t="s">
        <v>3006</v>
      </c>
      <c r="D70" s="274"/>
      <c r="E70" s="275" t="s">
        <v>2876</v>
      </c>
      <c r="F70" s="276"/>
      <c r="G70" s="277"/>
      <c r="H70" s="278">
        <v>7150</v>
      </c>
      <c r="I70" s="275" t="s">
        <v>3007</v>
      </c>
      <c r="J70" s="276"/>
      <c r="DA70" s="281" t="s">
        <v>135</v>
      </c>
      <c r="DB70" s="282">
        <v>45457</v>
      </c>
      <c r="DC70" s="283" t="s">
        <v>3138</v>
      </c>
      <c r="DD70" s="284">
        <v>0</v>
      </c>
      <c r="DE70" s="284" t="e">
        <v>#VALUE!</v>
      </c>
      <c r="DF70" s="284" t="s">
        <v>6</v>
      </c>
      <c r="DG70" s="285" t="s">
        <v>6</v>
      </c>
      <c r="DH70" s="286">
        <v>45457</v>
      </c>
      <c r="DI70" s="286" t="e">
        <v>#VALUE!</v>
      </c>
      <c r="DJ70" s="287" t="s">
        <v>336</v>
      </c>
      <c r="DK70" s="288">
        <v>66</v>
      </c>
    </row>
    <row r="71" spans="1:115" ht="15" customHeight="1">
      <c r="A71" s="271">
        <v>45458</v>
      </c>
      <c r="B71" s="272">
        <v>45458</v>
      </c>
      <c r="C71" s="273" t="s">
        <v>3008</v>
      </c>
      <c r="D71" s="274"/>
      <c r="E71" s="275" t="s">
        <v>2876</v>
      </c>
      <c r="F71" s="276"/>
      <c r="G71" s="277"/>
      <c r="H71" s="278">
        <v>3400</v>
      </c>
      <c r="I71" s="275" t="s">
        <v>3009</v>
      </c>
      <c r="J71" s="276"/>
      <c r="DA71" s="281" t="s">
        <v>135</v>
      </c>
      <c r="DB71" s="282">
        <v>45458</v>
      </c>
      <c r="DC71" s="283" t="s">
        <v>3139</v>
      </c>
      <c r="DD71" s="284">
        <v>0</v>
      </c>
      <c r="DE71" s="284" t="e">
        <v>#VALUE!</v>
      </c>
      <c r="DF71" s="284" t="s">
        <v>6</v>
      </c>
      <c r="DG71" s="285" t="s">
        <v>6</v>
      </c>
      <c r="DH71" s="286">
        <v>45458</v>
      </c>
      <c r="DI71" s="286" t="e">
        <v>#VALUE!</v>
      </c>
      <c r="DJ71" s="287" t="s">
        <v>336</v>
      </c>
      <c r="DK71" s="288">
        <v>67</v>
      </c>
    </row>
    <row r="72" spans="1:115" ht="15" customHeight="1">
      <c r="A72" s="271">
        <v>45460</v>
      </c>
      <c r="B72" s="272">
        <v>45460</v>
      </c>
      <c r="C72" s="273" t="s">
        <v>3010</v>
      </c>
      <c r="D72" s="274"/>
      <c r="E72" s="275" t="s">
        <v>2876</v>
      </c>
      <c r="F72" s="276"/>
      <c r="G72" s="277"/>
      <c r="H72" s="278">
        <v>420</v>
      </c>
      <c r="I72" s="275" t="s">
        <v>3011</v>
      </c>
      <c r="J72" s="276"/>
      <c r="DA72" s="281" t="s">
        <v>135</v>
      </c>
      <c r="DB72" s="282">
        <v>45460</v>
      </c>
      <c r="DC72" s="283" t="s">
        <v>3140</v>
      </c>
      <c r="DD72" s="284">
        <v>0</v>
      </c>
      <c r="DE72" s="284" t="e">
        <v>#VALUE!</v>
      </c>
      <c r="DF72" s="284" t="s">
        <v>6</v>
      </c>
      <c r="DG72" s="285" t="s">
        <v>6</v>
      </c>
      <c r="DH72" s="286">
        <v>45460</v>
      </c>
      <c r="DI72" s="286" t="e">
        <v>#VALUE!</v>
      </c>
      <c r="DJ72" s="287" t="s">
        <v>336</v>
      </c>
      <c r="DK72" s="288">
        <v>68</v>
      </c>
    </row>
    <row r="73" spans="1:115" ht="15" customHeight="1">
      <c r="A73" s="271">
        <v>45461</v>
      </c>
      <c r="B73" s="272">
        <v>45461</v>
      </c>
      <c r="C73" s="273" t="s">
        <v>3012</v>
      </c>
      <c r="D73" s="274"/>
      <c r="E73" s="275" t="s">
        <v>2876</v>
      </c>
      <c r="F73" s="276"/>
      <c r="G73" s="277"/>
      <c r="H73" s="278">
        <v>1395</v>
      </c>
      <c r="I73" s="275" t="s">
        <v>3013</v>
      </c>
      <c r="J73" s="276"/>
      <c r="DA73" s="281" t="s">
        <v>135</v>
      </c>
      <c r="DB73" s="282">
        <v>45461</v>
      </c>
      <c r="DC73" s="283" t="s">
        <v>3141</v>
      </c>
      <c r="DD73" s="284">
        <v>0</v>
      </c>
      <c r="DE73" s="284" t="e">
        <v>#VALUE!</v>
      </c>
      <c r="DF73" s="284" t="s">
        <v>6</v>
      </c>
      <c r="DG73" s="285" t="s">
        <v>6</v>
      </c>
      <c r="DH73" s="286">
        <v>45461</v>
      </c>
      <c r="DI73" s="286" t="e">
        <v>#VALUE!</v>
      </c>
      <c r="DJ73" s="287" t="s">
        <v>336</v>
      </c>
      <c r="DK73" s="288">
        <v>69</v>
      </c>
    </row>
    <row r="74" spans="1:115" ht="15" customHeight="1">
      <c r="A74" s="271">
        <v>45462</v>
      </c>
      <c r="B74" s="272">
        <v>45462</v>
      </c>
      <c r="C74" s="273" t="s">
        <v>3014</v>
      </c>
      <c r="D74" s="274"/>
      <c r="E74" s="275" t="s">
        <v>2876</v>
      </c>
      <c r="F74" s="276"/>
      <c r="G74" s="277"/>
      <c r="H74" s="278">
        <v>7950</v>
      </c>
      <c r="I74" s="275" t="s">
        <v>3015</v>
      </c>
      <c r="J74" s="276"/>
      <c r="DA74" s="281" t="s">
        <v>135</v>
      </c>
      <c r="DB74" s="282">
        <v>45462</v>
      </c>
      <c r="DC74" s="283" t="s">
        <v>3142</v>
      </c>
      <c r="DD74" s="284">
        <v>0</v>
      </c>
      <c r="DE74" s="284" t="e">
        <v>#VALUE!</v>
      </c>
      <c r="DF74" s="284" t="s">
        <v>6</v>
      </c>
      <c r="DG74" s="285" t="s">
        <v>6</v>
      </c>
      <c r="DH74" s="286">
        <v>45462</v>
      </c>
      <c r="DI74" s="286" t="e">
        <v>#VALUE!</v>
      </c>
      <c r="DJ74" s="287" t="s">
        <v>336</v>
      </c>
      <c r="DK74" s="288">
        <v>70</v>
      </c>
    </row>
    <row r="75" spans="1:115" ht="15" customHeight="1">
      <c r="A75" s="271">
        <v>45464</v>
      </c>
      <c r="B75" s="272">
        <v>45464</v>
      </c>
      <c r="C75" s="273" t="s">
        <v>3016</v>
      </c>
      <c r="D75" s="274"/>
      <c r="E75" s="275" t="s">
        <v>2876</v>
      </c>
      <c r="F75" s="276"/>
      <c r="G75" s="289"/>
      <c r="H75" s="278">
        <v>6610</v>
      </c>
      <c r="I75" s="275" t="s">
        <v>3017</v>
      </c>
      <c r="J75" s="276"/>
      <c r="DA75" s="281" t="s">
        <v>135</v>
      </c>
      <c r="DB75" s="282">
        <v>45464</v>
      </c>
      <c r="DC75" s="283" t="s">
        <v>3143</v>
      </c>
      <c r="DD75" s="284">
        <v>0</v>
      </c>
      <c r="DE75" s="284" t="e">
        <v>#VALUE!</v>
      </c>
      <c r="DF75" s="284" t="s">
        <v>6</v>
      </c>
      <c r="DG75" s="285" t="s">
        <v>6</v>
      </c>
      <c r="DH75" s="286">
        <v>45464</v>
      </c>
      <c r="DI75" s="286" t="e">
        <v>#VALUE!</v>
      </c>
      <c r="DJ75" s="287" t="s">
        <v>336</v>
      </c>
      <c r="DK75" s="288">
        <v>71</v>
      </c>
    </row>
    <row r="76" spans="1:115" ht="15" customHeight="1">
      <c r="A76" s="271">
        <v>45465</v>
      </c>
      <c r="B76" s="272">
        <v>45465</v>
      </c>
      <c r="C76" s="273" t="s">
        <v>3018</v>
      </c>
      <c r="D76" s="274"/>
      <c r="E76" s="275" t="s">
        <v>2876</v>
      </c>
      <c r="F76" s="276"/>
      <c r="G76" s="277"/>
      <c r="H76" s="278">
        <v>3500</v>
      </c>
      <c r="I76" s="275" t="s">
        <v>3019</v>
      </c>
      <c r="J76" s="276"/>
      <c r="DA76" s="281" t="s">
        <v>135</v>
      </c>
      <c r="DB76" s="282">
        <v>45465</v>
      </c>
      <c r="DC76" s="283" t="s">
        <v>3144</v>
      </c>
      <c r="DD76" s="284">
        <v>0</v>
      </c>
      <c r="DE76" s="284" t="e">
        <v>#VALUE!</v>
      </c>
      <c r="DF76" s="284" t="s">
        <v>6</v>
      </c>
      <c r="DG76" s="285" t="s">
        <v>6</v>
      </c>
      <c r="DH76" s="286">
        <v>45465</v>
      </c>
      <c r="DI76" s="286" t="e">
        <v>#VALUE!</v>
      </c>
      <c r="DJ76" s="287" t="s">
        <v>336</v>
      </c>
      <c r="DK76" s="288">
        <v>72</v>
      </c>
    </row>
    <row r="77" spans="1:115" ht="15" customHeight="1">
      <c r="A77" s="271">
        <v>45465</v>
      </c>
      <c r="B77" s="272">
        <v>45465</v>
      </c>
      <c r="C77" s="273" t="s">
        <v>3020</v>
      </c>
      <c r="D77" s="274"/>
      <c r="E77" s="275" t="s">
        <v>2876</v>
      </c>
      <c r="F77" s="276"/>
      <c r="G77" s="289"/>
      <c r="H77" s="278">
        <v>6000</v>
      </c>
      <c r="I77" s="275" t="s">
        <v>3021</v>
      </c>
      <c r="J77" s="276"/>
      <c r="DA77" s="281" t="s">
        <v>135</v>
      </c>
      <c r="DB77" s="282">
        <v>45465</v>
      </c>
      <c r="DC77" s="283" t="s">
        <v>3145</v>
      </c>
      <c r="DD77" s="284">
        <v>0</v>
      </c>
      <c r="DE77" s="284" t="e">
        <v>#VALUE!</v>
      </c>
      <c r="DF77" s="284" t="s">
        <v>6</v>
      </c>
      <c r="DG77" s="285" t="s">
        <v>6</v>
      </c>
      <c r="DH77" s="286">
        <v>45465</v>
      </c>
      <c r="DI77" s="286" t="e">
        <v>#VALUE!</v>
      </c>
      <c r="DJ77" s="287" t="s">
        <v>336</v>
      </c>
      <c r="DK77" s="288">
        <v>73</v>
      </c>
    </row>
    <row r="78" spans="1:115" ht="15" customHeight="1">
      <c r="A78" s="271">
        <v>45466</v>
      </c>
      <c r="B78" s="272">
        <v>45466</v>
      </c>
      <c r="C78" s="273" t="s">
        <v>3022</v>
      </c>
      <c r="D78" s="274"/>
      <c r="E78" s="275" t="s">
        <v>2876</v>
      </c>
      <c r="F78" s="276"/>
      <c r="G78" s="277"/>
      <c r="H78" s="278">
        <v>23420</v>
      </c>
      <c r="I78" s="275" t="s">
        <v>3023</v>
      </c>
      <c r="J78" s="276"/>
      <c r="DA78" s="281" t="s">
        <v>135</v>
      </c>
      <c r="DB78" s="282">
        <v>45466</v>
      </c>
      <c r="DC78" s="283" t="s">
        <v>3146</v>
      </c>
      <c r="DD78" s="284">
        <v>0</v>
      </c>
      <c r="DE78" s="284" t="e">
        <v>#VALUE!</v>
      </c>
      <c r="DF78" s="284" t="s">
        <v>6</v>
      </c>
      <c r="DG78" s="285" t="s">
        <v>6</v>
      </c>
      <c r="DH78" s="286">
        <v>45466</v>
      </c>
      <c r="DI78" s="286" t="e">
        <v>#VALUE!</v>
      </c>
      <c r="DJ78" s="287" t="s">
        <v>336</v>
      </c>
      <c r="DK78" s="288">
        <v>74</v>
      </c>
    </row>
    <row r="79" spans="1:115" ht="15" customHeight="1">
      <c r="A79" s="271">
        <v>45467</v>
      </c>
      <c r="B79" s="272">
        <v>45467</v>
      </c>
      <c r="C79" s="273" t="s">
        <v>3024</v>
      </c>
      <c r="D79" s="274"/>
      <c r="E79" s="275" t="s">
        <v>2876</v>
      </c>
      <c r="F79" s="276"/>
      <c r="G79" s="277"/>
      <c r="H79" s="278">
        <v>2000</v>
      </c>
      <c r="I79" s="275" t="s">
        <v>3025</v>
      </c>
      <c r="J79" s="276"/>
      <c r="DA79" s="281" t="s">
        <v>135</v>
      </c>
      <c r="DB79" s="282">
        <v>45467</v>
      </c>
      <c r="DC79" s="283" t="s">
        <v>3147</v>
      </c>
      <c r="DD79" s="284">
        <v>0</v>
      </c>
      <c r="DE79" s="284" t="e">
        <v>#VALUE!</v>
      </c>
      <c r="DF79" s="284" t="s">
        <v>6</v>
      </c>
      <c r="DG79" s="285" t="s">
        <v>6</v>
      </c>
      <c r="DH79" s="286">
        <v>45467</v>
      </c>
      <c r="DI79" s="286" t="e">
        <v>#VALUE!</v>
      </c>
      <c r="DJ79" s="287" t="s">
        <v>336</v>
      </c>
      <c r="DK79" s="288">
        <v>75</v>
      </c>
    </row>
    <row r="80" spans="1:115" ht="15" customHeight="1">
      <c r="A80" s="271">
        <v>45468</v>
      </c>
      <c r="B80" s="272">
        <v>45468</v>
      </c>
      <c r="C80" s="273" t="s">
        <v>3026</v>
      </c>
      <c r="D80" s="274"/>
      <c r="E80" s="275" t="s">
        <v>2876</v>
      </c>
      <c r="F80" s="276"/>
      <c r="G80" s="277"/>
      <c r="H80" s="278">
        <v>1700</v>
      </c>
      <c r="I80" s="275" t="s">
        <v>3027</v>
      </c>
      <c r="J80" s="276"/>
      <c r="DA80" s="281" t="s">
        <v>135</v>
      </c>
      <c r="DB80" s="282">
        <v>45468</v>
      </c>
      <c r="DC80" s="283" t="s">
        <v>3148</v>
      </c>
      <c r="DD80" s="284">
        <v>0</v>
      </c>
      <c r="DE80" s="284" t="e">
        <v>#VALUE!</v>
      </c>
      <c r="DF80" s="284" t="s">
        <v>6</v>
      </c>
      <c r="DG80" s="285" t="s">
        <v>6</v>
      </c>
      <c r="DH80" s="286">
        <v>45468</v>
      </c>
      <c r="DI80" s="286" t="e">
        <v>#VALUE!</v>
      </c>
      <c r="DJ80" s="287" t="s">
        <v>336</v>
      </c>
      <c r="DK80" s="288">
        <v>76</v>
      </c>
    </row>
    <row r="81" spans="1:115" ht="15" customHeight="1">
      <c r="A81" s="271">
        <v>45469</v>
      </c>
      <c r="B81" s="272">
        <v>45469</v>
      </c>
      <c r="C81" s="273" t="s">
        <v>3028</v>
      </c>
      <c r="D81" s="274"/>
      <c r="E81" s="275" t="s">
        <v>2876</v>
      </c>
      <c r="F81" s="276"/>
      <c r="G81" s="277"/>
      <c r="H81" s="278">
        <v>8200</v>
      </c>
      <c r="I81" s="275" t="s">
        <v>3029</v>
      </c>
      <c r="J81" s="276"/>
      <c r="DA81" s="281" t="s">
        <v>135</v>
      </c>
      <c r="DB81" s="282">
        <v>45469</v>
      </c>
      <c r="DC81" s="283" t="s">
        <v>3149</v>
      </c>
      <c r="DD81" s="284">
        <v>0</v>
      </c>
      <c r="DE81" s="284" t="e">
        <v>#VALUE!</v>
      </c>
      <c r="DF81" s="284" t="s">
        <v>6</v>
      </c>
      <c r="DG81" s="285" t="s">
        <v>6</v>
      </c>
      <c r="DH81" s="286">
        <v>45469</v>
      </c>
      <c r="DI81" s="286" t="e">
        <v>#VALUE!</v>
      </c>
      <c r="DJ81" s="287" t="s">
        <v>336</v>
      </c>
      <c r="DK81" s="288">
        <v>77</v>
      </c>
    </row>
    <row r="82" spans="1:115" ht="15" customHeight="1">
      <c r="A82" s="271">
        <v>45470</v>
      </c>
      <c r="B82" s="272">
        <v>45470</v>
      </c>
      <c r="C82" s="273" t="s">
        <v>3030</v>
      </c>
      <c r="D82" s="274"/>
      <c r="E82" s="275" t="s">
        <v>2876</v>
      </c>
      <c r="F82" s="276"/>
      <c r="G82" s="277"/>
      <c r="H82" s="278">
        <v>6150</v>
      </c>
      <c r="I82" s="275" t="s">
        <v>3031</v>
      </c>
      <c r="J82" s="276"/>
      <c r="DA82" s="281" t="s">
        <v>135</v>
      </c>
      <c r="DB82" s="282">
        <v>45470</v>
      </c>
      <c r="DC82" s="283" t="s">
        <v>3150</v>
      </c>
      <c r="DD82" s="284">
        <v>0</v>
      </c>
      <c r="DE82" s="284" t="e">
        <v>#VALUE!</v>
      </c>
      <c r="DF82" s="284" t="s">
        <v>6</v>
      </c>
      <c r="DG82" s="285" t="s">
        <v>6</v>
      </c>
      <c r="DH82" s="286">
        <v>45470</v>
      </c>
      <c r="DI82" s="286" t="e">
        <v>#VALUE!</v>
      </c>
      <c r="DJ82" s="287" t="s">
        <v>336</v>
      </c>
      <c r="DK82" s="288">
        <v>78</v>
      </c>
    </row>
    <row r="83" spans="1:115" ht="15" customHeight="1">
      <c r="A83" s="271">
        <v>45471</v>
      </c>
      <c r="B83" s="272">
        <v>45471</v>
      </c>
      <c r="C83" s="273" t="s">
        <v>3032</v>
      </c>
      <c r="D83" s="274"/>
      <c r="E83" s="275" t="s">
        <v>2876</v>
      </c>
      <c r="F83" s="276"/>
      <c r="G83" s="277"/>
      <c r="H83" s="278">
        <v>6850</v>
      </c>
      <c r="I83" s="279" t="s">
        <v>3033</v>
      </c>
      <c r="J83" s="280"/>
      <c r="DA83" s="281" t="s">
        <v>135</v>
      </c>
      <c r="DB83" s="282">
        <v>45471</v>
      </c>
      <c r="DC83" s="283" t="s">
        <v>3151</v>
      </c>
      <c r="DD83" s="284">
        <v>0</v>
      </c>
      <c r="DE83" s="284" t="e">
        <v>#VALUE!</v>
      </c>
      <c r="DF83" s="284" t="s">
        <v>6</v>
      </c>
      <c r="DG83" s="285" t="s">
        <v>6</v>
      </c>
      <c r="DH83" s="286">
        <v>45471</v>
      </c>
      <c r="DI83" s="286" t="e">
        <v>#VALUE!</v>
      </c>
      <c r="DJ83" s="287" t="s">
        <v>336</v>
      </c>
      <c r="DK83" s="288">
        <v>79</v>
      </c>
    </row>
    <row r="84" spans="1:115" ht="15" customHeight="1">
      <c r="A84" s="271">
        <v>45472</v>
      </c>
      <c r="B84" s="272">
        <v>45472</v>
      </c>
      <c r="C84" s="273" t="s">
        <v>3034</v>
      </c>
      <c r="D84" s="274"/>
      <c r="E84" s="275" t="s">
        <v>2876</v>
      </c>
      <c r="F84" s="276"/>
      <c r="G84" s="277"/>
      <c r="H84" s="278">
        <v>5700</v>
      </c>
      <c r="I84" s="279" t="s">
        <v>3035</v>
      </c>
      <c r="J84" s="280"/>
      <c r="DA84" s="281" t="s">
        <v>135</v>
      </c>
      <c r="DB84" s="282">
        <v>45472</v>
      </c>
      <c r="DC84" s="283" t="s">
        <v>3152</v>
      </c>
      <c r="DD84" s="284">
        <v>0</v>
      </c>
      <c r="DE84" s="284" t="e">
        <v>#VALUE!</v>
      </c>
      <c r="DF84" s="284" t="s">
        <v>6</v>
      </c>
      <c r="DG84" s="285" t="s">
        <v>6</v>
      </c>
      <c r="DH84" s="286">
        <v>45472</v>
      </c>
      <c r="DI84" s="286" t="e">
        <v>#VALUE!</v>
      </c>
      <c r="DJ84" s="287" t="s">
        <v>336</v>
      </c>
      <c r="DK84" s="288">
        <v>80</v>
      </c>
    </row>
    <row r="85" spans="1:115" ht="15" customHeight="1">
      <c r="A85" s="271">
        <v>45473</v>
      </c>
      <c r="B85" s="272">
        <v>45473</v>
      </c>
      <c r="C85" s="273" t="s">
        <v>3036</v>
      </c>
      <c r="D85" s="274"/>
      <c r="E85" s="275" t="s">
        <v>2876</v>
      </c>
      <c r="F85" s="276"/>
      <c r="G85" s="277"/>
      <c r="H85" s="278">
        <v>9600</v>
      </c>
      <c r="I85" s="279" t="s">
        <v>3037</v>
      </c>
      <c r="J85" s="280"/>
      <c r="DA85" s="281" t="s">
        <v>135</v>
      </c>
      <c r="DB85" s="282">
        <v>45473</v>
      </c>
      <c r="DC85" s="283" t="s">
        <v>3153</v>
      </c>
      <c r="DD85" s="284">
        <v>0</v>
      </c>
      <c r="DE85" s="284" t="e">
        <v>#VALUE!</v>
      </c>
      <c r="DF85" s="284" t="s">
        <v>6</v>
      </c>
      <c r="DG85" s="285" t="s">
        <v>6</v>
      </c>
      <c r="DH85" s="286">
        <v>45473</v>
      </c>
      <c r="DI85" s="286" t="e">
        <v>#VALUE!</v>
      </c>
      <c r="DJ85" s="287" t="s">
        <v>336</v>
      </c>
      <c r="DK85" s="288">
        <v>81</v>
      </c>
    </row>
    <row r="86" spans="1:115">
      <c r="A86" s="271">
        <v>45473</v>
      </c>
      <c r="B86" s="272">
        <v>45473</v>
      </c>
      <c r="C86" s="273" t="s">
        <v>3038</v>
      </c>
      <c r="D86" s="274"/>
      <c r="E86" s="275" t="s">
        <v>2876</v>
      </c>
      <c r="F86" s="276"/>
      <c r="G86" s="290">
        <v>15</v>
      </c>
      <c r="H86" s="289"/>
      <c r="I86" s="279" t="s">
        <v>3039</v>
      </c>
      <c r="J86" s="280"/>
      <c r="DA86" s="281" t="s">
        <v>135</v>
      </c>
      <c r="DB86" s="282">
        <v>45473</v>
      </c>
      <c r="DC86" s="283" t="s">
        <v>3154</v>
      </c>
      <c r="DD86" s="284">
        <v>15</v>
      </c>
      <c r="DE86" s="284" t="e">
        <v>#VALUE!</v>
      </c>
      <c r="DF86" s="284" t="s">
        <v>6</v>
      </c>
      <c r="DG86" s="285" t="s">
        <v>6</v>
      </c>
      <c r="DH86" s="286">
        <v>45473</v>
      </c>
      <c r="DI86" s="286" t="e">
        <v>#VALUE!</v>
      </c>
      <c r="DJ86" s="287" t="s">
        <v>336</v>
      </c>
      <c r="DK86" s="288">
        <v>82</v>
      </c>
    </row>
    <row r="87" spans="1:115">
      <c r="A87" s="271">
        <v>45473</v>
      </c>
      <c r="B87" s="272">
        <v>45473</v>
      </c>
      <c r="C87" s="273" t="s">
        <v>3040</v>
      </c>
      <c r="D87" s="274"/>
      <c r="E87" s="275" t="s">
        <v>2876</v>
      </c>
      <c r="F87" s="276"/>
      <c r="G87" s="290">
        <v>2.7</v>
      </c>
      <c r="H87" s="289"/>
      <c r="I87" s="279" t="s">
        <v>3041</v>
      </c>
      <c r="J87" s="280"/>
      <c r="DA87" s="281" t="s">
        <v>135</v>
      </c>
      <c r="DB87" s="282">
        <v>45473</v>
      </c>
      <c r="DC87" s="283" t="s">
        <v>3155</v>
      </c>
      <c r="DD87" s="284">
        <v>2.7</v>
      </c>
      <c r="DE87" s="284" t="e">
        <v>#VALUE!</v>
      </c>
      <c r="DF87" s="284" t="s">
        <v>6</v>
      </c>
      <c r="DG87" s="285" t="s">
        <v>6</v>
      </c>
      <c r="DH87" s="286">
        <v>45473</v>
      </c>
      <c r="DI87" s="286" t="e">
        <v>#VALUE!</v>
      </c>
      <c r="DJ87" s="287" t="s">
        <v>336</v>
      </c>
      <c r="DK87" s="288">
        <v>83</v>
      </c>
    </row>
    <row r="88" spans="1:115" ht="15" customHeight="1">
      <c r="A88" s="271">
        <v>45475</v>
      </c>
      <c r="B88" s="272">
        <v>45475</v>
      </c>
      <c r="C88" s="273" t="s">
        <v>3042</v>
      </c>
      <c r="D88" s="274"/>
      <c r="E88" s="275" t="s">
        <v>2876</v>
      </c>
      <c r="F88" s="276"/>
      <c r="G88" s="277"/>
      <c r="H88" s="278">
        <v>610</v>
      </c>
      <c r="I88" s="279" t="s">
        <v>3043</v>
      </c>
      <c r="J88" s="280"/>
      <c r="DA88" s="281" t="s">
        <v>135</v>
      </c>
      <c r="DB88" s="282">
        <v>45475</v>
      </c>
      <c r="DC88" s="283" t="s">
        <v>3156</v>
      </c>
      <c r="DD88" s="284">
        <v>0</v>
      </c>
      <c r="DE88" s="284" t="e">
        <v>#VALUE!</v>
      </c>
      <c r="DF88" s="284" t="s">
        <v>6</v>
      </c>
      <c r="DG88" s="285" t="s">
        <v>6</v>
      </c>
      <c r="DH88" s="286">
        <v>45475</v>
      </c>
      <c r="DI88" s="286" t="e">
        <v>#VALUE!</v>
      </c>
      <c r="DJ88" s="287" t="s">
        <v>336</v>
      </c>
      <c r="DK88" s="288">
        <v>84</v>
      </c>
    </row>
    <row r="89" spans="1:115" ht="15" customHeight="1">
      <c r="A89" s="271">
        <v>45485</v>
      </c>
      <c r="B89" s="272">
        <v>45485</v>
      </c>
      <c r="C89" s="273" t="s">
        <v>3044</v>
      </c>
      <c r="D89" s="274"/>
      <c r="E89" s="275" t="s">
        <v>2876</v>
      </c>
      <c r="F89" s="276"/>
      <c r="G89" s="290">
        <v>100000</v>
      </c>
      <c r="H89" s="277"/>
      <c r="I89" s="279" t="s">
        <v>3045</v>
      </c>
      <c r="J89" s="280"/>
      <c r="DA89" s="281" t="s">
        <v>135</v>
      </c>
      <c r="DB89" s="282">
        <v>45485</v>
      </c>
      <c r="DC89" s="283" t="s">
        <v>3157</v>
      </c>
      <c r="DD89" s="284">
        <v>100000</v>
      </c>
      <c r="DE89" s="284" t="e">
        <v>#VALUE!</v>
      </c>
      <c r="DF89" s="284" t="s">
        <v>6</v>
      </c>
      <c r="DG89" s="285" t="s">
        <v>6</v>
      </c>
      <c r="DH89" s="286">
        <v>45485</v>
      </c>
      <c r="DI89" s="286" t="e">
        <v>#VALUE!</v>
      </c>
      <c r="DJ89" s="287" t="s">
        <v>336</v>
      </c>
      <c r="DK89" s="288">
        <v>85</v>
      </c>
    </row>
    <row r="90" spans="1:115" ht="15" customHeight="1">
      <c r="A90" s="271">
        <v>45543</v>
      </c>
      <c r="B90" s="272">
        <v>45543</v>
      </c>
      <c r="C90" s="273" t="s">
        <v>3046</v>
      </c>
      <c r="D90" s="274"/>
      <c r="E90" s="275" t="s">
        <v>2876</v>
      </c>
      <c r="F90" s="276"/>
      <c r="G90" s="289"/>
      <c r="H90" s="278">
        <v>1400</v>
      </c>
      <c r="I90" s="279" t="s">
        <v>3047</v>
      </c>
      <c r="J90" s="280"/>
      <c r="DA90" s="281" t="s">
        <v>135</v>
      </c>
      <c r="DB90" s="282">
        <v>45543</v>
      </c>
      <c r="DC90" s="283" t="s">
        <v>3158</v>
      </c>
      <c r="DD90" s="284">
        <v>0</v>
      </c>
      <c r="DE90" s="284" t="e">
        <v>#VALUE!</v>
      </c>
      <c r="DF90" s="284" t="s">
        <v>6</v>
      </c>
      <c r="DG90" s="285" t="s">
        <v>6</v>
      </c>
      <c r="DH90" s="286">
        <v>45543</v>
      </c>
      <c r="DI90" s="286" t="e">
        <v>#VALUE!</v>
      </c>
      <c r="DJ90" s="287" t="s">
        <v>336</v>
      </c>
      <c r="DK90" s="288">
        <v>86</v>
      </c>
    </row>
    <row r="91" spans="1:115" ht="15" customHeight="1">
      <c r="A91" s="271">
        <v>45546</v>
      </c>
      <c r="B91" s="272">
        <v>45546</v>
      </c>
      <c r="C91" s="273" t="s">
        <v>3048</v>
      </c>
      <c r="D91" s="274"/>
      <c r="E91" s="275" t="s">
        <v>2876</v>
      </c>
      <c r="F91" s="276"/>
      <c r="G91" s="277"/>
      <c r="H91" s="278">
        <v>4970</v>
      </c>
      <c r="I91" s="279" t="s">
        <v>3049</v>
      </c>
      <c r="J91" s="280"/>
      <c r="DA91" s="281" t="s">
        <v>135</v>
      </c>
      <c r="DB91" s="282">
        <v>45546</v>
      </c>
      <c r="DC91" s="283" t="s">
        <v>3159</v>
      </c>
      <c r="DD91" s="284">
        <v>0</v>
      </c>
      <c r="DE91" s="284" t="e">
        <v>#VALUE!</v>
      </c>
      <c r="DF91" s="284" t="s">
        <v>6</v>
      </c>
      <c r="DG91" s="285" t="s">
        <v>6</v>
      </c>
      <c r="DH91" s="286">
        <v>45546</v>
      </c>
      <c r="DI91" s="286" t="e">
        <v>#VALUE!</v>
      </c>
      <c r="DJ91" s="287" t="s">
        <v>336</v>
      </c>
      <c r="DK91" s="288">
        <v>87</v>
      </c>
    </row>
    <row r="92" spans="1:115" ht="15" customHeight="1">
      <c r="A92" s="271">
        <v>45547</v>
      </c>
      <c r="B92" s="272">
        <v>45547</v>
      </c>
      <c r="C92" s="273" t="s">
        <v>3050</v>
      </c>
      <c r="D92" s="274"/>
      <c r="E92" s="275" t="s">
        <v>2876</v>
      </c>
      <c r="F92" s="276"/>
      <c r="G92" s="277"/>
      <c r="H92" s="278">
        <v>9200</v>
      </c>
      <c r="I92" s="279" t="s">
        <v>3051</v>
      </c>
      <c r="J92" s="280"/>
      <c r="DA92" s="281" t="s">
        <v>135</v>
      </c>
      <c r="DB92" s="282">
        <v>45547</v>
      </c>
      <c r="DC92" s="283" t="s">
        <v>3160</v>
      </c>
      <c r="DD92" s="284">
        <v>0</v>
      </c>
      <c r="DE92" s="284" t="e">
        <v>#VALUE!</v>
      </c>
      <c r="DF92" s="284" t="s">
        <v>6</v>
      </c>
      <c r="DG92" s="285" t="s">
        <v>6</v>
      </c>
      <c r="DH92" s="286">
        <v>45547</v>
      </c>
      <c r="DI92" s="286" t="e">
        <v>#VALUE!</v>
      </c>
      <c r="DJ92" s="287" t="s">
        <v>336</v>
      </c>
      <c r="DK92" s="288">
        <v>88</v>
      </c>
    </row>
    <row r="93" spans="1:115" ht="15" customHeight="1">
      <c r="A93" s="271">
        <v>45548</v>
      </c>
      <c r="B93" s="272">
        <v>45548</v>
      </c>
      <c r="C93" s="273" t="s">
        <v>3052</v>
      </c>
      <c r="D93" s="274"/>
      <c r="E93" s="275" t="s">
        <v>2876</v>
      </c>
      <c r="F93" s="276"/>
      <c r="G93" s="289"/>
      <c r="H93" s="278">
        <v>196000</v>
      </c>
      <c r="I93" s="279" t="s">
        <v>3053</v>
      </c>
      <c r="J93" s="280"/>
      <c r="DA93" s="281" t="s">
        <v>135</v>
      </c>
      <c r="DB93" s="282">
        <v>45548</v>
      </c>
      <c r="DC93" s="283" t="s">
        <v>3161</v>
      </c>
      <c r="DD93" s="284">
        <v>0</v>
      </c>
      <c r="DE93" s="284" t="e">
        <v>#VALUE!</v>
      </c>
      <c r="DF93" s="284" t="s">
        <v>6</v>
      </c>
      <c r="DG93" s="285" t="s">
        <v>6</v>
      </c>
      <c r="DH93" s="286">
        <v>45548</v>
      </c>
      <c r="DI93" s="286" t="e">
        <v>#VALUE!</v>
      </c>
      <c r="DJ93" s="287" t="s">
        <v>336</v>
      </c>
      <c r="DK93" s="288">
        <v>89</v>
      </c>
    </row>
    <row r="94" spans="1:115" ht="15" customHeight="1">
      <c r="A94" s="271">
        <v>45548</v>
      </c>
      <c r="B94" s="272">
        <v>45548</v>
      </c>
      <c r="C94" s="273" t="s">
        <v>3054</v>
      </c>
      <c r="D94" s="274"/>
      <c r="E94" s="275" t="s">
        <v>2876</v>
      </c>
      <c r="F94" s="276"/>
      <c r="G94" s="277"/>
      <c r="H94" s="278">
        <v>100000</v>
      </c>
      <c r="I94" s="279" t="s">
        <v>3055</v>
      </c>
      <c r="J94" s="280"/>
      <c r="DA94" s="281" t="s">
        <v>135</v>
      </c>
      <c r="DB94" s="282">
        <v>45548</v>
      </c>
      <c r="DC94" s="283" t="s">
        <v>3162</v>
      </c>
      <c r="DD94" s="284">
        <v>0</v>
      </c>
      <c r="DE94" s="284" t="e">
        <v>#VALUE!</v>
      </c>
      <c r="DF94" s="284" t="s">
        <v>6</v>
      </c>
      <c r="DG94" s="285" t="s">
        <v>6</v>
      </c>
      <c r="DH94" s="286">
        <v>45548</v>
      </c>
      <c r="DI94" s="286" t="e">
        <v>#VALUE!</v>
      </c>
      <c r="DJ94" s="287" t="s">
        <v>336</v>
      </c>
      <c r="DK94" s="288">
        <v>90</v>
      </c>
    </row>
    <row r="95" spans="1:115" ht="15" customHeight="1">
      <c r="A95" s="271">
        <v>45548</v>
      </c>
      <c r="B95" s="272">
        <v>45548</v>
      </c>
      <c r="C95" s="273" t="s">
        <v>3056</v>
      </c>
      <c r="D95" s="274"/>
      <c r="E95" s="275" t="s">
        <v>2876</v>
      </c>
      <c r="F95" s="276"/>
      <c r="G95" s="277"/>
      <c r="H95" s="278">
        <v>105000</v>
      </c>
      <c r="I95" s="279" t="s">
        <v>3057</v>
      </c>
      <c r="J95" s="280"/>
      <c r="DA95" s="281" t="s">
        <v>135</v>
      </c>
      <c r="DB95" s="282">
        <v>45548</v>
      </c>
      <c r="DC95" s="283" t="s">
        <v>3163</v>
      </c>
      <c r="DD95" s="284">
        <v>0</v>
      </c>
      <c r="DE95" s="284" t="e">
        <v>#VALUE!</v>
      </c>
      <c r="DF95" s="284" t="s">
        <v>6</v>
      </c>
      <c r="DG95" s="285" t="s">
        <v>6</v>
      </c>
      <c r="DH95" s="286">
        <v>45548</v>
      </c>
      <c r="DI95" s="286" t="e">
        <v>#VALUE!</v>
      </c>
      <c r="DJ95" s="287" t="s">
        <v>336</v>
      </c>
      <c r="DK95" s="288">
        <v>91</v>
      </c>
    </row>
    <row r="96" spans="1:115" ht="15" customHeight="1">
      <c r="A96" s="271">
        <v>45548</v>
      </c>
      <c r="B96" s="272">
        <v>45548</v>
      </c>
      <c r="C96" s="273" t="s">
        <v>3058</v>
      </c>
      <c r="D96" s="274"/>
      <c r="E96" s="275" t="s">
        <v>2876</v>
      </c>
      <c r="F96" s="276"/>
      <c r="G96" s="290">
        <v>250118</v>
      </c>
      <c r="H96" s="277"/>
      <c r="I96" s="279" t="s">
        <v>3059</v>
      </c>
      <c r="J96" s="280"/>
      <c r="DA96" s="281" t="s">
        <v>135</v>
      </c>
      <c r="DB96" s="282">
        <v>45548</v>
      </c>
      <c r="DC96" s="283" t="s">
        <v>3164</v>
      </c>
      <c r="DD96" s="284">
        <v>250118</v>
      </c>
      <c r="DE96" s="284" t="e">
        <v>#VALUE!</v>
      </c>
      <c r="DF96" s="284" t="s">
        <v>6</v>
      </c>
      <c r="DG96" s="285" t="s">
        <v>6</v>
      </c>
      <c r="DH96" s="286">
        <v>45548</v>
      </c>
      <c r="DI96" s="286" t="e">
        <v>#VALUE!</v>
      </c>
      <c r="DJ96" s="287" t="s">
        <v>336</v>
      </c>
      <c r="DK96" s="288">
        <v>92</v>
      </c>
    </row>
    <row r="97" spans="1:115" ht="15" customHeight="1">
      <c r="A97" s="271">
        <v>45548</v>
      </c>
      <c r="B97" s="272">
        <v>45548</v>
      </c>
      <c r="C97" s="273" t="s">
        <v>3058</v>
      </c>
      <c r="D97" s="274"/>
      <c r="E97" s="275" t="s">
        <v>2876</v>
      </c>
      <c r="F97" s="276"/>
      <c r="G97" s="290">
        <v>74059</v>
      </c>
      <c r="H97" s="277"/>
      <c r="I97" s="279" t="s">
        <v>3060</v>
      </c>
      <c r="J97" s="280"/>
      <c r="DA97" s="281" t="s">
        <v>135</v>
      </c>
      <c r="DB97" s="282">
        <v>45548</v>
      </c>
      <c r="DC97" s="283" t="s">
        <v>3165</v>
      </c>
      <c r="DD97" s="284">
        <v>74059</v>
      </c>
      <c r="DE97" s="284" t="e">
        <v>#VALUE!</v>
      </c>
      <c r="DF97" s="284" t="s">
        <v>6</v>
      </c>
      <c r="DG97" s="285" t="s">
        <v>6</v>
      </c>
      <c r="DH97" s="286">
        <v>45548</v>
      </c>
      <c r="DI97" s="286" t="e">
        <v>#VALUE!</v>
      </c>
      <c r="DJ97" s="287" t="s">
        <v>336</v>
      </c>
      <c r="DK97" s="288">
        <v>93</v>
      </c>
    </row>
    <row r="98" spans="1:115" ht="15" customHeight="1">
      <c r="A98" s="271">
        <v>45549</v>
      </c>
      <c r="B98" s="272">
        <v>45549</v>
      </c>
      <c r="C98" s="273" t="s">
        <v>3061</v>
      </c>
      <c r="D98" s="274"/>
      <c r="E98" s="275" t="s">
        <v>2876</v>
      </c>
      <c r="F98" s="276"/>
      <c r="G98" s="277"/>
      <c r="H98" s="278">
        <v>1600</v>
      </c>
      <c r="I98" s="279" t="s">
        <v>3062</v>
      </c>
      <c r="J98" s="280"/>
      <c r="DA98" s="281" t="s">
        <v>135</v>
      </c>
      <c r="DB98" s="282">
        <v>45549</v>
      </c>
      <c r="DC98" s="283" t="s">
        <v>3166</v>
      </c>
      <c r="DD98" s="284">
        <v>0</v>
      </c>
      <c r="DE98" s="284" t="e">
        <v>#VALUE!</v>
      </c>
      <c r="DF98" s="284" t="s">
        <v>6</v>
      </c>
      <c r="DG98" s="285" t="s">
        <v>6</v>
      </c>
      <c r="DH98" s="286">
        <v>45549</v>
      </c>
      <c r="DI98" s="286" t="e">
        <v>#VALUE!</v>
      </c>
      <c r="DJ98" s="287" t="s">
        <v>336</v>
      </c>
      <c r="DK98" s="288">
        <v>94</v>
      </c>
    </row>
    <row r="99" spans="1:115" ht="15" customHeight="1">
      <c r="A99" s="271">
        <v>45549</v>
      </c>
      <c r="B99" s="272">
        <v>45549</v>
      </c>
      <c r="C99" s="273" t="s">
        <v>3063</v>
      </c>
      <c r="D99" s="274"/>
      <c r="E99" s="275" t="s">
        <v>2876</v>
      </c>
      <c r="F99" s="276"/>
      <c r="G99" s="290">
        <v>90000</v>
      </c>
      <c r="H99" s="277"/>
      <c r="I99" s="279" t="s">
        <v>3064</v>
      </c>
      <c r="J99" s="280"/>
      <c r="DA99" s="281" t="s">
        <v>135</v>
      </c>
      <c r="DB99" s="282">
        <v>45549</v>
      </c>
      <c r="DC99" s="283" t="s">
        <v>3167</v>
      </c>
      <c r="DD99" s="284">
        <v>90000</v>
      </c>
      <c r="DE99" s="284" t="e">
        <v>#VALUE!</v>
      </c>
      <c r="DF99" s="284" t="s">
        <v>6</v>
      </c>
      <c r="DG99" s="285" t="s">
        <v>6</v>
      </c>
      <c r="DH99" s="286">
        <v>45549</v>
      </c>
      <c r="DI99" s="286" t="e">
        <v>#VALUE!</v>
      </c>
      <c r="DJ99" s="287" t="s">
        <v>336</v>
      </c>
      <c r="DK99" s="288">
        <v>95</v>
      </c>
    </row>
    <row r="100" spans="1:115" ht="15" customHeight="1">
      <c r="A100" s="271">
        <v>45551</v>
      </c>
      <c r="B100" s="272">
        <v>45551</v>
      </c>
      <c r="C100" s="273" t="s">
        <v>3065</v>
      </c>
      <c r="D100" s="274"/>
      <c r="E100" s="275" t="s">
        <v>2876</v>
      </c>
      <c r="F100" s="276"/>
      <c r="G100" s="277"/>
      <c r="H100" s="278">
        <v>12000</v>
      </c>
      <c r="I100" s="279" t="s">
        <v>3066</v>
      </c>
      <c r="J100" s="280"/>
      <c r="DA100" s="281" t="s">
        <v>135</v>
      </c>
      <c r="DB100" s="282">
        <v>45551</v>
      </c>
      <c r="DC100" s="283" t="s">
        <v>3168</v>
      </c>
      <c r="DD100" s="284">
        <v>0</v>
      </c>
      <c r="DE100" s="284" t="e">
        <v>#VALUE!</v>
      </c>
      <c r="DF100" s="284" t="s">
        <v>6</v>
      </c>
      <c r="DG100" s="285" t="s">
        <v>6</v>
      </c>
      <c r="DH100" s="286">
        <v>45551</v>
      </c>
      <c r="DI100" s="286" t="e">
        <v>#VALUE!</v>
      </c>
      <c r="DJ100" s="287" t="s">
        <v>336</v>
      </c>
      <c r="DK100" s="288">
        <v>96</v>
      </c>
    </row>
    <row r="101" spans="1:115" ht="15" customHeight="1">
      <c r="A101" s="271">
        <v>45551</v>
      </c>
      <c r="B101" s="272">
        <v>45551</v>
      </c>
      <c r="C101" s="273" t="s">
        <v>3067</v>
      </c>
      <c r="D101" s="274"/>
      <c r="E101" s="275" t="s">
        <v>2876</v>
      </c>
      <c r="F101" s="276"/>
      <c r="G101" s="289"/>
      <c r="H101" s="278">
        <v>501</v>
      </c>
      <c r="I101" s="279" t="s">
        <v>3068</v>
      </c>
      <c r="J101" s="280"/>
      <c r="DA101" s="281" t="s">
        <v>135</v>
      </c>
      <c r="DB101" s="282">
        <v>45551</v>
      </c>
      <c r="DC101" s="283" t="s">
        <v>3169</v>
      </c>
      <c r="DD101" s="284">
        <v>0</v>
      </c>
      <c r="DE101" s="284" t="e">
        <v>#VALUE!</v>
      </c>
      <c r="DF101" s="284" t="s">
        <v>6</v>
      </c>
      <c r="DG101" s="285" t="s">
        <v>6</v>
      </c>
      <c r="DH101" s="286">
        <v>45551</v>
      </c>
      <c r="DI101" s="286" t="e">
        <v>#VALUE!</v>
      </c>
      <c r="DJ101" s="287" t="s">
        <v>336</v>
      </c>
      <c r="DK101" s="288">
        <v>97</v>
      </c>
    </row>
    <row r="102" spans="1:115" ht="15" customHeight="1">
      <c r="A102" s="271">
        <v>45552</v>
      </c>
      <c r="B102" s="272">
        <v>45552</v>
      </c>
      <c r="C102" s="273" t="s">
        <v>3069</v>
      </c>
      <c r="D102" s="274"/>
      <c r="E102" s="275" t="s">
        <v>2876</v>
      </c>
      <c r="F102" s="276"/>
      <c r="G102" s="277"/>
      <c r="H102" s="278">
        <v>18995</v>
      </c>
      <c r="I102" s="279" t="s">
        <v>3070</v>
      </c>
      <c r="J102" s="280"/>
      <c r="DA102" s="281" t="s">
        <v>135</v>
      </c>
      <c r="DB102" s="282">
        <v>45552</v>
      </c>
      <c r="DC102" s="283" t="s">
        <v>3170</v>
      </c>
      <c r="DD102" s="284">
        <v>0</v>
      </c>
      <c r="DE102" s="284" t="e">
        <v>#VALUE!</v>
      </c>
      <c r="DF102" s="284" t="s">
        <v>6</v>
      </c>
      <c r="DG102" s="285" t="s">
        <v>6</v>
      </c>
      <c r="DH102" s="286">
        <v>45552</v>
      </c>
      <c r="DI102" s="286" t="e">
        <v>#VALUE!</v>
      </c>
      <c r="DJ102" s="287" t="s">
        <v>336</v>
      </c>
      <c r="DK102" s="288">
        <v>98</v>
      </c>
    </row>
  </sheetData>
  <sheetProtection algorithmName="SHA-512" hashValue="ws6G5vsHjR2S0ohAshydd11wzxiXMkZUWO4va3Gz8NSgG6WGaMXNhDrQuy27sY3xBXeAAxyR4ckZyY9I6nACcQ==" saltValue="ix8ekintBoimvcQlor76x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 DA103:DC826 DH5:DH826 DJ5:DJ826 DA5:DB102" name="Range1_6"/>
    <protectedRange algorithmName="SHA-512" hashValue="FeHjunJeBmEIe1Z+x4LSLD0xeXKoeHqEB4mLNgYC3pUDxBFAiT2e1scH7F48tQXpPGOh+9Z9iw2K5jb0kUxFkQ==" saltValue="Arxg+XESKZddo6Y2q+NDbg==" spinCount="100000" sqref="DD3:DF3 DD5:DF826" name="Range1_1_3"/>
    <protectedRange algorithmName="SHA-512" hashValue="FeHjunJeBmEIe1Z+x4LSLD0xeXKoeHqEB4mLNgYC3pUDxBFAiT2e1scH7F48tQXpPGOh+9Z9iw2K5jb0kUxFkQ==" saltValue="Arxg+XESKZddo6Y2q+NDbg==" spinCount="100000" sqref="DI3 DI5:DI826" name="Range1_2_3"/>
    <protectedRange algorithmName="SHA-512" hashValue="FeHjunJeBmEIe1Z+x4LSLD0xeXKoeHqEB4mLNgYC3pUDxBFAiT2e1scH7F48tQXpPGOh+9Z9iw2K5jb0kUxFkQ==" saltValue="Arxg+XESKZddo6Y2q+NDbg==" spinCount="100000" sqref="DK3 DK5:DK826" name="Range1_3_3"/>
    <protectedRange algorithmName="SHA-512" hashValue="FeHjunJeBmEIe1Z+x4LSLD0xeXKoeHqEB4mLNgYC3pUDxBFAiT2e1scH7F48tQXpPGOh+9Z9iw2K5jb0kUxFkQ==" saltValue="Arxg+XESKZddo6Y2q+NDbg==" spinCount="100000" sqref="DC3 DC5:DC102" name="Range1_5"/>
  </protectedRanges>
  <conditionalFormatting sqref="E3 I1:I2">
    <cfRule type="cellIs" dxfId="67" priority="10" operator="equal">
      <formula>#N/A</formula>
    </cfRule>
  </conditionalFormatting>
  <conditionalFormatting sqref="H1">
    <cfRule type="cellIs" dxfId="66" priority="9" operator="equal">
      <formula>#N/A</formula>
    </cfRule>
  </conditionalFormatting>
  <conditionalFormatting sqref="E1">
    <cfRule type="cellIs" dxfId="65" priority="8" operator="equal">
      <formula>#N/A</formula>
    </cfRule>
  </conditionalFormatting>
  <conditionalFormatting sqref="I1">
    <cfRule type="containsText" dxfId="64" priority="6" operator="containsText" text="All Data Import Successfully">
      <formula>NOT(ISERROR(SEARCH("All Data Import Successfully",I1)))</formula>
    </cfRule>
    <cfRule type="containsText" dxfId="63" priority="7" operator="containsText" text="Difference Entry">
      <formula>NOT(ISERROR(SEARCH("Difference Entry",I1)))</formula>
    </cfRule>
  </conditionalFormatting>
  <conditionalFormatting sqref="DG2">
    <cfRule type="cellIs" dxfId="62" priority="5" operator="equal">
      <formula>#N/A</formula>
    </cfRule>
  </conditionalFormatting>
  <conditionalFormatting sqref="DH2:DI2">
    <cfRule type="cellIs" dxfId="61" priority="4" operator="equal">
      <formula>#N/A</formula>
    </cfRule>
  </conditionalFormatting>
  <conditionalFormatting sqref="E2:G2">
    <cfRule type="cellIs" dxfId="60" priority="3" operator="equal">
      <formula>#N/A</formula>
    </cfRule>
  </conditionalFormatting>
  <conditionalFormatting sqref="H2">
    <cfRule type="cellIs" dxfId="59" priority="2" operator="equal">
      <formula>#N/A</formula>
    </cfRule>
  </conditionalFormatting>
  <conditionalFormatting sqref="I2">
    <cfRule type="cellIs" dxfId="58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31"/>
  <dimension ref="A1:DZ4"/>
  <sheetViews>
    <sheetView workbookViewId="0">
      <selection activeCell="F28" sqref="F28"/>
    </sheetView>
  </sheetViews>
  <sheetFormatPr defaultRowHeight="15"/>
  <cols>
    <col min="1" max="1" width="25.42578125" style="6" customWidth="1"/>
    <col min="2" max="2" width="23" style="6" customWidth="1"/>
    <col min="3" max="3" width="25.42578125" style="6" customWidth="1"/>
    <col min="4" max="4" width="6.28515625" style="6" customWidth="1"/>
    <col min="5" max="9" width="25.42578125" style="6" customWidth="1"/>
    <col min="10" max="10" width="12.5703125" style="6" customWidth="1"/>
    <col min="11" max="12" width="8" style="6" customWidth="1"/>
    <col min="13" max="13" width="22" style="6" customWidth="1"/>
    <col min="14" max="14" width="8" style="6" customWidth="1"/>
    <col min="15" max="15" width="11.28515625" style="6" customWidth="1"/>
    <col min="16" max="20" width="4" style="6" customWidth="1"/>
    <col min="21" max="22" width="8" style="6" customWidth="1"/>
    <col min="23" max="26" width="3.42578125" style="6" customWidth="1"/>
    <col min="27" max="27" width="14.42578125" style="6" customWidth="1"/>
    <col min="28" max="28" width="8" style="6" customWidth="1"/>
    <col min="29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AU SMALL FINANCE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163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AU SMALL FINANCE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IF(O3="-",VALUE("0"),VALUE(SUBSTITUTE((O3),",","")))</f>
        <v>#VALUE!</v>
      </c>
      <c r="DE3" s="26" t="e">
        <f>IF(V3="-",VALUE("0"),VALUE(SUBSTITUTE((V3),",","")))</f>
        <v>#VALUE!</v>
      </c>
      <c r="DF3" s="26" t="e">
        <f>IF(AA3=" ","",VALUE(SUBSTITUTE((SUBSTITUTE((AA3),"Cr","")),",","")))</f>
        <v>#VALUE!</v>
      </c>
      <c r="DG3" s="27">
        <f>+M3</f>
        <v>0</v>
      </c>
      <c r="DH3" s="28" t="e">
        <f>VALUE(A3)</f>
        <v>#VALUE!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customHeight="1" thickBot="1">
      <c r="A4" s="94" t="s">
        <v>32</v>
      </c>
      <c r="B4" s="92"/>
      <c r="C4" s="92" t="s">
        <v>158</v>
      </c>
      <c r="D4" s="92"/>
      <c r="E4" s="92"/>
      <c r="F4" s="92"/>
      <c r="G4" s="92"/>
      <c r="H4" s="92"/>
      <c r="I4" s="92"/>
      <c r="J4" s="92" t="s">
        <v>159</v>
      </c>
      <c r="K4" s="92"/>
      <c r="L4" s="92"/>
      <c r="M4" s="92" t="s">
        <v>160</v>
      </c>
      <c r="N4" s="92"/>
      <c r="O4" s="92" t="s">
        <v>161</v>
      </c>
      <c r="P4" s="92"/>
      <c r="Q4" s="92"/>
      <c r="R4" s="92"/>
      <c r="S4" s="92"/>
      <c r="T4" s="92"/>
      <c r="U4" s="92"/>
      <c r="V4" s="92" t="s">
        <v>162</v>
      </c>
      <c r="W4" s="92"/>
      <c r="X4" s="92"/>
      <c r="Y4" s="92"/>
      <c r="Z4" s="92"/>
      <c r="AA4" s="92" t="s">
        <v>11</v>
      </c>
      <c r="AB4" s="93"/>
      <c r="DA4" s="38" t="str">
        <f>+DA3</f>
        <v>AU SMALL FINANCE BANK</v>
      </c>
    </row>
  </sheetData>
  <sheetProtection algorithmName="SHA-512" hashValue="tMeDJlTNqkpySPc9o2sIM+gMF3R1plGG0N+dvV2+8WQjumNkZAMjDteEcCCythMidmecye3HwYDnLu2x7vYkYQ==" saltValue="DnAOrpCbR0prHUXDI1CDJ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 I1:I2">
    <cfRule type="cellIs" dxfId="57" priority="10" operator="equal">
      <formula>#N/A</formula>
    </cfRule>
  </conditionalFormatting>
  <conditionalFormatting sqref="H1">
    <cfRule type="cellIs" dxfId="56" priority="9" operator="equal">
      <formula>#N/A</formula>
    </cfRule>
  </conditionalFormatting>
  <conditionalFormatting sqref="E1">
    <cfRule type="cellIs" dxfId="55" priority="8" operator="equal">
      <formula>#N/A</formula>
    </cfRule>
  </conditionalFormatting>
  <conditionalFormatting sqref="I1">
    <cfRule type="containsText" dxfId="54" priority="6" operator="containsText" text="All Data Import Successfully">
      <formula>NOT(ISERROR(SEARCH("All Data Import Successfully",I1)))</formula>
    </cfRule>
    <cfRule type="containsText" dxfId="53" priority="7" operator="containsText" text="Difference Entry">
      <formula>NOT(ISERROR(SEARCH("Difference Entry",I1)))</formula>
    </cfRule>
  </conditionalFormatting>
  <conditionalFormatting sqref="DG2">
    <cfRule type="cellIs" dxfId="52" priority="5" operator="equal">
      <formula>#N/A</formula>
    </cfRule>
  </conditionalFormatting>
  <conditionalFormatting sqref="DH2:DI2">
    <cfRule type="cellIs" dxfId="51" priority="4" operator="equal">
      <formula>#N/A</formula>
    </cfRule>
  </conditionalFormatting>
  <conditionalFormatting sqref="E2:G2">
    <cfRule type="cellIs" dxfId="50" priority="3" operator="equal">
      <formula>#N/A</formula>
    </cfRule>
  </conditionalFormatting>
  <conditionalFormatting sqref="H2">
    <cfRule type="cellIs" dxfId="49" priority="2" operator="equal">
      <formula>#N/A</formula>
    </cfRule>
  </conditionalFormatting>
  <conditionalFormatting sqref="I2">
    <cfRule type="cellIs" dxfId="48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26"/>
  <dimension ref="A1:DZ4"/>
  <sheetViews>
    <sheetView showRuler="0"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3" width="24.7109375" style="6" customWidth="1"/>
    <col min="114" max="114" width="69.7109375" style="6" bestFit="1" customWidth="1"/>
    <col min="115" max="115" width="24.7109375" style="6" customWidth="1"/>
    <col min="116" max="16384" width="9.140625" style="6"/>
  </cols>
  <sheetData>
    <row r="1" spans="1:130" ht="45" customHeight="1">
      <c r="A1" s="107"/>
      <c r="B1" s="107"/>
      <c r="C1" s="107"/>
      <c r="D1" s="107"/>
      <c r="E1" s="96" t="s">
        <v>0</v>
      </c>
      <c r="F1" s="97" t="s">
        <v>1</v>
      </c>
      <c r="G1" s="98" t="s">
        <v>2</v>
      </c>
      <c r="H1" s="99" t="s">
        <v>3</v>
      </c>
      <c r="I1" s="100" t="s">
        <v>4</v>
      </c>
      <c r="J1" s="101" t="s">
        <v>6</v>
      </c>
      <c r="K1" s="101" t="s">
        <v>6</v>
      </c>
      <c r="L1" s="101" t="s">
        <v>6</v>
      </c>
      <c r="M1" s="101" t="s">
        <v>6</v>
      </c>
      <c r="N1" s="101" t="s">
        <v>6</v>
      </c>
      <c r="O1" s="101" t="s">
        <v>6</v>
      </c>
      <c r="P1" s="101" t="s">
        <v>6</v>
      </c>
      <c r="Q1" s="101" t="s">
        <v>6</v>
      </c>
      <c r="R1" s="101" t="s">
        <v>6</v>
      </c>
      <c r="S1" s="102" t="s">
        <v>180</v>
      </c>
      <c r="T1" s="102">
        <v>7</v>
      </c>
      <c r="U1" s="102" t="s">
        <v>173</v>
      </c>
      <c r="V1" s="102" t="s">
        <v>174</v>
      </c>
      <c r="W1" s="102" t="s">
        <v>169</v>
      </c>
      <c r="X1" s="109" t="s">
        <v>6</v>
      </c>
      <c r="Y1" s="109" t="s">
        <v>6</v>
      </c>
      <c r="Z1" s="102">
        <v>1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03" t="s">
        <v>5</v>
      </c>
      <c r="B2" s="103" t="s">
        <v>6</v>
      </c>
      <c r="C2" s="103"/>
      <c r="D2" s="103" t="s">
        <v>172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200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144</v>
      </c>
      <c r="B3" s="18"/>
      <c r="C3" s="17"/>
      <c r="D3" s="17" t="s">
        <v>213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Prime Co-op.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 "", VALUE(SUBSTITUTE(SUBSTITUTE(SUBSTITUTE(G3, "Cr.", ""), "Dr.", ""), ",", "")))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08" t="s">
        <v>32</v>
      </c>
      <c r="B4" s="108" t="s">
        <v>18</v>
      </c>
      <c r="C4" s="108" t="s">
        <v>33</v>
      </c>
      <c r="D4" s="108" t="s">
        <v>99</v>
      </c>
      <c r="E4" s="108" t="s">
        <v>100</v>
      </c>
      <c r="F4" s="108" t="s">
        <v>22</v>
      </c>
      <c r="G4" s="108" t="s">
        <v>101</v>
      </c>
      <c r="DA4" s="38" t="str">
        <f>+DA3</f>
        <v>Prime Co-op. Bank A/c.</v>
      </c>
    </row>
  </sheetData>
  <sheetProtection algorithmName="SHA-512" hashValue="o53/PWpbOJohX0rsSw29pA9wPOk2/pOqw3iLtp+YBO6wiSF6dzt2aAjHgEWXcsAbvhWMBxnHngr9dTZknclfOQ==" saltValue="CzJz3yZYsyOWZAjZWqvs0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47" priority="22" operator="equal">
      <formula>#N/A</formula>
    </cfRule>
  </conditionalFormatting>
  <conditionalFormatting sqref="DG2">
    <cfRule type="cellIs" dxfId="46" priority="17" operator="equal">
      <formula>#N/A</formula>
    </cfRule>
  </conditionalFormatting>
  <conditionalFormatting sqref="DH2:DI2">
    <cfRule type="cellIs" dxfId="45" priority="16" operator="equal">
      <formula>#N/A</formula>
    </cfRule>
  </conditionalFormatting>
  <conditionalFormatting sqref="I1">
    <cfRule type="cellIs" dxfId="44" priority="12" operator="equal">
      <formula>#N/A</formula>
    </cfRule>
  </conditionalFormatting>
  <conditionalFormatting sqref="H1">
    <cfRule type="cellIs" dxfId="43" priority="11" operator="equal">
      <formula>#N/A</formula>
    </cfRule>
  </conditionalFormatting>
  <conditionalFormatting sqref="E1">
    <cfRule type="cellIs" dxfId="42" priority="10" operator="equal">
      <formula>#N/A</formula>
    </cfRule>
  </conditionalFormatting>
  <conditionalFormatting sqref="I1">
    <cfRule type="containsText" dxfId="41" priority="8" operator="containsText" text="All Data Import Successfully">
      <formula>NOT(ISERROR(SEARCH("All Data Import Successfully",I1)))</formula>
    </cfRule>
    <cfRule type="containsText" dxfId="40" priority="9" operator="containsText" text="Difference Entry">
      <formula>NOT(ISERROR(SEARCH("Difference Entry",I1)))</formula>
    </cfRule>
  </conditionalFormatting>
  <conditionalFormatting sqref="I2">
    <cfRule type="cellIs" dxfId="39" priority="4" operator="equal">
      <formula>#N/A</formula>
    </cfRule>
  </conditionalFormatting>
  <conditionalFormatting sqref="E2:G2">
    <cfRule type="cellIs" dxfId="38" priority="3" operator="equal">
      <formula>#N/A</formula>
    </cfRule>
  </conditionalFormatting>
  <conditionalFormatting sqref="H2">
    <cfRule type="cellIs" dxfId="37" priority="2" operator="equal">
      <formula>#N/A</formula>
    </cfRule>
  </conditionalFormatting>
  <conditionalFormatting sqref="I2">
    <cfRule type="cellIs" dxfId="36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32"/>
  <dimension ref="A1:DZ4"/>
  <sheetViews>
    <sheetView showRuler="0" workbookViewId="0">
      <selection activeCell="D12" sqref="D12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3.5" customHeight="1">
      <c r="A1" s="107"/>
      <c r="B1" s="107"/>
      <c r="C1" s="107"/>
      <c r="D1" s="107"/>
      <c r="E1" s="96" t="s">
        <v>0</v>
      </c>
      <c r="F1" s="97" t="s">
        <v>1</v>
      </c>
      <c r="G1" s="98" t="s">
        <v>2</v>
      </c>
      <c r="H1" s="99" t="s">
        <v>3</v>
      </c>
      <c r="I1" s="100" t="s">
        <v>4</v>
      </c>
      <c r="J1" s="101" t="s">
        <v>6</v>
      </c>
      <c r="K1" s="101" t="s">
        <v>6</v>
      </c>
      <c r="L1" s="101" t="s">
        <v>6</v>
      </c>
      <c r="M1" s="101" t="s">
        <v>6</v>
      </c>
      <c r="N1" s="101" t="s">
        <v>6</v>
      </c>
      <c r="O1" s="101" t="s">
        <v>6</v>
      </c>
      <c r="P1" s="101" t="s">
        <v>6</v>
      </c>
      <c r="Q1" s="101" t="s">
        <v>6</v>
      </c>
      <c r="R1" s="101" t="s">
        <v>6</v>
      </c>
      <c r="S1" s="102" t="s">
        <v>167</v>
      </c>
      <c r="T1" s="102">
        <v>8</v>
      </c>
      <c r="U1" s="102" t="s">
        <v>174</v>
      </c>
      <c r="V1" s="102" t="s">
        <v>169</v>
      </c>
      <c r="W1" s="102" t="s">
        <v>170</v>
      </c>
      <c r="X1" s="109" t="s">
        <v>6</v>
      </c>
      <c r="Y1" s="109" t="s">
        <v>6</v>
      </c>
      <c r="Z1" s="10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03" t="s">
        <v>5</v>
      </c>
      <c r="B2" s="103" t="s">
        <v>6</v>
      </c>
      <c r="C2" s="103"/>
      <c r="D2" s="103" t="s">
        <v>172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164</v>
      </c>
      <c r="B3" s="59"/>
      <c r="C3" s="58"/>
      <c r="D3" s="58" t="s">
        <v>214</v>
      </c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DCB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e">
        <f>IF(H3=" ","",VALUE(SUBSTITUTE((SUBSTITUTE((H3),"Cr.","")),",","")))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28" t="str">
        <f>+A3</f>
        <v>DCB Bank A/c.</v>
      </c>
      <c r="DI3" s="28" t="str">
        <f>+IF(DE3=0,"Suspance Payment","Suspance Receipt")</f>
        <v>Suspance Payment</v>
      </c>
      <c r="DJ3" s="39" t="str">
        <f>+D3</f>
        <v>C:\Users\ADITYA\Desktop\Ecomm\Bank Statement\dcbbank.xls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7.25" thickBot="1">
      <c r="A4" s="117" t="s">
        <v>25</v>
      </c>
      <c r="B4" s="118" t="s">
        <v>18</v>
      </c>
      <c r="C4" s="119"/>
      <c r="D4" s="120" t="s">
        <v>125</v>
      </c>
      <c r="E4" s="120" t="s">
        <v>137</v>
      </c>
      <c r="F4" s="120" t="s">
        <v>165</v>
      </c>
      <c r="G4" s="120" t="s">
        <v>166</v>
      </c>
      <c r="H4" s="118" t="s">
        <v>31</v>
      </c>
      <c r="I4" s="95"/>
      <c r="DA4" s="38" t="str">
        <f>+DA3</f>
        <v>DCB Bank A/c.</v>
      </c>
    </row>
  </sheetData>
  <sheetProtection algorithmName="SHA-512" hashValue="gXgRBIwO92n0E9/PxVfki5X2ED/uZHmXhuJsoBYUMyiyaiGn5mTH/sfY53+3ZuRM0QChrBJgrPQIY8akGBwzdw==" saltValue="7mDAvE/6+kZAXktLtHUy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35" priority="18" operator="equal">
      <formula>#N/A</formula>
    </cfRule>
  </conditionalFormatting>
  <conditionalFormatting sqref="DG2">
    <cfRule type="cellIs" dxfId="34" priority="13" operator="equal">
      <formula>#N/A</formula>
    </cfRule>
  </conditionalFormatting>
  <conditionalFormatting sqref="DH2:DI2">
    <cfRule type="cellIs" dxfId="33" priority="12" operator="equal">
      <formula>#N/A</formula>
    </cfRule>
  </conditionalFormatting>
  <conditionalFormatting sqref="I1:I2">
    <cfRule type="cellIs" dxfId="32" priority="8" operator="equal">
      <formula>#N/A</formula>
    </cfRule>
  </conditionalFormatting>
  <conditionalFormatting sqref="H1">
    <cfRule type="cellIs" dxfId="31" priority="7" operator="equal">
      <formula>#N/A</formula>
    </cfRule>
  </conditionalFormatting>
  <conditionalFormatting sqref="E1">
    <cfRule type="cellIs" dxfId="30" priority="6" operator="equal">
      <formula>#N/A</formula>
    </cfRule>
  </conditionalFormatting>
  <conditionalFormatting sqref="I1">
    <cfRule type="containsText" dxfId="29" priority="4" operator="containsText" text="All Data Import Successfully">
      <formula>NOT(ISERROR(SEARCH("All Data Import Successfully",I1)))</formula>
    </cfRule>
    <cfRule type="containsText" dxfId="28" priority="5" operator="containsText" text="Difference Entry">
      <formula>NOT(ISERROR(SEARCH("Difference Entry",I1)))</formula>
    </cfRule>
  </conditionalFormatting>
  <conditionalFormatting sqref="E2:G2">
    <cfRule type="cellIs" dxfId="27" priority="3" operator="equal">
      <formula>#N/A</formula>
    </cfRule>
  </conditionalFormatting>
  <conditionalFormatting sqref="H2">
    <cfRule type="cellIs" dxfId="26" priority="2" operator="equal">
      <formula>#N/A</formula>
    </cfRule>
  </conditionalFormatting>
  <conditionalFormatting sqref="I2">
    <cfRule type="cellIs" dxfId="25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33"/>
  <dimension ref="A1:DZ4"/>
  <sheetViews>
    <sheetView showRuler="0" topLeftCell="DB1" workbookViewId="0">
      <selection activeCell="DG4" sqref="DG4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7"/>
      <c r="B1" s="107"/>
      <c r="C1" s="107"/>
      <c r="D1" s="107"/>
      <c r="E1" s="96" t="s">
        <v>0</v>
      </c>
      <c r="F1" s="97" t="s">
        <v>1</v>
      </c>
      <c r="G1" s="98" t="s">
        <v>2</v>
      </c>
      <c r="H1" s="99" t="s">
        <v>3</v>
      </c>
      <c r="I1" s="100" t="s">
        <v>4</v>
      </c>
      <c r="J1" s="101" t="s">
        <v>6</v>
      </c>
      <c r="K1" s="101" t="s">
        <v>6</v>
      </c>
      <c r="L1" s="101" t="s">
        <v>6</v>
      </c>
      <c r="M1" s="101" t="s">
        <v>6</v>
      </c>
      <c r="N1" s="101" t="s">
        <v>6</v>
      </c>
      <c r="O1" s="101" t="s">
        <v>6</v>
      </c>
      <c r="P1" s="101" t="s">
        <v>6</v>
      </c>
      <c r="Q1" s="101" t="s">
        <v>6</v>
      </c>
      <c r="R1" s="101" t="s">
        <v>6</v>
      </c>
      <c r="S1" s="102" t="s">
        <v>193</v>
      </c>
      <c r="T1" s="102">
        <v>8</v>
      </c>
      <c r="U1" s="102" t="s">
        <v>173</v>
      </c>
      <c r="V1" s="102" t="s">
        <v>173</v>
      </c>
      <c r="W1" s="102" t="s">
        <v>169</v>
      </c>
      <c r="X1" s="109" t="s">
        <v>6</v>
      </c>
      <c r="Y1" s="109">
        <v>5</v>
      </c>
      <c r="Z1" s="10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03" t="s">
        <v>5</v>
      </c>
      <c r="B2" s="103"/>
      <c r="C2" s="103"/>
      <c r="D2" s="103" t="s">
        <v>172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/>
    </row>
    <row r="3" spans="1:130" ht="15.75" thickBot="1">
      <c r="A3" s="58" t="s">
        <v>218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Saraswat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141" t="e">
        <f>IF(VALUE(SUBSTITUTE((TRIM(J3)),",",""))&gt;0,VALUE("0"),VALUE(SUBSTITUTE((TRIM(J3)),",","")*-1))</f>
        <v>#VALUE!</v>
      </c>
      <c r="DE3" s="26" t="e">
        <f>IF(VALUE(SUBSTITUTE((TRIM(J3)),",",""))&lt;0,VALUE("0"),VALUE(SUBSTITUTE((TRIM(J3)),",","")))</f>
        <v>#VALUE!</v>
      </c>
      <c r="DF3" s="140" t="e">
        <f>+VALUE(SUBSTITUTE((TRIM(O3)),",",""))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+VALUE(A3)</f>
        <v>#VALUE!</v>
      </c>
      <c r="DI3" s="28" t="e">
        <f>+IF(DE3=0,"Suspance Payment","Suspance Receipt")</f>
        <v>#VALUE!</v>
      </c>
      <c r="DJ3" s="39">
        <f>+B3</f>
        <v>0</v>
      </c>
      <c r="DK3" s="30">
        <f>+DK2+1</f>
        <v>1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5" customFormat="1" ht="15.75" thickBot="1">
      <c r="A4" s="142" t="s">
        <v>32</v>
      </c>
      <c r="B4" s="143"/>
      <c r="C4" s="143"/>
      <c r="D4" s="143"/>
      <c r="E4" s="143" t="s">
        <v>124</v>
      </c>
      <c r="F4" s="143"/>
      <c r="G4" s="143"/>
      <c r="H4" s="143"/>
      <c r="I4" s="143"/>
      <c r="J4" s="143" t="s">
        <v>80</v>
      </c>
      <c r="K4" s="143"/>
      <c r="L4" s="143"/>
      <c r="M4" s="143"/>
      <c r="N4" s="143"/>
      <c r="O4" s="144" t="s">
        <v>11</v>
      </c>
      <c r="DA4" s="25" t="str">
        <f>+DA3</f>
        <v>Saraswat Bank</v>
      </c>
      <c r="DB4" s="24" t="e">
        <f>VALUE(A4)</f>
        <v>#VALUE!</v>
      </c>
      <c r="DC4" s="25" t="str">
        <f>+CONCATENATE(TEXT(A4,"D"),"",TEXT(A4,"MM"),"","/",SUBSTITUTE(F4,",",""),"/",DK4)</f>
        <v>DateDate//2</v>
      </c>
      <c r="DD4" s="145" t="e">
        <f>IF(G4="CR",VALUE("0"),VALUE(SUBSTITUTE((F4),",","")))</f>
        <v>#VALUE!</v>
      </c>
      <c r="DE4" s="145" t="e">
        <f>IF(G4="DR",VALUE("0"),VALUE(SUBSTITUTE((F4),",","")))</f>
        <v>#VALUE!</v>
      </c>
      <c r="DF4" s="145" t="e">
        <f>IF(H4=" ","",VALUE(SUBSTITUTE((H4),",","")))</f>
        <v>#VALUE!</v>
      </c>
      <c r="DG4" s="27" t="str">
        <f ca="1">(SUBSTITUTE(TRIM(IF(LEFT(C4,3)="CLG"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6)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12))),".",""))</f>
        <v/>
      </c>
      <c r="DH4" s="70" t="e">
        <f>+VALUE(A4)</f>
        <v>#VALUE!</v>
      </c>
      <c r="DI4" s="70" t="e">
        <f>+IF(DE4=0,"Suspance Payment","Suspance Receipt")</f>
        <v>#VALUE!</v>
      </c>
      <c r="DJ4" s="25">
        <f>+C4</f>
        <v>0</v>
      </c>
      <c r="DK4" s="146">
        <f>+DK3+1</f>
        <v>2</v>
      </c>
    </row>
  </sheetData>
  <protectedRanges>
    <protectedRange algorithmName="SHA-512" hashValue="FeHjunJeBmEIe1Z+x4LSLD0xeXKoeHqEB4mLNgYC3pUDxBFAiT2e1scH7F48tQXpPGOh+9Z9iw2K5jb0kUxFkQ==" saltValue="Arxg+XESKZddo6Y2q+NDbg==" spinCount="100000" sqref="DH3:DH4 DA3:DC4 DJ3:DJ4" name="Range1_5"/>
    <protectedRange algorithmName="SHA-512" hashValue="FeHjunJeBmEIe1Z+x4LSLD0xeXKoeHqEB4mLNgYC3pUDxBFAiT2e1scH7F48tQXpPGOh+9Z9iw2K5jb0kUxFkQ==" saltValue="Arxg+XESKZddo6Y2q+NDbg==" spinCount="100000" sqref="DE3:DF4" name="Range1_1_2"/>
    <protectedRange algorithmName="SHA-512" hashValue="FeHjunJeBmEIe1Z+x4LSLD0xeXKoeHqEB4mLNgYC3pUDxBFAiT2e1scH7F48tQXpPGOh+9Z9iw2K5jb0kUxFkQ==" saltValue="Arxg+XESKZddo6Y2q+NDbg==" spinCount="100000" sqref="DI3:DI4" name="Range1_2_2"/>
    <protectedRange algorithmName="SHA-512" hashValue="FeHjunJeBmEIe1Z+x4LSLD0xeXKoeHqEB4mLNgYC3pUDxBFAiT2e1scH7F48tQXpPGOh+9Z9iw2K5jb0kUxFkQ==" saltValue="Arxg+XESKZddo6Y2q+NDbg==" spinCount="100000" sqref="DK3:DK4" name="Range1_3_2"/>
    <protectedRange algorithmName="SHA-512" hashValue="FeHjunJeBmEIe1Z+x4LSLD0xeXKoeHqEB4mLNgYC3pUDxBFAiT2e1scH7F48tQXpPGOh+9Z9iw2K5jb0kUxFkQ==" saltValue="Arxg+XESKZddo6Y2q+NDbg==" spinCount="100000" sqref="DD3:DD4" name="Range1_1_4"/>
  </protectedRanges>
  <conditionalFormatting sqref="E3">
    <cfRule type="cellIs" dxfId="24" priority="11" operator="equal">
      <formula>#N/A</formula>
    </cfRule>
  </conditionalFormatting>
  <conditionalFormatting sqref="DG2">
    <cfRule type="cellIs" dxfId="23" priority="10" operator="equal">
      <formula>#N/A</formula>
    </cfRule>
  </conditionalFormatting>
  <conditionalFormatting sqref="DH2:DI2">
    <cfRule type="cellIs" dxfId="22" priority="9" operator="equal">
      <formula>#N/A</formula>
    </cfRule>
  </conditionalFormatting>
  <conditionalFormatting sqref="I1:I2">
    <cfRule type="cellIs" dxfId="21" priority="8" operator="equal">
      <formula>#N/A</formula>
    </cfRule>
  </conditionalFormatting>
  <conditionalFormatting sqref="H1">
    <cfRule type="cellIs" dxfId="20" priority="7" operator="equal">
      <formula>#N/A</formula>
    </cfRule>
  </conditionalFormatting>
  <conditionalFormatting sqref="E1">
    <cfRule type="cellIs" dxfId="19" priority="6" operator="equal">
      <formula>#N/A</formula>
    </cfRule>
  </conditionalFormatting>
  <conditionalFormatting sqref="I1">
    <cfRule type="containsText" dxfId="18" priority="4" operator="containsText" text="All Data Import Successfully">
      <formula>NOT(ISERROR(SEARCH("All Data Import Successfully",I1)))</formula>
    </cfRule>
    <cfRule type="containsText" dxfId="17" priority="5" operator="containsText" text="Difference Entry">
      <formula>NOT(ISERROR(SEARCH("Difference Entry",I1)))</formula>
    </cfRule>
  </conditionalFormatting>
  <conditionalFormatting sqref="E2:G2">
    <cfRule type="cellIs" dxfId="16" priority="3" operator="equal">
      <formula>#N/A</formula>
    </cfRule>
  </conditionalFormatting>
  <conditionalFormatting sqref="H2">
    <cfRule type="cellIs" dxfId="15" priority="2" operator="equal">
      <formula>#N/A</formula>
    </cfRule>
  </conditionalFormatting>
  <conditionalFormatting sqref="I2">
    <cfRule type="cellIs" dxfId="14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7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7"/>
      <c r="B1" s="107"/>
      <c r="C1" s="107"/>
      <c r="D1" s="107"/>
      <c r="E1" s="96" t="s">
        <v>0</v>
      </c>
      <c r="F1" s="97" t="s">
        <v>1</v>
      </c>
      <c r="G1" s="98" t="s">
        <v>2</v>
      </c>
      <c r="H1" s="99" t="s">
        <v>3</v>
      </c>
      <c r="I1" s="100" t="s">
        <v>4</v>
      </c>
      <c r="J1" s="101" t="s">
        <v>6</v>
      </c>
      <c r="K1" s="101" t="s">
        <v>6</v>
      </c>
      <c r="L1" s="101" t="s">
        <v>6</v>
      </c>
      <c r="M1" s="101" t="s">
        <v>6</v>
      </c>
      <c r="N1" s="101" t="s">
        <v>6</v>
      </c>
      <c r="O1" s="101" t="s">
        <v>6</v>
      </c>
      <c r="P1" s="101" t="s">
        <v>6</v>
      </c>
      <c r="Q1" s="101" t="s">
        <v>6</v>
      </c>
      <c r="R1" s="101" t="s">
        <v>6</v>
      </c>
      <c r="S1" s="102" t="s">
        <v>2801</v>
      </c>
      <c r="T1" s="102">
        <v>7</v>
      </c>
      <c r="U1" s="102" t="s">
        <v>198</v>
      </c>
      <c r="V1" s="102" t="s">
        <v>182</v>
      </c>
      <c r="W1" s="102" t="s">
        <v>173</v>
      </c>
      <c r="X1" s="109" t="s">
        <v>6</v>
      </c>
      <c r="Y1" s="109">
        <v>10</v>
      </c>
      <c r="Z1" s="10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03" t="s">
        <v>5</v>
      </c>
      <c r="B2" s="103" t="s">
        <v>6</v>
      </c>
      <c r="C2" s="103"/>
      <c r="D2" s="103" t="s">
        <v>172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Equitas Small Finance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2803</v>
      </c>
      <c r="B3" s="59"/>
      <c r="C3" s="58"/>
      <c r="D3" s="58" t="s">
        <v>2802</v>
      </c>
      <c r="E3" s="60"/>
      <c r="F3" s="58"/>
      <c r="G3" s="2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Equitas Small Finance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IF(D3="",VALUE("0"),VALUE(SUBSTITUTE((D3),",","")))</f>
        <v>#VALUE!</v>
      </c>
      <c r="DE3" s="26">
        <f>IF(E3="",VALUE("0"),VALUE(SUBSTITUTE((E3),",","")))</f>
        <v>0</v>
      </c>
      <c r="DF3" s="26" t="str">
        <f>IF(F3="","",VALUE(SUBSTITUTE((F3),",","")))</f>
        <v/>
      </c>
      <c r="DG3" s="27">
        <f>+B3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10" t="s">
        <v>32</v>
      </c>
      <c r="B4" s="111" t="s">
        <v>2797</v>
      </c>
      <c r="C4" s="111" t="s">
        <v>33</v>
      </c>
      <c r="D4" s="111" t="s">
        <v>2798</v>
      </c>
      <c r="E4" s="111" t="s">
        <v>2799</v>
      </c>
      <c r="F4" s="111" t="s">
        <v>2800</v>
      </c>
      <c r="DA4" s="38" t="str">
        <f>+DA3</f>
        <v>Equitas Small Finance Bank</v>
      </c>
    </row>
  </sheetData>
  <sheetProtection algorithmName="SHA-512" hashValue="gw1RUQM4RbQT6oggOIc4zRVoC+cIfqayZY1Ix9VFzLsI/Yd243tMDoQztMUdhymrtA/mljwlxJ9RS/MFqN0mpA==" saltValue="xULSpe0oKteBxbLwQlzDC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13" priority="11" operator="equal">
      <formula>#N/A</formula>
    </cfRule>
  </conditionalFormatting>
  <conditionalFormatting sqref="DG2">
    <cfRule type="cellIs" dxfId="12" priority="10" operator="equal">
      <formula>#N/A</formula>
    </cfRule>
  </conditionalFormatting>
  <conditionalFormatting sqref="DH2:DI2">
    <cfRule type="cellIs" dxfId="11" priority="9" operator="equal">
      <formula>#N/A</formula>
    </cfRule>
  </conditionalFormatting>
  <conditionalFormatting sqref="I1:I2">
    <cfRule type="cellIs" dxfId="10" priority="8" operator="equal">
      <formula>#N/A</formula>
    </cfRule>
  </conditionalFormatting>
  <conditionalFormatting sqref="H1">
    <cfRule type="cellIs" dxfId="9" priority="7" operator="equal">
      <formula>#N/A</formula>
    </cfRule>
  </conditionalFormatting>
  <conditionalFormatting sqref="E1">
    <cfRule type="cellIs" dxfId="8" priority="6" operator="equal">
      <formula>#N/A</formula>
    </cfRule>
  </conditionalFormatting>
  <conditionalFormatting sqref="I1">
    <cfRule type="containsText" dxfId="7" priority="4" operator="containsText" text="All Data Import Successfully">
      <formula>NOT(ISERROR(SEARCH("All Data Import Successfully",I1)))</formula>
    </cfRule>
    <cfRule type="containsText" dxfId="6" priority="5" operator="containsText" text="Difference Entry">
      <formula>NOT(ISERROR(SEARCH("Difference Entry",I1)))</formula>
    </cfRule>
  </conditionalFormatting>
  <conditionalFormatting sqref="E2:G2">
    <cfRule type="cellIs" dxfId="5" priority="3" operator="equal">
      <formula>#N/A</formula>
    </cfRule>
  </conditionalFormatting>
  <conditionalFormatting sqref="H2">
    <cfRule type="cellIs" dxfId="4" priority="2" operator="equal">
      <formula>#N/A</formula>
    </cfRule>
  </conditionalFormatting>
  <conditionalFormatting sqref="I2">
    <cfRule type="cellIs" dxfId="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12">
    <tabColor theme="9" tint="0.59999389629810485"/>
  </sheetPr>
  <dimension ref="A1:EE67"/>
  <sheetViews>
    <sheetView workbookViewId="0">
      <selection activeCell="N21" sqref="N21"/>
    </sheetView>
  </sheetViews>
  <sheetFormatPr defaultRowHeight="15"/>
  <cols>
    <col min="5" max="5" width="6.85546875" customWidth="1"/>
    <col min="6" max="6" width="19" customWidth="1"/>
    <col min="7" max="7" width="6.85546875" customWidth="1"/>
    <col min="9" max="9" width="22.7109375" style="137" bestFit="1" customWidth="1"/>
    <col min="10" max="10" width="9.140625" style="137"/>
    <col min="11" max="11" width="19.85546875" style="137" bestFit="1" customWidth="1"/>
    <col min="12" max="12" width="21.140625" customWidth="1"/>
    <col min="13" max="13" width="19.28515625" customWidth="1"/>
    <col min="14" max="14" width="27.42578125" customWidth="1"/>
    <col min="15" max="15" width="27" customWidth="1"/>
  </cols>
  <sheetData>
    <row r="1" spans="1:135" ht="22.5">
      <c r="N1" s="320" t="s">
        <v>2874</v>
      </c>
      <c r="O1" s="321"/>
    </row>
    <row r="2" spans="1:135">
      <c r="M2" s="185"/>
      <c r="N2" s="253"/>
      <c r="O2" s="254"/>
      <c r="BA2" t="s">
        <v>175</v>
      </c>
    </row>
    <row r="3" spans="1:135" ht="15.75" thickBot="1">
      <c r="N3" s="253"/>
      <c r="O3" s="254"/>
      <c r="BA3" t="s">
        <v>176</v>
      </c>
    </row>
    <row r="4" spans="1:135">
      <c r="E4" s="259"/>
      <c r="F4" s="260"/>
      <c r="G4" s="261"/>
      <c r="N4" s="253"/>
      <c r="O4" s="255"/>
      <c r="BA4" t="s">
        <v>177</v>
      </c>
    </row>
    <row r="5" spans="1:135">
      <c r="A5" s="6"/>
      <c r="B5" s="6"/>
      <c r="C5" s="6"/>
      <c r="D5" s="6"/>
      <c r="E5" s="262"/>
      <c r="F5" s="263"/>
      <c r="G5" s="264"/>
      <c r="H5" s="6"/>
      <c r="L5" s="6"/>
      <c r="M5" s="6"/>
      <c r="N5" s="253"/>
      <c r="O5" s="254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 t="s">
        <v>178</v>
      </c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</row>
    <row r="6" spans="1:135">
      <c r="E6" s="265"/>
      <c r="F6" s="266"/>
      <c r="G6" s="267"/>
      <c r="N6" s="256" t="s">
        <v>2860</v>
      </c>
      <c r="O6" s="257">
        <v>29505</v>
      </c>
    </row>
    <row r="7" spans="1:135">
      <c r="E7" s="265"/>
      <c r="F7" s="266"/>
      <c r="G7" s="267"/>
      <c r="L7" t="s">
        <v>2858</v>
      </c>
      <c r="M7" t="b">
        <v>1</v>
      </c>
      <c r="N7" s="256" t="s">
        <v>2861</v>
      </c>
      <c r="O7" s="257" t="s">
        <v>2870</v>
      </c>
    </row>
    <row r="8" spans="1:135">
      <c r="E8" s="265"/>
      <c r="F8" s="266"/>
      <c r="G8" s="267"/>
      <c r="L8" t="s">
        <v>2859</v>
      </c>
      <c r="M8" t="b">
        <v>1</v>
      </c>
      <c r="N8" s="256" t="s">
        <v>2862</v>
      </c>
      <c r="O8" s="257">
        <v>9173555942</v>
      </c>
    </row>
    <row r="9" spans="1:135">
      <c r="E9" s="265"/>
      <c r="F9" s="266"/>
      <c r="G9" s="267"/>
      <c r="L9" t="s">
        <v>2804</v>
      </c>
      <c r="M9" t="b">
        <v>1</v>
      </c>
      <c r="N9" s="256" t="s">
        <v>2863</v>
      </c>
      <c r="O9" s="258" t="s">
        <v>2872</v>
      </c>
    </row>
    <row r="10" spans="1:135">
      <c r="E10" s="265"/>
      <c r="F10" s="266"/>
      <c r="G10" s="267"/>
      <c r="L10" t="s">
        <v>2805</v>
      </c>
      <c r="M10" t="b">
        <v>1</v>
      </c>
      <c r="N10" s="256" t="s">
        <v>2864</v>
      </c>
      <c r="O10" s="257" t="s">
        <v>2873</v>
      </c>
    </row>
    <row r="11" spans="1:135">
      <c r="E11" s="265"/>
      <c r="F11" s="266"/>
      <c r="G11" s="267"/>
      <c r="L11" t="s">
        <v>2806</v>
      </c>
      <c r="M11" t="b">
        <v>1</v>
      </c>
      <c r="N11" s="256" t="s">
        <v>2865</v>
      </c>
      <c r="O11" s="258">
        <v>45573</v>
      </c>
    </row>
    <row r="12" spans="1:135">
      <c r="E12" s="265"/>
      <c r="F12" s="266"/>
      <c r="G12" s="267"/>
      <c r="L12" t="s">
        <v>2807</v>
      </c>
      <c r="M12" t="b">
        <v>0</v>
      </c>
      <c r="N12" s="256" t="s">
        <v>2866</v>
      </c>
      <c r="O12" s="258">
        <v>45809</v>
      </c>
    </row>
    <row r="13" spans="1:135">
      <c r="E13" s="265"/>
      <c r="F13" s="266"/>
      <c r="G13" s="267"/>
      <c r="L13" t="s">
        <v>2808</v>
      </c>
      <c r="M13" t="b">
        <v>1</v>
      </c>
      <c r="N13" s="256" t="s">
        <v>2868</v>
      </c>
      <c r="O13" s="258" t="s">
        <v>2871</v>
      </c>
    </row>
    <row r="14" spans="1:135">
      <c r="E14" s="265"/>
      <c r="F14" s="266"/>
      <c r="G14" s="267"/>
      <c r="L14" t="s">
        <v>2809</v>
      </c>
      <c r="M14" t="b">
        <v>1</v>
      </c>
    </row>
    <row r="15" spans="1:135">
      <c r="E15" s="265"/>
      <c r="F15" s="266"/>
      <c r="G15" s="267"/>
      <c r="L15" t="s">
        <v>2810</v>
      </c>
      <c r="M15" t="b">
        <v>0</v>
      </c>
    </row>
    <row r="16" spans="1:135">
      <c r="E16" s="265"/>
      <c r="F16" s="266"/>
      <c r="G16" s="267"/>
      <c r="L16" t="s">
        <v>2811</v>
      </c>
      <c r="M16" t="b">
        <v>0</v>
      </c>
    </row>
    <row r="17" spans="5:13">
      <c r="E17" s="265"/>
      <c r="F17" s="266"/>
      <c r="G17" s="267"/>
      <c r="L17" t="s">
        <v>2812</v>
      </c>
      <c r="M17" t="b">
        <v>0</v>
      </c>
    </row>
    <row r="18" spans="5:13">
      <c r="E18" s="265"/>
      <c r="F18" s="266"/>
      <c r="G18" s="267"/>
      <c r="L18" t="s">
        <v>2813</v>
      </c>
      <c r="M18" t="b">
        <v>1</v>
      </c>
    </row>
    <row r="19" spans="5:13">
      <c r="E19" s="265"/>
      <c r="F19" s="266"/>
      <c r="G19" s="267"/>
      <c r="L19" t="s">
        <v>2814</v>
      </c>
      <c r="M19" t="b">
        <v>0</v>
      </c>
    </row>
    <row r="20" spans="5:13">
      <c r="E20" s="265"/>
      <c r="F20" s="266"/>
      <c r="G20" s="267"/>
      <c r="L20" t="s">
        <v>2815</v>
      </c>
      <c r="M20" t="b">
        <v>0</v>
      </c>
    </row>
    <row r="21" spans="5:13">
      <c r="E21" s="265"/>
      <c r="F21" s="266"/>
      <c r="G21" s="267"/>
      <c r="L21" t="s">
        <v>2816</v>
      </c>
      <c r="M21" t="b">
        <v>0</v>
      </c>
    </row>
    <row r="22" spans="5:13">
      <c r="E22" s="265"/>
      <c r="F22" s="266"/>
      <c r="G22" s="267"/>
      <c r="L22" t="s">
        <v>2817</v>
      </c>
      <c r="M22" t="b">
        <v>1</v>
      </c>
    </row>
    <row r="23" spans="5:13">
      <c r="E23" s="265"/>
      <c r="F23" s="266"/>
      <c r="G23" s="267"/>
      <c r="L23" t="s">
        <v>2818</v>
      </c>
      <c r="M23" t="b">
        <v>0</v>
      </c>
    </row>
    <row r="24" spans="5:13">
      <c r="E24" s="265"/>
      <c r="F24" s="266"/>
      <c r="G24" s="267"/>
      <c r="L24" t="s">
        <v>2819</v>
      </c>
      <c r="M24" t="b">
        <v>0</v>
      </c>
    </row>
    <row r="25" spans="5:13">
      <c r="E25" s="265"/>
      <c r="F25" s="266"/>
      <c r="G25" s="267"/>
      <c r="L25" t="s">
        <v>2821</v>
      </c>
      <c r="M25" t="b">
        <v>0</v>
      </c>
    </row>
    <row r="26" spans="5:13">
      <c r="E26" s="265"/>
      <c r="F26" s="266"/>
      <c r="G26" s="267"/>
      <c r="L26" t="s">
        <v>2822</v>
      </c>
      <c r="M26" t="b">
        <v>0</v>
      </c>
    </row>
    <row r="27" spans="5:13">
      <c r="E27" s="265"/>
      <c r="F27" s="266"/>
      <c r="G27" s="267"/>
      <c r="L27" t="s">
        <v>2823</v>
      </c>
      <c r="M27" t="b">
        <v>0</v>
      </c>
    </row>
    <row r="28" spans="5:13">
      <c r="E28" s="265"/>
      <c r="F28" s="266"/>
      <c r="G28" s="267"/>
      <c r="L28" t="s">
        <v>2824</v>
      </c>
      <c r="M28" t="b">
        <v>1</v>
      </c>
    </row>
    <row r="29" spans="5:13">
      <c r="E29" s="265"/>
      <c r="F29" s="266"/>
      <c r="G29" s="267"/>
      <c r="L29" t="s">
        <v>2820</v>
      </c>
      <c r="M29" t="b">
        <v>1</v>
      </c>
    </row>
    <row r="30" spans="5:13">
      <c r="E30" s="265"/>
      <c r="F30" s="266"/>
      <c r="G30" s="267"/>
      <c r="L30" t="s">
        <v>3173</v>
      </c>
      <c r="M30" t="b">
        <v>1</v>
      </c>
    </row>
    <row r="31" spans="5:13">
      <c r="E31" s="265"/>
      <c r="F31" s="266"/>
      <c r="G31" s="267"/>
      <c r="L31" t="s">
        <v>2825</v>
      </c>
      <c r="M31" t="b">
        <v>1</v>
      </c>
    </row>
    <row r="32" spans="5:13">
      <c r="E32" s="265"/>
      <c r="F32" s="266"/>
      <c r="G32" s="267"/>
      <c r="L32" t="s">
        <v>2826</v>
      </c>
      <c r="M32" t="b">
        <v>0</v>
      </c>
    </row>
    <row r="33" spans="5:13">
      <c r="E33" s="265"/>
      <c r="F33" s="266"/>
      <c r="G33" s="267"/>
      <c r="L33" t="s">
        <v>2827</v>
      </c>
      <c r="M33" t="b">
        <v>0</v>
      </c>
    </row>
    <row r="34" spans="5:13">
      <c r="E34" s="265"/>
      <c r="F34" s="266"/>
      <c r="G34" s="267"/>
      <c r="L34" t="s">
        <v>2828</v>
      </c>
      <c r="M34" t="b">
        <v>0</v>
      </c>
    </row>
    <row r="35" spans="5:13">
      <c r="E35" s="265"/>
      <c r="F35" s="266"/>
      <c r="G35" s="267"/>
      <c r="L35" t="s">
        <v>2829</v>
      </c>
      <c r="M35" t="b">
        <v>0</v>
      </c>
    </row>
    <row r="36" spans="5:13">
      <c r="E36" s="265"/>
      <c r="F36" s="266"/>
      <c r="G36" s="267"/>
      <c r="L36" t="s">
        <v>2830</v>
      </c>
      <c r="M36" t="b">
        <v>0</v>
      </c>
    </row>
    <row r="37" spans="5:13">
      <c r="E37" s="265"/>
      <c r="F37" s="266"/>
      <c r="G37" s="267"/>
      <c r="L37" t="s">
        <v>2831</v>
      </c>
      <c r="M37" t="b">
        <v>0</v>
      </c>
    </row>
    <row r="38" spans="5:13">
      <c r="E38" s="265"/>
      <c r="F38" s="266"/>
      <c r="G38" s="267"/>
      <c r="L38" t="s">
        <v>2832</v>
      </c>
      <c r="M38" t="b">
        <v>0</v>
      </c>
    </row>
    <row r="39" spans="5:13">
      <c r="E39" s="265"/>
      <c r="F39" s="266"/>
      <c r="G39" s="267"/>
      <c r="L39" t="s">
        <v>2833</v>
      </c>
      <c r="M39" t="b">
        <v>0</v>
      </c>
    </row>
    <row r="40" spans="5:13">
      <c r="E40" s="265"/>
      <c r="F40" s="266"/>
      <c r="G40" s="267"/>
      <c r="L40" t="s">
        <v>2834</v>
      </c>
      <c r="M40" t="b">
        <v>0</v>
      </c>
    </row>
    <row r="41" spans="5:13">
      <c r="E41" s="265"/>
      <c r="F41" s="266"/>
      <c r="G41" s="267"/>
      <c r="L41" t="s">
        <v>2835</v>
      </c>
      <c r="M41" t="b">
        <v>0</v>
      </c>
    </row>
    <row r="42" spans="5:13">
      <c r="E42" s="265"/>
      <c r="F42" s="266"/>
      <c r="G42" s="267"/>
      <c r="L42" t="s">
        <v>2836</v>
      </c>
      <c r="M42" t="b">
        <v>0</v>
      </c>
    </row>
    <row r="43" spans="5:13">
      <c r="E43" s="265"/>
      <c r="F43" s="266"/>
      <c r="G43" s="267"/>
      <c r="L43" t="s">
        <v>2837</v>
      </c>
      <c r="M43" t="b">
        <v>0</v>
      </c>
    </row>
    <row r="44" spans="5:13">
      <c r="E44" s="265"/>
      <c r="F44" s="266"/>
      <c r="G44" s="267"/>
      <c r="L44" t="s">
        <v>2838</v>
      </c>
      <c r="M44" t="b">
        <v>0</v>
      </c>
    </row>
    <row r="45" spans="5:13">
      <c r="E45" s="265"/>
      <c r="F45" s="266"/>
      <c r="G45" s="267"/>
      <c r="L45" t="s">
        <v>2839</v>
      </c>
      <c r="M45" t="b">
        <v>0</v>
      </c>
    </row>
    <row r="46" spans="5:13">
      <c r="E46" s="265"/>
      <c r="F46" s="266"/>
      <c r="G46" s="267"/>
      <c r="L46" t="s">
        <v>2840</v>
      </c>
      <c r="M46" t="b">
        <v>0</v>
      </c>
    </row>
    <row r="47" spans="5:13">
      <c r="E47" s="265"/>
      <c r="F47" s="266"/>
      <c r="G47" s="267"/>
      <c r="L47" t="s">
        <v>2841</v>
      </c>
      <c r="M47" t="b">
        <v>0</v>
      </c>
    </row>
    <row r="48" spans="5:13">
      <c r="E48" s="265"/>
      <c r="F48" s="266"/>
      <c r="G48" s="267"/>
      <c r="L48" t="s">
        <v>2842</v>
      </c>
      <c r="M48" t="b">
        <v>0</v>
      </c>
    </row>
    <row r="49" spans="5:13">
      <c r="E49" s="265"/>
      <c r="F49" s="266"/>
      <c r="G49" s="267"/>
      <c r="L49" t="s">
        <v>2843</v>
      </c>
      <c r="M49" t="b">
        <v>0</v>
      </c>
    </row>
    <row r="50" spans="5:13">
      <c r="E50" s="265"/>
      <c r="F50" s="266"/>
      <c r="G50" s="267"/>
      <c r="L50" t="s">
        <v>2844</v>
      </c>
      <c r="M50" t="b">
        <v>0</v>
      </c>
    </row>
    <row r="51" spans="5:13">
      <c r="E51" s="265"/>
      <c r="F51" s="266"/>
      <c r="G51" s="267"/>
      <c r="L51" t="s">
        <v>2845</v>
      </c>
      <c r="M51" t="b">
        <v>0</v>
      </c>
    </row>
    <row r="52" spans="5:13">
      <c r="E52" s="265"/>
      <c r="F52" s="266"/>
      <c r="G52" s="267"/>
      <c r="L52" t="s">
        <v>2846</v>
      </c>
      <c r="M52" t="b">
        <v>0</v>
      </c>
    </row>
    <row r="53" spans="5:13">
      <c r="E53" s="265"/>
      <c r="F53" s="266"/>
      <c r="G53" s="267"/>
      <c r="L53" t="s">
        <v>2847</v>
      </c>
      <c r="M53" t="b">
        <v>0</v>
      </c>
    </row>
    <row r="54" spans="5:13">
      <c r="E54" s="265"/>
      <c r="F54" s="266"/>
      <c r="G54" s="267"/>
      <c r="L54" t="s">
        <v>2848</v>
      </c>
      <c r="M54" t="b">
        <v>0</v>
      </c>
    </row>
    <row r="55" spans="5:13">
      <c r="E55" s="265"/>
      <c r="F55" s="266"/>
      <c r="G55" s="267"/>
      <c r="L55" t="s">
        <v>2849</v>
      </c>
      <c r="M55" t="b">
        <v>0</v>
      </c>
    </row>
    <row r="56" spans="5:13">
      <c r="E56" s="265"/>
      <c r="F56" s="266"/>
      <c r="G56" s="267"/>
      <c r="L56" t="s">
        <v>2850</v>
      </c>
      <c r="M56" t="b">
        <v>0</v>
      </c>
    </row>
    <row r="57" spans="5:13">
      <c r="E57" s="265"/>
      <c r="F57" s="266"/>
      <c r="G57" s="267"/>
      <c r="L57" t="s">
        <v>2851</v>
      </c>
      <c r="M57" t="b">
        <v>0</v>
      </c>
    </row>
    <row r="58" spans="5:13">
      <c r="E58" s="265"/>
      <c r="F58" s="266"/>
      <c r="G58" s="267"/>
      <c r="L58" t="s">
        <v>2852</v>
      </c>
      <c r="M58" t="b">
        <v>0</v>
      </c>
    </row>
    <row r="59" spans="5:13">
      <c r="E59" s="265"/>
      <c r="F59" s="266"/>
      <c r="G59" s="267"/>
      <c r="L59" t="s">
        <v>2853</v>
      </c>
      <c r="M59" t="b">
        <v>0</v>
      </c>
    </row>
    <row r="60" spans="5:13">
      <c r="E60" s="265"/>
      <c r="F60" s="266"/>
      <c r="G60" s="267"/>
      <c r="L60" t="s">
        <v>2854</v>
      </c>
      <c r="M60" t="b">
        <v>0</v>
      </c>
    </row>
    <row r="61" spans="5:13">
      <c r="E61" s="265"/>
      <c r="F61" s="266"/>
      <c r="G61" s="267"/>
      <c r="L61" t="s">
        <v>2855</v>
      </c>
      <c r="M61" t="b">
        <v>0</v>
      </c>
    </row>
    <row r="62" spans="5:13">
      <c r="E62" s="265"/>
      <c r="F62" s="266"/>
      <c r="G62" s="267"/>
      <c r="L62" t="s">
        <v>2856</v>
      </c>
      <c r="M62" t="b">
        <v>0</v>
      </c>
    </row>
    <row r="63" spans="5:13">
      <c r="E63" s="265"/>
      <c r="F63" s="266"/>
      <c r="G63" s="267"/>
      <c r="L63" t="s">
        <v>2857</v>
      </c>
      <c r="M63" t="b">
        <v>0</v>
      </c>
    </row>
    <row r="64" spans="5:13">
      <c r="E64" s="265"/>
      <c r="F64" s="266"/>
      <c r="G64" s="267"/>
      <c r="L64" t="s">
        <v>2869</v>
      </c>
      <c r="M64" t="b">
        <v>0</v>
      </c>
    </row>
    <row r="65" spans="5:7">
      <c r="E65" s="265"/>
      <c r="F65" s="266"/>
      <c r="G65" s="267"/>
    </row>
    <row r="66" spans="5:7">
      <c r="E66" s="265"/>
      <c r="F66" s="266"/>
      <c r="G66" s="267"/>
    </row>
    <row r="67" spans="5:7" ht="15.75" thickBot="1">
      <c r="E67" s="268"/>
      <c r="F67" s="269"/>
      <c r="G67" s="270"/>
    </row>
  </sheetData>
  <protectedRanges>
    <protectedRange sqref="N6:N13" name="Range1_1_1"/>
  </protectedRanges>
  <mergeCells count="1">
    <mergeCell ref="N1:O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926" r:id="rId4" name="ICICI(C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27" r:id="rId5" name="ICICI(S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28" r:id="rId6" name="ICICI(C)2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29" r:id="rId7" name="HDFC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30" r:id="rId8" name="Axis(S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12</xdr:row>
                    <xdr:rowOff>0</xdr:rowOff>
                  </from>
                  <to>
                    <xdr:col>6</xdr:col>
                    <xdr:colOff>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31" r:id="rId9" name="Axis(C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32" r:id="rId10" name="IDB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33" r:id="rId11" name="IDBI(S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15</xdr:row>
                    <xdr:rowOff>0</xdr:rowOff>
                  </from>
                  <to>
                    <xdr:col>6</xdr:col>
                    <xdr:colOff>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34" r:id="rId12" name="IDFC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35" r:id="rId13" name="CityUn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36" r:id="rId14" name="indusind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18</xdr:row>
                    <xdr:rowOff>0</xdr:rowOff>
                  </from>
                  <to>
                    <xdr:col>6</xdr:col>
                    <xdr:colOff>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37" r:id="rId15" name="Kalupur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38" r:id="rId16" name="AU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39" r:id="rId17" name="SB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6</xdr:col>
                    <xdr:colOff>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40" r:id="rId18" name="Union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41" r:id="rId19" name="Union2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42" r:id="rId20" name="Kotak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43" r:id="rId21" name="Kotak2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44" r:id="rId22" name="Kotak3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45" r:id="rId23" name="CB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6</xdr:col>
                    <xdr:colOff>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46" r:id="rId24" name="Varachha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47" r:id="rId25" name="SDCB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29</xdr:row>
                    <xdr:rowOff>0</xdr:rowOff>
                  </from>
                  <to>
                    <xdr:col>6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48" r:id="rId26" name="ICICI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30</xdr:row>
                    <xdr:rowOff>0</xdr:rowOff>
                  </from>
                  <to>
                    <xdr:col>6</xdr:col>
                    <xdr:colOff>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49" r:id="rId27" name="ICICI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50" r:id="rId28" name="HDFC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32</xdr:row>
                    <xdr:rowOff>0</xdr:rowOff>
                  </from>
                  <to>
                    <xdr:col>6</xdr:col>
                    <xdr:colOff>0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51" r:id="rId29" name="Kotak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6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52" r:id="rId30" name="Kotak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34</xdr:row>
                    <xdr:rowOff>0</xdr:rowOff>
                  </from>
                  <to>
                    <xdr:col>6</xdr:col>
                    <xdr:colOff>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53" r:id="rId31" name="Axis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54" r:id="rId32" name="Axis(S) (2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36</xdr:row>
                    <xdr:rowOff>0</xdr:rowOff>
                  </from>
                  <to>
                    <xdr:col>6</xdr:col>
                    <xdr:colOff>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55" r:id="rId33" name="Axis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6</xdr:col>
                    <xdr:colOff>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56" r:id="rId34" name="Yes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57" r:id="rId35" name="indusind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39</xdr:row>
                    <xdr:rowOff>0</xdr:rowOff>
                  </from>
                  <to>
                    <xdr:col>6</xdr:col>
                    <xdr:colOff>0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58" r:id="rId36" name="IDB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40</xdr:row>
                    <xdr:rowOff>0</xdr:rowOff>
                  </from>
                  <to>
                    <xdr:col>6</xdr:col>
                    <xdr:colOff>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59" r:id="rId37" name="Bandhan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41</xdr:row>
                    <xdr:rowOff>0</xdr:rowOff>
                  </from>
                  <to>
                    <xdr:col>6</xdr:col>
                    <xdr:colOff>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60" r:id="rId38" name="Indian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42</xdr:row>
                    <xdr:rowOff>0</xdr:rowOff>
                  </from>
                  <to>
                    <xdr:col>6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61" r:id="rId39" name="IDFC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43</xdr:row>
                    <xdr:rowOff>0</xdr:rowOff>
                  </from>
                  <to>
                    <xdr:col>6</xdr:col>
                    <xdr:colOff>0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62" r:id="rId40" name="RBL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44</xdr:row>
                    <xdr:rowOff>0</xdr:rowOff>
                  </from>
                  <to>
                    <xdr:col>6</xdr:col>
                    <xdr:colOff>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63" r:id="rId41" name="Union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45</xdr:row>
                    <xdr:rowOff>0</xdr:rowOff>
                  </from>
                  <to>
                    <xdr:col>6</xdr:col>
                    <xdr:colOff>0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64" r:id="rId42" name="SB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46</xdr:row>
                    <xdr:rowOff>0</xdr:rowOff>
                  </from>
                  <to>
                    <xdr:col>6</xdr:col>
                    <xdr:colOff>0</xdr:colOff>
                    <xdr:row>47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65" r:id="rId43" name="BO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47</xdr:row>
                    <xdr:rowOff>0</xdr:rowOff>
                  </from>
                  <to>
                    <xdr:col>6</xdr:col>
                    <xdr:colOff>0</xdr:colOff>
                    <xdr:row>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66" r:id="rId44" name="UCO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48</xdr:row>
                    <xdr:rowOff>0</xdr:rowOff>
                  </from>
                  <to>
                    <xdr:col>6</xdr:col>
                    <xdr:colOff>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67" r:id="rId45" name="CB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49</xdr:row>
                    <xdr:rowOff>0</xdr:rowOff>
                  </from>
                  <to>
                    <xdr:col>6</xdr:col>
                    <xdr:colOff>0</xdr:colOff>
                    <xdr:row>50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68" r:id="rId46" name="BOB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50</xdr:row>
                    <xdr:rowOff>0</xdr:rowOff>
                  </from>
                  <to>
                    <xdr:col>6</xdr:col>
                    <xdr:colOff>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69" r:id="rId47" name="BOB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51</xdr:row>
                    <xdr:rowOff>0</xdr:rowOff>
                  </from>
                  <to>
                    <xdr:col>6</xdr:col>
                    <xdr:colOff>0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70" r:id="rId48" name="PN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52</xdr:row>
                    <xdr:rowOff>0</xdr:rowOff>
                  </from>
                  <to>
                    <xdr:col>6</xdr:col>
                    <xdr:colOff>0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71" r:id="rId49" name="PNB (2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53</xdr:row>
                    <xdr:rowOff>0</xdr:rowOff>
                  </from>
                  <to>
                    <xdr:col>6</xdr:col>
                    <xdr:colOff>0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72" r:id="rId50" name="RNSBE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54</xdr:row>
                    <xdr:rowOff>0</xdr:rowOff>
                  </from>
                  <to>
                    <xdr:col>6</xdr:col>
                    <xdr:colOff>0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73" r:id="rId51" name="Federal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55</xdr:row>
                    <xdr:rowOff>0</xdr:rowOff>
                  </from>
                  <to>
                    <xdr:col>6</xdr:col>
                    <xdr:colOff>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74" r:id="rId52" name="Varachha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56</xdr:row>
                    <xdr:rowOff>0</xdr:rowOff>
                  </from>
                  <to>
                    <xdr:col>6</xdr:col>
                    <xdr:colOff>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75" r:id="rId53" name="SNC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57</xdr:row>
                    <xdr:rowOff>0</xdr:rowOff>
                  </from>
                  <to>
                    <xdr:col>6</xdr:col>
                    <xdr:colOff>0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76" r:id="rId54" name="SDC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58</xdr:row>
                    <xdr:rowOff>0</xdr:rowOff>
                  </from>
                  <to>
                    <xdr:col>6</xdr:col>
                    <xdr:colOff>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77" r:id="rId55" name="AU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59</xdr:row>
                    <xdr:rowOff>0</xdr:rowOff>
                  </from>
                  <to>
                    <xdr:col>6</xdr:col>
                    <xdr:colOff>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78" r:id="rId56" name="Prime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60</xdr:row>
                    <xdr:rowOff>0</xdr:rowOff>
                  </from>
                  <to>
                    <xdr:col>6</xdr:col>
                    <xdr:colOff>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79" r:id="rId57" name="DC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61</xdr:row>
                    <xdr:rowOff>0</xdr:rowOff>
                  </from>
                  <to>
                    <xdr:col>6</xdr:col>
                    <xdr:colOff>0</xdr:colOff>
                    <xdr:row>62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0" r:id="rId58" name="Saraswat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62</xdr:row>
                    <xdr:rowOff>0</xdr:rowOff>
                  </from>
                  <to>
                    <xdr:col>6</xdr:col>
                    <xdr:colOff>0</xdr:colOff>
                    <xdr:row>63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1" r:id="rId59" name="Equitas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63</xdr:row>
                    <xdr:rowOff>0</xdr:rowOff>
                  </from>
                  <to>
                    <xdr:col>6</xdr:col>
                    <xdr:colOff>0</xdr:colOff>
                    <xdr:row>64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8">
    <tabColor theme="5" tint="0.39997558519241921"/>
  </sheetPr>
  <dimension ref="A1:EE5"/>
  <sheetViews>
    <sheetView tabSelected="1" showRuler="0" workbookViewId="0">
      <selection activeCell="D22" sqref="D22"/>
    </sheetView>
  </sheetViews>
  <sheetFormatPr defaultRowHeight="15"/>
  <cols>
    <col min="1" max="1" width="25.140625" style="6" customWidth="1"/>
    <col min="2" max="8" width="19.28515625" style="6" customWidth="1"/>
    <col min="9" max="9" width="40.85546875" style="6" customWidth="1"/>
    <col min="10" max="10" width="53.7109375" style="6" customWidth="1"/>
    <col min="11" max="11" width="19.28515625" style="6" customWidth="1"/>
    <col min="12" max="13" width="21.5703125" style="6" customWidth="1"/>
    <col min="14" max="15" width="9.140625" style="6"/>
    <col min="16" max="18" width="20" style="6" customWidth="1"/>
    <col min="19" max="16384" width="9.140625" style="6"/>
  </cols>
  <sheetData>
    <row r="1" spans="1:135" customFormat="1" ht="26.25" customHeight="1">
      <c r="A1" s="81"/>
      <c r="B1" s="82"/>
      <c r="C1" s="82"/>
      <c r="D1" s="82"/>
      <c r="E1" s="82"/>
      <c r="F1" s="138" t="s">
        <v>57</v>
      </c>
      <c r="G1" s="83" t="s">
        <v>58</v>
      </c>
      <c r="H1" s="84" t="s">
        <v>59</v>
      </c>
      <c r="I1" s="82"/>
      <c r="J1" s="67" t="s">
        <v>57</v>
      </c>
      <c r="K1" s="85"/>
      <c r="L1" s="1"/>
      <c r="M1" s="2"/>
      <c r="P1" s="6"/>
      <c r="Q1" s="6"/>
      <c r="R1" s="6"/>
    </row>
    <row r="2" spans="1:135" customFormat="1" ht="26.25" customHeight="1">
      <c r="A2" s="86"/>
      <c r="B2" s="87"/>
      <c r="C2" s="88"/>
      <c r="D2" s="88"/>
      <c r="E2" s="88"/>
      <c r="F2" s="139">
        <f>+G2+H2</f>
        <v>0</v>
      </c>
      <c r="G2" s="73">
        <f>+COUNTIF($D:$D,"&gt;"&amp;0)</f>
        <v>0</v>
      </c>
      <c r="H2" s="74">
        <f>+COUNTIF($E:$E,"&gt;"&amp;0)</f>
        <v>0</v>
      </c>
      <c r="I2" s="88"/>
      <c r="J2" s="72"/>
      <c r="K2" s="89"/>
      <c r="P2" s="6"/>
      <c r="Q2" s="6"/>
      <c r="R2" s="6"/>
    </row>
    <row r="3" spans="1:135" customFormat="1" ht="26.25" customHeight="1">
      <c r="A3" s="86"/>
      <c r="B3" s="88"/>
      <c r="C3" s="303" t="s">
        <v>3175</v>
      </c>
      <c r="D3" s="304" t="s">
        <v>3177</v>
      </c>
      <c r="E3" s="305"/>
      <c r="F3" s="298"/>
      <c r="G3" s="298"/>
      <c r="H3" s="88"/>
      <c r="I3" s="88"/>
      <c r="J3" s="68" t="s">
        <v>143</v>
      </c>
      <c r="K3" s="89"/>
      <c r="P3" s="6"/>
      <c r="Q3" s="6"/>
      <c r="R3" s="6"/>
    </row>
    <row r="4" spans="1:135" customFormat="1" ht="26.25" customHeight="1" thickBot="1">
      <c r="A4" s="90"/>
      <c r="B4" s="91"/>
      <c r="C4" s="306" t="s">
        <v>3176</v>
      </c>
      <c r="D4" s="307"/>
      <c r="E4" s="308"/>
      <c r="F4" s="300"/>
      <c r="G4" s="299"/>
      <c r="H4" s="91"/>
      <c r="I4" s="91"/>
      <c r="J4" s="75">
        <f>+J2-F2</f>
        <v>0</v>
      </c>
      <c r="K4" s="89"/>
      <c r="P4" s="6"/>
      <c r="Q4" s="6"/>
      <c r="R4" s="6"/>
    </row>
    <row r="5" spans="1:135" customFormat="1" ht="15.75" thickBot="1">
      <c r="A5" s="76" t="s">
        <v>5</v>
      </c>
      <c r="B5" s="77" t="s">
        <v>7</v>
      </c>
      <c r="C5" s="301" t="s">
        <v>8</v>
      </c>
      <c r="D5" s="302" t="s">
        <v>9</v>
      </c>
      <c r="E5" s="302" t="s">
        <v>10</v>
      </c>
      <c r="F5" s="78" t="s">
        <v>11</v>
      </c>
      <c r="G5" s="77" t="s">
        <v>12</v>
      </c>
      <c r="H5" s="77" t="s">
        <v>13</v>
      </c>
      <c r="I5" s="77" t="s">
        <v>14</v>
      </c>
      <c r="J5" s="79" t="s">
        <v>15</v>
      </c>
      <c r="K5" s="80" t="s">
        <v>3174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</row>
  </sheetData>
  <sheetProtection algorithmName="SHA-512" hashValue="hpsSzP32wUJR2zBIiDG2/8dWr7+1KvKPOQnbTIAGkAmpxJh4TgaSNy3GgU3aKDDRCzYH8tLHyd5uQExbbB0V5Q==" saltValue="V9Z7+CDs9Acrv5O7RUlNYA==" spinCount="100000" sheet="1" objects="1" scenarios="1"/>
  <conditionalFormatting sqref="F1">
    <cfRule type="cellIs" dxfId="2" priority="3" operator="equal">
      <formula>#N/A</formula>
    </cfRule>
  </conditionalFormatting>
  <conditionalFormatting sqref="G5">
    <cfRule type="cellIs" dxfId="1" priority="2" operator="equal">
      <formula>#N/A</formula>
    </cfRule>
  </conditionalFormatting>
  <conditionalFormatting sqref="H5:I5">
    <cfRule type="cellIs" dxfId="0" priority="1" operator="equal">
      <formula>#N/A</formula>
    </cfRule>
  </conditionalFormatting>
  <pageMargins left="0.7" right="0.7" top="0.75" bottom="0.75" header="0.3" footer="0.3"/>
  <pageSetup orientation="portrait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8"/>
  <dimension ref="A3:O13"/>
  <sheetViews>
    <sheetView workbookViewId="0">
      <selection activeCell="B23" sqref="B23"/>
    </sheetView>
  </sheetViews>
  <sheetFormatPr defaultRowHeight="15"/>
  <cols>
    <col min="1" max="1" width="23.7109375" customWidth="1"/>
    <col min="2" max="2" width="23.28515625" customWidth="1"/>
  </cols>
  <sheetData>
    <row r="3" spans="1:15">
      <c r="O3" t="s">
        <v>3177</v>
      </c>
    </row>
    <row r="6" spans="1:15">
      <c r="A6" s="250" t="s">
        <v>2860</v>
      </c>
      <c r="B6" s="251">
        <v>29505</v>
      </c>
    </row>
    <row r="7" spans="1:15">
      <c r="A7" s="250" t="s">
        <v>2861</v>
      </c>
      <c r="B7" s="251" t="s">
        <v>2870</v>
      </c>
    </row>
    <row r="8" spans="1:15">
      <c r="A8" s="250" t="s">
        <v>2862</v>
      </c>
      <c r="B8" s="251">
        <v>9173555942</v>
      </c>
    </row>
    <row r="9" spans="1:15">
      <c r="A9" s="250" t="s">
        <v>2863</v>
      </c>
      <c r="B9" s="251" t="s">
        <v>2872</v>
      </c>
    </row>
    <row r="10" spans="1:15">
      <c r="A10" s="250" t="s">
        <v>2864</v>
      </c>
      <c r="B10" s="251" t="s">
        <v>2873</v>
      </c>
    </row>
    <row r="11" spans="1:15">
      <c r="A11" s="250" t="s">
        <v>2865</v>
      </c>
      <c r="B11" s="252">
        <v>45573</v>
      </c>
    </row>
    <row r="12" spans="1:15">
      <c r="A12" s="250" t="s">
        <v>2866</v>
      </c>
      <c r="B12" s="252">
        <v>45809</v>
      </c>
    </row>
    <row r="13" spans="1:15">
      <c r="A13" s="250" t="s">
        <v>2867</v>
      </c>
      <c r="B13" s="252" t="s">
        <v>2871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58</vt:i4>
      </vt:variant>
    </vt:vector>
  </HeadingPairs>
  <TitlesOfParts>
    <vt:vector size="58" baseType="lpstr">
      <vt:lpstr>ICICI(C) (P)</vt:lpstr>
      <vt:lpstr>ICICI(S) (P)</vt:lpstr>
      <vt:lpstr>ICICI(C)2 (P)</vt:lpstr>
      <vt:lpstr>HDFC (P)</vt:lpstr>
      <vt:lpstr>Axis(S) (P)</vt:lpstr>
      <vt:lpstr>Axis(C) (P)</vt:lpstr>
      <vt:lpstr>IDBI (P)</vt:lpstr>
      <vt:lpstr>IDBI(S) (P)</vt:lpstr>
      <vt:lpstr>IDFC (P)</vt:lpstr>
      <vt:lpstr>CityUni (P)</vt:lpstr>
      <vt:lpstr>indusind (P)</vt:lpstr>
      <vt:lpstr>Kalupur (P)</vt:lpstr>
      <vt:lpstr>AU (P)</vt:lpstr>
      <vt:lpstr>SBI (P)</vt:lpstr>
      <vt:lpstr>Union (P)</vt:lpstr>
      <vt:lpstr>Union2 (P)</vt:lpstr>
      <vt:lpstr>Kotak (P)</vt:lpstr>
      <vt:lpstr>Kotak2 (P)</vt:lpstr>
      <vt:lpstr>Kotak3 (P)</vt:lpstr>
      <vt:lpstr>CBI (P)</vt:lpstr>
      <vt:lpstr>Varachha (P)</vt:lpstr>
      <vt:lpstr>SDCB (P)</vt:lpstr>
      <vt:lpstr>ICICI(C)</vt:lpstr>
      <vt:lpstr>ICICI(S)</vt:lpstr>
      <vt:lpstr>HDFC</vt:lpstr>
      <vt:lpstr>Kotak(C)</vt:lpstr>
      <vt:lpstr>Kotak(S)</vt:lpstr>
      <vt:lpstr>Axis(S)</vt:lpstr>
      <vt:lpstr>Axis(S) (2)</vt:lpstr>
      <vt:lpstr>Axis(C)</vt:lpstr>
      <vt:lpstr>Yes</vt:lpstr>
      <vt:lpstr>indusind</vt:lpstr>
      <vt:lpstr>IDBI</vt:lpstr>
      <vt:lpstr>Bandhan</vt:lpstr>
      <vt:lpstr>Indian</vt:lpstr>
      <vt:lpstr>IDFC</vt:lpstr>
      <vt:lpstr>RBL</vt:lpstr>
      <vt:lpstr>Union</vt:lpstr>
      <vt:lpstr>SBI</vt:lpstr>
      <vt:lpstr>BOI</vt:lpstr>
      <vt:lpstr>UCO</vt:lpstr>
      <vt:lpstr>CBI</vt:lpstr>
      <vt:lpstr>BOB(C)</vt:lpstr>
      <vt:lpstr>BOB(S)</vt:lpstr>
      <vt:lpstr>PNB</vt:lpstr>
      <vt:lpstr>PNB (2)</vt:lpstr>
      <vt:lpstr>RNSBE</vt:lpstr>
      <vt:lpstr>Federal</vt:lpstr>
      <vt:lpstr>Varachha</vt:lpstr>
      <vt:lpstr>SNCB</vt:lpstr>
      <vt:lpstr>SDCB</vt:lpstr>
      <vt:lpstr>AU</vt:lpstr>
      <vt:lpstr>Prime</vt:lpstr>
      <vt:lpstr>DCB</vt:lpstr>
      <vt:lpstr>Saraswat</vt:lpstr>
      <vt:lpstr>Equitas</vt:lpstr>
      <vt:lpstr>Help</vt:lpstr>
      <vt:lpstr>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</dc:creator>
  <cp:lastModifiedBy>Ketan Jogani</cp:lastModifiedBy>
  <dcterms:created xsi:type="dcterms:W3CDTF">2015-06-05T18:17:20Z</dcterms:created>
  <dcterms:modified xsi:type="dcterms:W3CDTF">2024-12-03T07:12:10Z</dcterms:modified>
</cp:coreProperties>
</file>