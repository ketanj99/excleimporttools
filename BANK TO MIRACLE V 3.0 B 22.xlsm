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A70C4745-A073-4B1B-87BB-DE0F80E0836A}" xr6:coauthVersionLast="47" xr6:coauthVersionMax="47" xr10:uidLastSave="{00000000-0000-0000-0000-000000000000}"/>
  <bookViews>
    <workbookView xWindow="-120" yWindow="-120" windowWidth="29040" windowHeight="15840" firstSheet="1" activeTab="58" xr2:uid="{00000000-000D-0000-FFFF-FFFF00000000}"/>
  </bookViews>
  <sheets>
    <sheet name="ICICI(C) (P)" sheetId="40" r:id="rId1"/>
    <sheet name="ICICI(S) (P)" sheetId="56" r:id="rId2"/>
    <sheet name="ICICI(C)2 (P)" sheetId="60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state="hidden" r:id="rId57"/>
    <sheet name="Canara" sheetId="69" r:id="rId58"/>
    <sheet name="Help" sheetId="30" r:id="rId59"/>
    <sheet name="Master" sheetId="8" r:id="rId60"/>
    <sheet name="Registration" sheetId="65" state="veryHidden" r:id="rId61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J3" i="69" l="1"/>
  <c r="DF3" i="69"/>
  <c r="DE3" i="69"/>
  <c r="DI3" i="69" s="1"/>
  <c r="DD3" i="69"/>
  <c r="DK3" i="69"/>
  <c r="DH3" i="69"/>
  <c r="DB3" i="69"/>
  <c r="DA3" i="69"/>
  <c r="DA4" i="69" s="1"/>
  <c r="E2" i="69"/>
  <c r="DE3" i="62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G2" i="69" l="1"/>
  <c r="F2" i="69"/>
  <c r="DC3" i="69"/>
  <c r="F2" i="67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B3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E2" i="2"/>
  <c r="DK3" i="58"/>
  <c r="DJ3" i="58"/>
  <c r="DH3" i="58"/>
  <c r="DF3" i="58"/>
  <c r="DE3" i="58"/>
  <c r="F2" i="58" s="1"/>
  <c r="DD3" i="58"/>
  <c r="G2" i="58" s="1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H3" i="50"/>
  <c r="DF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31"/>
  <c r="DG3" i="44"/>
  <c r="DG3" i="45"/>
  <c r="DG3" i="23"/>
  <c r="DG3" i="28"/>
  <c r="DG3" i="6"/>
  <c r="DG3" i="61"/>
  <c r="DG3" i="63"/>
  <c r="DG3" i="51"/>
  <c r="DG3" i="32"/>
  <c r="DG3" i="34"/>
  <c r="DG3" i="58"/>
  <c r="DH3" i="40"/>
  <c r="DG3" i="29"/>
  <c r="DG3" i="50"/>
  <c r="DG3" i="49"/>
  <c r="DG3" i="38"/>
  <c r="DG3" i="59"/>
  <c r="DG3" i="57"/>
  <c r="DG3" i="56"/>
  <c r="H2" i="69" l="1"/>
  <c r="I2" i="69" s="1"/>
  <c r="F2" i="20"/>
  <c r="H2" i="20" s="1"/>
  <c r="I2" i="20" s="1"/>
  <c r="F2" i="15"/>
  <c r="H2" i="15" s="1"/>
  <c r="I2" i="15" s="1"/>
  <c r="F2" i="24"/>
  <c r="H2" i="24" s="1"/>
  <c r="I2" i="24" s="1"/>
  <c r="F2" i="29"/>
  <c r="H2" i="29" s="1"/>
  <c r="I2" i="29" s="1"/>
  <c r="F2" i="34"/>
  <c r="H2" i="34" s="1"/>
  <c r="I2" i="34" s="1"/>
  <c r="F2" i="37"/>
  <c r="H2" i="37" s="1"/>
  <c r="I2" i="37" s="1"/>
  <c r="F2" i="53"/>
  <c r="H2" i="53" s="1"/>
  <c r="I2" i="53" s="1"/>
  <c r="F2" i="47"/>
  <c r="H2" i="47" s="1"/>
  <c r="I2" i="47" s="1"/>
  <c r="F2" i="3"/>
  <c r="H2" i="3" s="1"/>
  <c r="I2" i="3" s="1"/>
  <c r="F2" i="31"/>
  <c r="H2" i="31" s="1"/>
  <c r="I2" i="31" s="1"/>
  <c r="F2" i="11"/>
  <c r="H2" i="11" s="1"/>
  <c r="I2" i="11" s="1"/>
  <c r="F2" i="5"/>
  <c r="H2" i="5" s="1"/>
  <c r="I2" i="5" s="1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DC3" i="26"/>
  <c r="H2" i="4"/>
  <c r="I2" i="4" s="1"/>
  <c r="DC3" i="22"/>
  <c r="DC3" i="36"/>
  <c r="DC3" i="53"/>
  <c r="DC3" i="6"/>
  <c r="DC3" i="10"/>
  <c r="DC3" i="32"/>
  <c r="H2" i="67"/>
  <c r="I2" i="67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F2" i="33"/>
  <c r="H2" i="33" s="1"/>
  <c r="I2" i="33" s="1"/>
  <c r="DC3" i="38"/>
  <c r="H2" i="64"/>
  <c r="I2" i="64" s="1"/>
  <c r="DC3" i="24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2"/>
  <c r="DC3" i="3"/>
  <c r="H2" i="14"/>
  <c r="I2" i="14" s="1"/>
  <c r="F2" i="32"/>
  <c r="H2" i="32" s="1"/>
  <c r="I2" i="32" s="1"/>
  <c r="DC3" i="31"/>
  <c r="DC3" i="6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DC3" i="19"/>
  <c r="DI3" i="14"/>
  <c r="DH3" i="11"/>
  <c r="DC3" i="11"/>
  <c r="F2" i="10"/>
  <c r="H2" i="10" s="1"/>
  <c r="I2" i="10" s="1"/>
  <c r="DH3" i="23"/>
  <c r="DC3" i="23"/>
  <c r="DC3" i="57"/>
  <c r="DC3" i="48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<sst xmlns="http://schemas.openxmlformats.org/spreadsheetml/2006/main" count="2416" uniqueCount="438">
  <si>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</si>
  <si>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</si>
  <si>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</si>
  <si>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</si>
  <si>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</si>
  <si>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</si>
  <si>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</si>
  <si>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</si>
  <si>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</si>
  <si>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</si>
  <si>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</si>
  <si>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</si>
  <si>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</si>
  <si>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</si>
  <si>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</si>
  <si>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</si>
  <si>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</si>
  <si>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</si>
  <si>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</si>
  <si>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</si>
  <si>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</si>
  <si>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</si>
  <si>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</si>
  <si>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</si>
  <si>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</si>
  <si>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</si>
  <si>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</si>
  <si>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</si>
  <si>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</si>
  <si>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</si>
  <si>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</si>
  <si>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</si>
  <si>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</si>
  <si>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</si>
  <si>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</si>
  <si>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</si>
  <si>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</si>
  <si>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</si>
  <si>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</si>
  <si>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</si>
  <si>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</si>
  <si>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</si>
  <si>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</si>
  <si>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</si>
  <si>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</si>
  <si>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</si>
  <si>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</si>
  <si>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</si>
  <si>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</si>
  <si>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</si>
  <si>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</si>
  <si>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</si>
  <si>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</si>
  <si>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</si>
  <si>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</si>
  <si>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</si>
  <si>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</si>
  <si>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</si>
  <si>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</si>
  <si>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</si>
  <si>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</si>
  <si>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</si>
  <si>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</si>
  <si>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</si>
  <si>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</si>
  <si>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</si>
  <si>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</si>
  <si>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</si>
  <si>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</si>
  <si>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</si>
  <si>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</si>
  <si>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</si>
  <si>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</si>
  <si>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</si>
  <si>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</si>
  <si>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</si>
  <si>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</si>
  <si>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</si>
  <si>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</si>
  <si>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</si>
  <si>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</si>
  <si>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</si>
  <si>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</si>
  <si>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</si>
  <si>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</si>
  <si>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</si>
  <si>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</si>
  <si>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</si>
  <si>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</si>
  <si>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</si>
  <si>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</si>
  <si>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</si>
  <si>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</si>
  <si>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</si>
  <si>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</si>
  <si>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</si>
  <si>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</si>
  <si>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</si>
  <si>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</si>
  <si>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</si>
  <si>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</si>
  <si>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</si>
  <si>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</si>
  <si>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</si>
  <si>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</si>
  <si>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</si>
  <si>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</si>
  <si>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</si>
  <si>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</si>
  <si>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</si>
  <si>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</si>
  <si>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</si>
  <si>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</si>
  <si>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</si>
  <si>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</si>
  <si>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</si>
  <si>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</si>
  <si>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</si>
  <si>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</si>
  <si>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</si>
  <si>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</si>
  <si>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</si>
  <si>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</si>
  <si>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</si>
  <si>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</si>
  <si>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</si>
  <si>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</si>
  <si>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</si>
  <si>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</si>
  <si>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</si>
  <si>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</si>
  <si>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</si>
  <si>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</si>
  <si>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</si>
  <si>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</si>
  <si>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</si>
  <si>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</si>
  <si>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</si>
  <si>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</si>
  <si>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</si>
  <si>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</si>
  <si>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</si>
  <si>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</si>
  <si>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</si>
  <si>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</si>
  <si>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</si>
  <si>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</si>
  <si>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</si>
  <si>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</si>
  <si>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</si>
  <si>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</si>
  <si>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</si>
  <si>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</si>
  <si>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</si>
  <si>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</si>
  <si>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</si>
  <si>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</si>
  <si>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</si>
  <si>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</si>
  <si>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</si>
  <si>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</si>
  <si>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</si>
  <si>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</si>
  <si>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</si>
  <si>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</si>
  <si>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</si>
  <si>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</si>
  <si>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</si>
  <si>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</si>
  <si>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</si>
  <si>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</si>
  <si>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</si>
  <si>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</si>
  <si>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</si>
  <si>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</si>
  <si>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</si>
  <si>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</si>
  <si>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</si>
  <si>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</si>
  <si>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</si>
  <si>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</si>
  <si>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</si>
  <si>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</si>
  <si>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</si>
  <si>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</si>
  <si>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</si>
  <si>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</si>
  <si>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</si>
  <si>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</si>
  <si>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</si>
  <si>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</si>
  <si>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</si>
  <si>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</si>
  <si>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</si>
  <si>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</si>
  <si>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</si>
  <si>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</si>
  <si>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</si>
  <si>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</si>
  <si>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</si>
  <si>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</si>
  <si>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</si>
  <si>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</si>
  <si>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</si>
  <si>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</si>
  <si>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</si>
  <si>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</si>
  <si>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</si>
  <si>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</si>
  <si>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</si>
  <si>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</si>
  <si>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</si>
  <si>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</si>
  <si>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</si>
  <si>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</si>
  <si>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</si>
  <si>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</si>
  <si>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</si>
  <si>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</si>
  <si>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</si>
  <si>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</si>
  <si>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</si>
  <si>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</si>
  <si>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</si>
  <si>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</si>
  <si>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</si>
  <si>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</si>
  <si>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</si>
  <si>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</si>
  <si>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</si>
  <si>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</si>
  <si>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</si>
  <si>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</si>
  <si>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</si>
  <si>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</si>
  <si>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</si>
  <si>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</si>
  <si>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</si>
  <si>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</si>
  <si>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</si>
  <si>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</si>
  <si>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</si>
  <si>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</si>
  <si>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</si>
  <si>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</si>
  <si>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</si>
  <si>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</si>
  <si>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</si>
  <si>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</si>
  <si>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</si>
  <si>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</si>
  <si>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</si>
  <si>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</si>
  <si>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</si>
  <si>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</si>
  <si>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</si>
  <si>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</si>
  <si>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</si>
  <si>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</si>
  <si>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</si>
  <si>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</si>
  <si>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</si>
  <si>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</si>
  <si>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</si>
  <si>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</si>
  <si>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</si>
  <si>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</si>
  <si>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</si>
  <si>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</si>
  <si>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</si>
  <si>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</si>
  <si>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</si>
  <si>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</si>
  <si>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</si>
  <si>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</si>
  <si>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</si>
  <si>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</si>
  <si>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</si>
  <si>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</si>
  <si>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</si>
  <si>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</si>
  <si>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</si>
  <si>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</si>
  <si>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</si>
  <si>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</si>
  <si>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</si>
  <si>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</si>
  <si>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</si>
  <si>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</si>
  <si>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</si>
  <si>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</si>
  <si>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</si>
  <si>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</si>
  <si>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</si>
  <si>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</si>
  <si>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</si>
  <si>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</si>
  <si>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</si>
  <si>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</si>
  <si>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</si>
  <si>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</si>
  <si>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</si>
  <si>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</si>
  <si>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</si>
  <si>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</si>
  <si>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</si>
  <si>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</si>
  <si>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</si>
  <si>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</si>
  <si>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</si>
  <si>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</si>
  <si>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</si>
  <si>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</si>
  <si>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</si>
  <si>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</si>
  <si>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</si>
  <si>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</si>
  <si>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</si>
  <si>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</si>
  <si>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</si>
  <si>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</si>
  <si>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</si>
  <si>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</si>
  <si>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</si>
  <si>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</si>
  <si>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</si>
  <si>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</si>
  <si>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</si>
  <si>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</si>
  <si>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</si>
  <si>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</si>
  <si>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</si>
  <si>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</si>
  <si>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</si>
  <si>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</si>
  <si>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</si>
  <si>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</si>
  <si>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</si>
  <si>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</si>
  <si>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</si>
  <si>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</si>
  <si>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</si>
  <si>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</si>
  <si>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</si>
  <si>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</si>
  <si>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</si>
  <si>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</si>
  <si>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</si>
  <si>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</si>
  <si>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</si>
  <si>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</si>
  <si>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</si>
  <si>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</si>
  <si>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</si>
  <si>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</si>
  <si>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</si>
  <si>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</si>
  <si>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</si>
  <si>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</si>
  <si>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</si>
  <si>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</si>
  <si>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</si>
  <si>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</si>
  <si>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</si>
  <si>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</si>
  <si>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</si>
  <si>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</si>
  <si>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</si>
  <si>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</si>
  <si>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</si>
  <si>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</si>
  <si>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</si>
  <si>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</si>
  <si>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</si>
  <si>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</si>
  <si>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</si>
  <si>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</si>
  <si>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</si>
  <si>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</si>
  <si>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</si>
  <si>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</si>
  <si>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</si>
  <si>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</si>
  <si>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</si>
  <si>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</si>
  <si>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</si>
  <si>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</si>
  <si>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</si>
  <si>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</si>
  <si>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</si>
  <si>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</si>
  <si>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</si>
  <si>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</si>
  <si>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</si>
  <si>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</si>
  <si>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</si>
  <si>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</si>
  <si>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</si>
  <si>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</si>
  <si>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</si>
  <si>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</si>
  <si>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</si>
  <si>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</si>
  <si>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</si>
  <si>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</si>
  <si>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</si>
  <si>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</si>
  <si>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</si>
  <si>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</si>
  <si>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</si>
  <si>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</si>
  <si>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</si>
  <si>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</si>
  <si>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</si>
  <si>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</si>
  <si>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</si>
  <si>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</si>
  <si>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</si>
  <si>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</si>
  <si>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</si>
  <si>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</si>
  <si>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</si>
  <si>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B4:B5:2F:DF:4C:08</t>
  </si>
  <si>
    <t>ADITYA-TECH</t>
  </si>
  <si>
    <t>\\ADITYA-TECH\All Sharing\Ecom Setup\Devlop\ecomm statment\bank statement\ICICI - 01-7-2024 TO 30-9-2024.xlsx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</si>
  <si>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</si>
  <si>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</si>
  <si>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</si>
  <si>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</si>
  <si>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</si>
  <si>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</si>
  <si>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Axis(S) (2) : 121</t>
  </si>
  <si>
    <t>JISHA ENTERPRISE PRIVATE LIMITED</t>
  </si>
  <si>
    <t>24AAFCJ9230K1ZF</t>
  </si>
  <si>
    <t>Canara Bank</t>
  </si>
  <si>
    <t>Trasnaction ID</t>
  </si>
  <si>
    <t>Canara</t>
  </si>
  <si>
    <t>\\ADITYA-TECH\All Sharing\Ecom Setup\Devlop\ecomm statment\bank statement\canarabank 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</si>
</sst>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10"/>
      <name val="SansSerif"/>
    </font>
    <font>
      <sz val="8"/>
      <name val="Segoe UI"/>
      <family val="2"/>
    </font>
    <font>
      <sz val="7"/>
      <color indexed="72"/>
      <name val="Arial"/>
      <family val="2"/>
    </font>
    <font>
      <sz val="11"/>
      <color rgb="FF000000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57"/>
      </left>
      <right style="thin">
        <color indexed="57"/>
      </right>
      <top/>
      <bottom style="hair">
        <color indexed="57"/>
      </bottom>
      <diagonal/>
    </border>
  </borders>
  <cellStyleXfs count="49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  <xf numFmtId="0" fontId="76" fillId="0" borderId="0"/>
  </cellStyleXfs>
  <cellXfs count="310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7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5" xfId="0" applyFill="1" applyBorder="1" applyProtection="1"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/>
      <protection locked="0"/>
    </xf>
    <xf numFmtId="165" fontId="0" fillId="11" borderId="15" xfId="0" applyNumberFormat="1" applyFill="1" applyBorder="1" applyAlignment="1" applyProtection="1">
      <alignment horizontal="right"/>
      <protection locked="0"/>
    </xf>
    <xf numFmtId="0" fontId="0" fillId="11" borderId="15" xfId="0" applyFill="1" applyBorder="1" applyAlignment="1" applyProtection="1">
      <alignment horizontal="right"/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19" xfId="0" applyFont="1" applyFill="1" applyBorder="1" applyAlignment="1">
      <alignment horizontal="center" vertical="center"/>
    </xf>
    <xf numFmtId="0" fontId="1" fillId="48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8" borderId="20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8" borderId="24" xfId="0" applyFont="1" applyFill="1" applyBorder="1" applyAlignment="1">
      <alignment horizontal="center" vertical="center"/>
    </xf>
    <xf numFmtId="0" fontId="12" fillId="4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4" borderId="26" xfId="0" applyFont="1" applyFill="1" applyBorder="1" applyAlignment="1" applyProtection="1">
      <alignment horizontal="center" vertical="center"/>
      <protection hidden="1"/>
    </xf>
    <xf numFmtId="0" fontId="0" fillId="48" borderId="27" xfId="0" applyFill="1" applyBorder="1" applyProtection="1">
      <protection locked="0"/>
    </xf>
    <xf numFmtId="0" fontId="41" fillId="48" borderId="28" xfId="0" applyFont="1" applyFill="1" applyBorder="1" applyAlignment="1">
      <alignment vertical="center" wrapText="1"/>
    </xf>
    <xf numFmtId="0" fontId="41" fillId="48" borderId="0" xfId="0" applyFont="1" applyFill="1" applyAlignment="1">
      <alignment horizontal="left" vertical="center"/>
    </xf>
    <xf numFmtId="0" fontId="41" fillId="48" borderId="0" xfId="0" applyFont="1" applyFill="1" applyAlignment="1">
      <alignment vertical="center" wrapText="1"/>
    </xf>
    <xf numFmtId="0" fontId="0" fillId="48" borderId="29" xfId="0" applyFill="1" applyBorder="1" applyProtection="1">
      <protection locked="0"/>
    </xf>
    <xf numFmtId="0" fontId="12" fillId="48" borderId="28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42" fillId="13" borderId="22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2" fillId="13" borderId="21" xfId="0" applyFont="1" applyFill="1" applyBorder="1" applyAlignment="1">
      <alignment vertical="center" wrapText="1"/>
    </xf>
    <xf numFmtId="0" fontId="43" fillId="7" borderId="23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49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49" borderId="1" xfId="0" quotePrefix="1" applyFill="1" applyBorder="1" applyAlignment="1" applyProtection="1">
      <alignment horizontal="center" vertical="center"/>
      <protection hidden="1"/>
    </xf>
    <xf numFmtId="0" fontId="0" fillId="7" borderId="21" xfId="0" applyFill="1" applyBorder="1" applyProtection="1"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 vertical="center" wrapText="1"/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1" xfId="0" applyFont="1" applyFill="1" applyBorder="1" applyAlignment="1">
      <alignment horizontal="left" vertical="top" wrapText="1"/>
    </xf>
    <xf numFmtId="0" fontId="46" fillId="7" borderId="22" xfId="0" applyFont="1" applyFill="1" applyBorder="1" applyAlignment="1">
      <alignment vertical="top" wrapText="1"/>
    </xf>
    <xf numFmtId="0" fontId="0" fillId="7" borderId="22" xfId="0" applyFill="1" applyBorder="1"/>
    <xf numFmtId="0" fontId="46" fillId="7" borderId="22" xfId="0" applyFont="1" applyFill="1" applyBorder="1" applyAlignment="1">
      <alignment horizontal="left" vertical="top" wrapText="1"/>
    </xf>
    <xf numFmtId="0" fontId="40" fillId="7" borderId="21" xfId="0" applyFont="1" applyFill="1" applyBorder="1" applyAlignment="1">
      <alignment horizontal="center" vertical="center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34" fillId="7" borderId="21" xfId="0" applyFont="1" applyFill="1" applyBorder="1" applyProtection="1">
      <protection locked="0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28" fillId="7" borderId="21" xfId="0" applyFont="1" applyFill="1" applyBorder="1" applyAlignment="1">
      <alignment wrapText="1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8" fillId="7" borderId="21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center" wrapText="1"/>
    </xf>
    <xf numFmtId="0" fontId="35" fillId="7" borderId="21" xfId="0" applyFont="1" applyFill="1" applyBorder="1" applyAlignment="1" applyProtection="1">
      <alignment horizontal="center" vertical="center"/>
      <protection locked="0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6" xfId="0" applyFont="1" applyFill="1" applyBorder="1" applyAlignment="1" applyProtection="1">
      <alignment horizontal="center" vertical="center"/>
      <protection hidden="1"/>
    </xf>
    <xf numFmtId="0" fontId="11" fillId="48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0" borderId="21" xfId="0" applyFill="1" applyBorder="1" applyAlignment="1" applyProtection="1">
      <alignment horizontal="center"/>
      <protection locked="0"/>
    </xf>
    <xf numFmtId="0" fontId="0" fillId="50" borderId="22" xfId="0" applyFill="1" applyBorder="1" applyAlignment="1" applyProtection="1">
      <alignment horizontal="center"/>
      <protection locked="0"/>
    </xf>
    <xf numFmtId="0" fontId="0" fillId="50" borderId="23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2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1" xfId="0" applyFont="1" applyFill="1" applyBorder="1" applyAlignment="1">
      <alignment horizontal="center" vertical="top" wrapText="1"/>
    </xf>
    <xf numFmtId="0" fontId="54" fillId="7" borderId="31" xfId="0" applyFont="1" applyFill="1" applyBorder="1" applyAlignment="1">
      <alignment horizontal="left" vertical="top" wrapText="1" indent="6"/>
    </xf>
    <xf numFmtId="0" fontId="54" fillId="7" borderId="31" xfId="0" applyFont="1" applyFill="1" applyBorder="1" applyAlignment="1">
      <alignment horizontal="left" vertical="top" wrapText="1" indent="2"/>
    </xf>
    <xf numFmtId="0" fontId="54" fillId="7" borderId="31" xfId="0" applyFont="1" applyFill="1" applyBorder="1" applyAlignment="1">
      <alignment horizontal="left" vertical="top" wrapText="1" indent="3"/>
    </xf>
    <xf numFmtId="0" fontId="55" fillId="7" borderId="16" xfId="0" applyFont="1" applyFill="1" applyBorder="1" applyAlignment="1">
      <alignment horizontal="left" vertical="center" wrapText="1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0" xfId="0" applyFont="1" applyFill="1" applyBorder="1" applyAlignment="1">
      <alignment horizontal="left" vertical="top" wrapText="1"/>
    </xf>
    <xf numFmtId="0" fontId="54" fillId="7" borderId="30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2" xfId="0" applyFont="1" applyFill="1" applyBorder="1" applyAlignment="1">
      <alignment horizontal="center" vertical="top" wrapText="1"/>
    </xf>
    <xf numFmtId="0" fontId="58" fillId="13" borderId="33" xfId="0" applyFont="1" applyFill="1" applyBorder="1" applyAlignment="1">
      <alignment horizontal="left" vertical="top" wrapText="1" indent="2"/>
    </xf>
    <xf numFmtId="0" fontId="0" fillId="13" borderId="33" xfId="0" applyFill="1" applyBorder="1" applyAlignment="1">
      <alignment horizontal="left" vertical="center" wrapText="1"/>
    </xf>
    <xf numFmtId="0" fontId="58" fillId="13" borderId="33" xfId="0" applyFont="1" applyFill="1" applyBorder="1" applyAlignment="1">
      <alignment horizontal="left" vertical="top" wrapText="1" indent="3"/>
    </xf>
    <xf numFmtId="0" fontId="58" fillId="13" borderId="33" xfId="0" applyFont="1" applyFill="1" applyBorder="1" applyAlignment="1">
      <alignment horizontal="left" vertical="top" wrapText="1" indent="5"/>
    </xf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right" vertical="top" wrapText="1" indent="3"/>
    </xf>
    <xf numFmtId="0" fontId="60" fillId="7" borderId="35" xfId="0" applyFont="1" applyFill="1" applyBorder="1" applyAlignment="1">
      <alignment horizontal="center" vertical="top" wrapText="1"/>
    </xf>
    <xf numFmtId="0" fontId="60" fillId="7" borderId="35" xfId="0" applyFont="1" applyFill="1" applyBorder="1" applyAlignment="1">
      <alignment horizontal="left" vertical="top" wrapText="1" indent="1"/>
    </xf>
    <xf numFmtId="0" fontId="60" fillId="7" borderId="35" xfId="0" applyFont="1" applyFill="1" applyBorder="1" applyAlignment="1">
      <alignment horizontal="left" vertical="top" wrapText="1" indent="2"/>
    </xf>
    <xf numFmtId="0" fontId="61" fillId="51" borderId="1" xfId="0" applyFont="1" applyFill="1" applyBorder="1" applyAlignment="1">
      <alignment horizontal="center" vertical="top" wrapText="1"/>
    </xf>
    <xf numFmtId="0" fontId="61" fillId="51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5" xfId="0" applyNumberFormat="1" applyFill="1" applyBorder="1" applyAlignment="1" applyProtection="1">
      <alignment horizontal="center" vertical="center"/>
      <protection locked="0"/>
    </xf>
    <xf numFmtId="14" fontId="61" fillId="51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6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1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66" fillId="7" borderId="22" xfId="0" applyFont="1" applyFill="1" applyBorder="1" applyAlignment="1">
      <alignment horizontal="right" vertical="center" wrapText="1" indent="1"/>
    </xf>
    <xf numFmtId="0" fontId="66" fillId="7" borderId="22" xfId="0" applyFont="1" applyFill="1" applyBorder="1" applyAlignment="1">
      <alignment horizontal="righ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0" fillId="11" borderId="15" xfId="0" applyFill="1" applyBorder="1" applyAlignment="1" applyProtection="1">
      <alignment horizontal="left"/>
      <protection locked="0"/>
    </xf>
    <xf numFmtId="0" fontId="0" fillId="11" borderId="15" xfId="0" applyFill="1" applyBorder="1" applyAlignment="1" applyProtection="1">
      <alignment horizontal="left" vertical="center"/>
      <protection locked="0"/>
    </xf>
    <xf numFmtId="0" fontId="67" fillId="52" borderId="21" xfId="0" applyFont="1" applyFill="1" applyBorder="1" applyAlignment="1">
      <alignment horizontal="center" vertical="center" wrapText="1"/>
    </xf>
    <xf numFmtId="0" fontId="67" fillId="52" borderId="22" xfId="0" applyFont="1" applyFill="1" applyBorder="1" applyAlignment="1">
      <alignment horizontal="center" vertical="center" wrapText="1"/>
    </xf>
    <xf numFmtId="0" fontId="67" fillId="52" borderId="23" xfId="0" applyFont="1" applyFill="1" applyBorder="1" applyAlignment="1">
      <alignment horizontal="center" vertical="center" wrapText="1"/>
    </xf>
    <xf numFmtId="0" fontId="60" fillId="13" borderId="21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8" fillId="13" borderId="21" xfId="0" applyFont="1" applyFill="1" applyBorder="1" applyAlignment="1">
      <alignment horizontal="center" vertical="top"/>
    </xf>
    <xf numFmtId="0" fontId="68" fillId="13" borderId="22" xfId="0" applyFont="1" applyFill="1" applyBorder="1" applyAlignment="1">
      <alignment horizontal="left" vertical="top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54" fillId="13" borderId="21" xfId="0" applyFont="1" applyFill="1" applyBorder="1" applyAlignment="1">
      <alignment horizontal="center" vertical="center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8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2" xfId="0" applyFont="1" applyFill="1" applyBorder="1" applyAlignment="1">
      <alignment horizontal="center" vertical="center" wrapText="1"/>
    </xf>
    <xf numFmtId="0" fontId="70" fillId="7" borderId="22" xfId="0" applyFont="1" applyFill="1" applyBorder="1" applyAlignment="1">
      <alignment horizontal="left" vertical="center" wrapText="1"/>
    </xf>
    <xf numFmtId="0" fontId="70" fillId="7" borderId="23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5" xfId="0" applyNumberFormat="1" applyFill="1" applyBorder="1" applyProtection="1">
      <protection locked="0"/>
    </xf>
    <xf numFmtId="166" fontId="70" fillId="7" borderId="21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29" xfId="0" applyFill="1" applyBorder="1"/>
    <xf numFmtId="0" fontId="0" fillId="8" borderId="40" xfId="0" applyFill="1" applyBorder="1" applyAlignment="1" applyProtection="1">
      <alignment vertical="center"/>
      <protection locked="0" hidden="1"/>
    </xf>
    <xf numFmtId="0" fontId="0" fillId="53" borderId="41" xfId="0" applyFill="1" applyBorder="1" applyAlignment="1" applyProtection="1">
      <alignment horizontal="center" vertical="center"/>
      <protection locked="0"/>
    </xf>
    <xf numFmtId="14" fontId="0" fillId="53" borderId="41" xfId="0" applyNumberFormat="1" applyFill="1" applyBorder="1" applyAlignment="1" applyProtection="1">
      <alignment horizontal="center" vertical="center"/>
      <protection locked="0"/>
    </xf>
    <xf numFmtId="0" fontId="0" fillId="15" borderId="24" xfId="0" applyFill="1" applyBorder="1"/>
    <xf numFmtId="0" fontId="0" fillId="15" borderId="25" xfId="0" applyFill="1" applyBorder="1"/>
    <xf numFmtId="0" fontId="0" fillId="15" borderId="27" xfId="0" applyFill="1" applyBorder="1"/>
    <xf numFmtId="0" fontId="0" fillId="15" borderId="28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29" xfId="0" applyFill="1" applyBorder="1" applyProtection="1">
      <protection locked="0"/>
    </xf>
    <xf numFmtId="0" fontId="54" fillId="7" borderId="30" xfId="44" applyFont="1" applyFill="1" applyBorder="1" applyAlignment="1">
      <alignment horizontal="center" vertical="center" wrapText="1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10" fillId="48" borderId="46" xfId="0" applyFont="1" applyFill="1" applyBorder="1" applyAlignment="1">
      <alignment wrapText="1"/>
    </xf>
    <xf numFmtId="0" fontId="10" fillId="48" borderId="43" xfId="0" applyFont="1" applyFill="1" applyBorder="1" applyAlignment="1">
      <alignment vertical="top"/>
    </xf>
    <xf numFmtId="0" fontId="10" fillId="48" borderId="43" xfId="0" applyFont="1" applyFill="1" applyBorder="1" applyAlignment="1">
      <alignment horizontal="left" vertical="center"/>
    </xf>
    <xf numFmtId="0" fontId="41" fillId="7" borderId="49" xfId="0" applyFont="1" applyFill="1" applyBorder="1" applyAlignment="1">
      <alignment wrapText="1"/>
    </xf>
    <xf numFmtId="0" fontId="41" fillId="7" borderId="50" xfId="0" applyFont="1" applyFill="1" applyBorder="1" applyAlignment="1">
      <alignment vertical="top" wrapText="1"/>
    </xf>
    <xf numFmtId="0" fontId="0" fillId="15" borderId="42" xfId="0" applyFill="1" applyBorder="1" applyProtection="1">
      <protection locked="0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29" fillId="52" borderId="21" xfId="0" applyFont="1" applyFill="1" applyBorder="1" applyAlignment="1" applyProtection="1">
      <alignment horizontal="center" vertical="center"/>
      <protection locked="0"/>
    </xf>
    <xf numFmtId="0" fontId="29" fillId="52" borderId="22" xfId="0" applyFont="1" applyFill="1" applyBorder="1" applyAlignment="1" applyProtection="1">
      <alignment horizontal="center" vertical="center"/>
      <protection locked="0"/>
    </xf>
    <xf numFmtId="0" fontId="29" fillId="52" borderId="51" xfId="0" applyFont="1" applyFill="1" applyBorder="1" applyAlignment="1" applyProtection="1">
      <alignment horizontal="center" vertical="center"/>
      <protection locked="0"/>
    </xf>
    <xf numFmtId="164" fontId="29" fillId="52" borderId="51" xfId="0" applyNumberFormat="1" applyFont="1" applyFill="1" applyBorder="1" applyAlignment="1" applyProtection="1">
      <alignment horizontal="center" vertical="center"/>
      <protection locked="0"/>
    </xf>
    <xf numFmtId="164" fontId="29" fillId="52" borderId="22" xfId="0" applyNumberFormat="1" applyFont="1" applyFill="1" applyBorder="1" applyAlignment="1" applyProtection="1">
      <alignment horizontal="center" vertical="center"/>
      <protection locked="0"/>
    </xf>
    <xf numFmtId="0" fontId="29" fillId="52" borderId="23" xfId="0" quotePrefix="1" applyFont="1" applyFill="1" applyBorder="1" applyAlignment="1" applyProtection="1">
      <alignment horizontal="center" vertical="center"/>
      <protection locked="0"/>
    </xf>
    <xf numFmtId="14" fontId="0" fillId="11" borderId="15" xfId="0" applyNumberFormat="1" applyFill="1" applyBorder="1" applyProtection="1">
      <protection locked="0"/>
    </xf>
    <xf numFmtId="14" fontId="34" fillId="7" borderId="21" xfId="0" applyNumberFormat="1" applyFont="1" applyFill="1" applyBorder="1" applyProtection="1">
      <protection locked="0"/>
    </xf>
    <xf numFmtId="0" fontId="41" fillId="7" borderId="46" xfId="0" applyFont="1" applyFill="1" applyBorder="1" applyAlignment="1" applyProtection="1">
      <alignment horizontal="left"/>
      <protection locked="0"/>
    </xf>
    <xf numFmtId="0" fontId="41" fillId="7" borderId="48" xfId="0" applyFont="1" applyFill="1" applyBorder="1" applyAlignment="1" applyProtection="1">
      <alignment horizontal="left" vertical="top"/>
      <protection locked="0"/>
    </xf>
    <xf numFmtId="0" fontId="41" fillId="13" borderId="45" xfId="0" applyFont="1" applyFill="1" applyBorder="1" applyAlignment="1">
      <alignment wrapText="1"/>
    </xf>
    <xf numFmtId="0" fontId="41" fillId="13" borderId="47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3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60" fillId="13" borderId="22" xfId="0" applyFont="1" applyFill="1" applyBorder="1" applyAlignment="1">
      <alignment horizontal="center" vertical="center" wrapText="1"/>
    </xf>
    <xf numFmtId="0" fontId="60" fillId="7" borderId="36" xfId="0" applyFont="1" applyFill="1" applyBorder="1" applyAlignment="1">
      <alignment horizontal="left" vertical="top" wrapText="1" indent="5"/>
    </xf>
    <xf numFmtId="0" fontId="60" fillId="7" borderId="37" xfId="0" applyFont="1" applyFill="1" applyBorder="1" applyAlignment="1">
      <alignment horizontal="left" vertical="top" wrapText="1" indent="5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64" fillId="7" borderId="38" xfId="0" applyFont="1" applyFill="1" applyBorder="1" applyAlignment="1">
      <alignment horizontal="center" vertical="top" wrapText="1"/>
    </xf>
    <xf numFmtId="0" fontId="64" fillId="7" borderId="39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2" xfId="0" applyFont="1" applyFill="1" applyBorder="1" applyAlignment="1">
      <alignment horizontal="center" vertical="center" wrapText="1"/>
    </xf>
    <xf numFmtId="0" fontId="72" fillId="4" borderId="24" xfId="0" applyFont="1" applyFill="1" applyBorder="1" applyAlignment="1" applyProtection="1">
      <alignment horizontal="center" vertical="center"/>
      <protection locked="0"/>
    </xf>
    <xf numFmtId="0" fontId="72" fillId="4" borderId="27" xfId="0" applyFont="1" applyFill="1" applyBorder="1" applyAlignment="1" applyProtection="1">
      <alignment horizontal="center" vertical="center"/>
      <protection locked="0"/>
    </xf>
    <xf numFmtId="0" fontId="32" fillId="1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1" fontId="49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5" fillId="0" borderId="52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rmal 8" xfId="48" xr:uid="{F1107232-2FF0-4D89-8B3D-A99B4406BABF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checked="Checked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fmlaLink="M65" lockText="1" noThreeD="1"/>
</file>

<file path=xl/ctrlProps/ctrlProp58.xml><?xml version="1.0" encoding="utf-8"?>
<formControlPr xmlns="http://schemas.microsoft.com/office/spreadsheetml/2009/9/main" objectType="CheckBox" checked="Checked" fmlaLink="M6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B41BF5-C90E-4565-AD1D-4C1B1F0A43DC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E86E3A-B3E8-42E0-8235-174E74D9B8FE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0B65C2E-9A1A-44C5-B7D4-195005617B61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4D43EFD-1933-48B6-B4F7-B892DF4FE72E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7097" name="ICICI(C) (P)_CheckBox" hidden="1">
              <a:extLst>
                <a:ext uri="{63B3BB69-23CF-44E3-9099-C40C66FF867C}">
                  <a14:compatExt spid="_x0000_s67097"/>
                </a:ext>
                <a:ext uri="{FF2B5EF4-FFF2-40B4-BE49-F238E27FC236}">
                  <a16:creationId xmlns:a16="http://schemas.microsoft.com/office/drawing/2014/main" id="{876C9380-2D26-75FB-046E-F7B49FC59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7098" name="ICICI(S) (P)_CheckBox" hidden="1">
              <a:extLst>
                <a:ext uri="{63B3BB69-23CF-44E3-9099-C40C66FF867C}">
                  <a14:compatExt spid="_x0000_s67098"/>
                </a:ext>
                <a:ext uri="{FF2B5EF4-FFF2-40B4-BE49-F238E27FC236}">
                  <a16:creationId xmlns:a16="http://schemas.microsoft.com/office/drawing/2014/main" id="{2F6D65A3-B059-F366-5DB0-BE473A893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7099" name="ICICI(C)2 (P)_CheckBox" hidden="1">
              <a:extLst>
                <a:ext uri="{63B3BB69-23CF-44E3-9099-C40C66FF867C}">
                  <a14:compatExt spid="_x0000_s67099"/>
                </a:ext>
                <a:ext uri="{FF2B5EF4-FFF2-40B4-BE49-F238E27FC236}">
                  <a16:creationId xmlns:a16="http://schemas.microsoft.com/office/drawing/2014/main" id="{47E57DAA-B18B-3CD1-C4F5-91FC53C36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7100" name="HDFC (P)_CheckBox" hidden="1">
              <a:extLst>
                <a:ext uri="{63B3BB69-23CF-44E3-9099-C40C66FF867C}">
                  <a14:compatExt spid="_x0000_s67100"/>
                </a:ext>
                <a:ext uri="{FF2B5EF4-FFF2-40B4-BE49-F238E27FC236}">
                  <a16:creationId xmlns:a16="http://schemas.microsoft.com/office/drawing/2014/main" id="{C5A32554-16ED-40BC-BA7F-D06DF4D39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7101" name="Axis(S) (P)_CheckBox" hidden="1">
              <a:extLst>
                <a:ext uri="{63B3BB69-23CF-44E3-9099-C40C66FF867C}">
                  <a14:compatExt spid="_x0000_s67101"/>
                </a:ext>
                <a:ext uri="{FF2B5EF4-FFF2-40B4-BE49-F238E27FC236}">
                  <a16:creationId xmlns:a16="http://schemas.microsoft.com/office/drawing/2014/main" id="{16CC4527-D84B-42A9-6CC7-A3F14A40E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7102" name="Axis(C) (P)_CheckBox" hidden="1">
              <a:extLst>
                <a:ext uri="{63B3BB69-23CF-44E3-9099-C40C66FF867C}">
                  <a14:compatExt spid="_x0000_s67102"/>
                </a:ext>
                <a:ext uri="{FF2B5EF4-FFF2-40B4-BE49-F238E27FC236}">
                  <a16:creationId xmlns:a16="http://schemas.microsoft.com/office/drawing/2014/main" id="{B3062335-F17D-CD78-40C1-E5C4B2383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7103" name="IDBI (P)_CheckBox" hidden="1">
              <a:extLst>
                <a:ext uri="{63B3BB69-23CF-44E3-9099-C40C66FF867C}">
                  <a14:compatExt spid="_x0000_s67103"/>
                </a:ext>
                <a:ext uri="{FF2B5EF4-FFF2-40B4-BE49-F238E27FC236}">
                  <a16:creationId xmlns:a16="http://schemas.microsoft.com/office/drawing/2014/main" id="{EF1D0D1C-0AB0-5387-9ABC-8FD7A71C4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7104" name="IDBI(S) (P)_CheckBox" hidden="1">
              <a:extLst>
                <a:ext uri="{63B3BB69-23CF-44E3-9099-C40C66FF867C}">
                  <a14:compatExt spid="_x0000_s67104"/>
                </a:ext>
                <a:ext uri="{FF2B5EF4-FFF2-40B4-BE49-F238E27FC236}">
                  <a16:creationId xmlns:a16="http://schemas.microsoft.com/office/drawing/2014/main" id="{CBA36BCE-A170-5209-F87D-8BA3EBC96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7105" name="IDFC (P)_CheckBox" hidden="1">
              <a:extLst>
                <a:ext uri="{63B3BB69-23CF-44E3-9099-C40C66FF867C}">
                  <a14:compatExt spid="_x0000_s67105"/>
                </a:ext>
                <a:ext uri="{FF2B5EF4-FFF2-40B4-BE49-F238E27FC236}">
                  <a16:creationId xmlns:a16="http://schemas.microsoft.com/office/drawing/2014/main" id="{4AACB0E5-B3DF-CFBD-F8E8-B8AEA3885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7106" name="CityUni (P)_CheckBox" hidden="1">
              <a:extLst>
                <a:ext uri="{63B3BB69-23CF-44E3-9099-C40C66FF867C}">
                  <a14:compatExt spid="_x0000_s67106"/>
                </a:ext>
                <a:ext uri="{FF2B5EF4-FFF2-40B4-BE49-F238E27FC236}">
                  <a16:creationId xmlns:a16="http://schemas.microsoft.com/office/drawing/2014/main" id="{E7241035-137B-833F-62AF-5D7020180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7107" name="indusind (P)_CheckBox" hidden="1">
              <a:extLst>
                <a:ext uri="{63B3BB69-23CF-44E3-9099-C40C66FF867C}">
                  <a14:compatExt spid="_x0000_s67107"/>
                </a:ext>
                <a:ext uri="{FF2B5EF4-FFF2-40B4-BE49-F238E27FC236}">
                  <a16:creationId xmlns:a16="http://schemas.microsoft.com/office/drawing/2014/main" id="{9560659E-D8CC-7CB8-2F91-C96529036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7108" name="Kalupur (P)_CheckBox" hidden="1">
              <a:extLst>
                <a:ext uri="{63B3BB69-23CF-44E3-9099-C40C66FF867C}">
                  <a14:compatExt spid="_x0000_s67108"/>
                </a:ext>
                <a:ext uri="{FF2B5EF4-FFF2-40B4-BE49-F238E27FC236}">
                  <a16:creationId xmlns:a16="http://schemas.microsoft.com/office/drawing/2014/main" id="{47ABECF6-BDFE-A326-3B91-4915530F2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7109" name="AU (P)_CheckBox" hidden="1">
              <a:extLst>
                <a:ext uri="{63B3BB69-23CF-44E3-9099-C40C66FF867C}">
                  <a14:compatExt spid="_x0000_s67109"/>
                </a:ext>
                <a:ext uri="{FF2B5EF4-FFF2-40B4-BE49-F238E27FC236}">
                  <a16:creationId xmlns:a16="http://schemas.microsoft.com/office/drawing/2014/main" id="{A75B03D7-7CA2-0344-50D7-B82998A86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7110" name="SBI (P)_CheckBox" hidden="1">
              <a:extLst>
                <a:ext uri="{63B3BB69-23CF-44E3-9099-C40C66FF867C}">
                  <a14:compatExt spid="_x0000_s67110"/>
                </a:ext>
                <a:ext uri="{FF2B5EF4-FFF2-40B4-BE49-F238E27FC236}">
                  <a16:creationId xmlns:a16="http://schemas.microsoft.com/office/drawing/2014/main" id="{B9E868BF-F0B1-A643-1EEB-5018236E9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7111" name="Union (P)_CheckBox" hidden="1">
              <a:extLst>
                <a:ext uri="{63B3BB69-23CF-44E3-9099-C40C66FF867C}">
                  <a14:compatExt spid="_x0000_s67111"/>
                </a:ext>
                <a:ext uri="{FF2B5EF4-FFF2-40B4-BE49-F238E27FC236}">
                  <a16:creationId xmlns:a16="http://schemas.microsoft.com/office/drawing/2014/main" id="{B11150C0-62D2-E49C-CECD-36C8C98EC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7112" name="Union2 (P)_CheckBox" hidden="1">
              <a:extLst>
                <a:ext uri="{63B3BB69-23CF-44E3-9099-C40C66FF867C}">
                  <a14:compatExt spid="_x0000_s67112"/>
                </a:ext>
                <a:ext uri="{FF2B5EF4-FFF2-40B4-BE49-F238E27FC236}">
                  <a16:creationId xmlns:a16="http://schemas.microsoft.com/office/drawing/2014/main" id="{B5BAFE26-FC27-5282-C190-327440C46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7113" name="Kotak (P)_CheckBox" hidden="1">
              <a:extLst>
                <a:ext uri="{63B3BB69-23CF-44E3-9099-C40C66FF867C}">
                  <a14:compatExt spid="_x0000_s67113"/>
                </a:ext>
                <a:ext uri="{FF2B5EF4-FFF2-40B4-BE49-F238E27FC236}">
                  <a16:creationId xmlns:a16="http://schemas.microsoft.com/office/drawing/2014/main" id="{AB4A6C85-E928-01F8-B2BE-E3D2C24E7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7114" name="Kotak2 (P)_CheckBox" hidden="1">
              <a:extLst>
                <a:ext uri="{63B3BB69-23CF-44E3-9099-C40C66FF867C}">
                  <a14:compatExt spid="_x0000_s67114"/>
                </a:ext>
                <a:ext uri="{FF2B5EF4-FFF2-40B4-BE49-F238E27FC236}">
                  <a16:creationId xmlns:a16="http://schemas.microsoft.com/office/drawing/2014/main" id="{A32EF4D3-F015-AE6F-D987-528065453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115" name="Kotak3 (P)_CheckBox" hidden="1">
              <a:extLst>
                <a:ext uri="{63B3BB69-23CF-44E3-9099-C40C66FF867C}">
                  <a14:compatExt spid="_x0000_s67115"/>
                </a:ext>
                <a:ext uri="{FF2B5EF4-FFF2-40B4-BE49-F238E27FC236}">
                  <a16:creationId xmlns:a16="http://schemas.microsoft.com/office/drawing/2014/main" id="{7347D2D0-D4FC-A9AD-D153-847DDA4E7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116" name="CBI (P)_CheckBox" hidden="1">
              <a:extLst>
                <a:ext uri="{63B3BB69-23CF-44E3-9099-C40C66FF867C}">
                  <a14:compatExt spid="_x0000_s67116"/>
                </a:ext>
                <a:ext uri="{FF2B5EF4-FFF2-40B4-BE49-F238E27FC236}">
                  <a16:creationId xmlns:a16="http://schemas.microsoft.com/office/drawing/2014/main" id="{3CAC823C-679A-21B6-84D5-B8B3EEA7E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117" name="Varachha (P)_CheckBox" hidden="1">
              <a:extLst>
                <a:ext uri="{63B3BB69-23CF-44E3-9099-C40C66FF867C}">
                  <a14:compatExt spid="_x0000_s67117"/>
                </a:ext>
                <a:ext uri="{FF2B5EF4-FFF2-40B4-BE49-F238E27FC236}">
                  <a16:creationId xmlns:a16="http://schemas.microsoft.com/office/drawing/2014/main" id="{616BF861-345A-8D2F-97F5-BCE3A9D4A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118" name="SDCB (P)_CheckBox" hidden="1">
              <a:extLst>
                <a:ext uri="{63B3BB69-23CF-44E3-9099-C40C66FF867C}">
                  <a14:compatExt spid="_x0000_s67118"/>
                </a:ext>
                <a:ext uri="{FF2B5EF4-FFF2-40B4-BE49-F238E27FC236}">
                  <a16:creationId xmlns:a16="http://schemas.microsoft.com/office/drawing/2014/main" id="{CD9B294E-FEE1-A2E2-5BF0-3C9633F38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119" name="ICICI(C)_CheckBox" hidden="1">
              <a:extLst>
                <a:ext uri="{63B3BB69-23CF-44E3-9099-C40C66FF867C}">
                  <a14:compatExt spid="_x0000_s67119"/>
                </a:ext>
                <a:ext uri="{FF2B5EF4-FFF2-40B4-BE49-F238E27FC236}">
                  <a16:creationId xmlns:a16="http://schemas.microsoft.com/office/drawing/2014/main" id="{F82E7A54-060B-57AB-62A7-9EF1EF230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120" name="ICICI(S)_CheckBox" hidden="1">
              <a:extLst>
                <a:ext uri="{63B3BB69-23CF-44E3-9099-C40C66FF867C}">
                  <a14:compatExt spid="_x0000_s67120"/>
                </a:ext>
                <a:ext uri="{FF2B5EF4-FFF2-40B4-BE49-F238E27FC236}">
                  <a16:creationId xmlns:a16="http://schemas.microsoft.com/office/drawing/2014/main" id="{82B98EF1-F120-C50D-0A97-3A87806DA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121" name="HDFC_CheckBox" hidden="1">
              <a:extLst>
                <a:ext uri="{63B3BB69-23CF-44E3-9099-C40C66FF867C}">
                  <a14:compatExt spid="_x0000_s67121"/>
                </a:ext>
                <a:ext uri="{FF2B5EF4-FFF2-40B4-BE49-F238E27FC236}">
                  <a16:creationId xmlns:a16="http://schemas.microsoft.com/office/drawing/2014/main" id="{50FDE0AA-A992-EFBF-8B14-E4FF656EF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122" name="Kotak(C)_CheckBox" hidden="1">
              <a:extLst>
                <a:ext uri="{63B3BB69-23CF-44E3-9099-C40C66FF867C}">
                  <a14:compatExt spid="_x0000_s67122"/>
                </a:ext>
                <a:ext uri="{FF2B5EF4-FFF2-40B4-BE49-F238E27FC236}">
                  <a16:creationId xmlns:a16="http://schemas.microsoft.com/office/drawing/2014/main" id="{B63005FD-4C71-4691-70E4-5BD65AC3B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123" name="Kotak(S)_CheckBox" hidden="1">
              <a:extLst>
                <a:ext uri="{63B3BB69-23CF-44E3-9099-C40C66FF867C}">
                  <a14:compatExt spid="_x0000_s67123"/>
                </a:ext>
                <a:ext uri="{FF2B5EF4-FFF2-40B4-BE49-F238E27FC236}">
                  <a16:creationId xmlns:a16="http://schemas.microsoft.com/office/drawing/2014/main" id="{AF7F4023-3EE7-CB7B-9B31-4A8A01DFD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124" name="Axis(S)_CheckBox" hidden="1">
              <a:extLst>
                <a:ext uri="{63B3BB69-23CF-44E3-9099-C40C66FF867C}">
                  <a14:compatExt spid="_x0000_s67124"/>
                </a:ext>
                <a:ext uri="{FF2B5EF4-FFF2-40B4-BE49-F238E27FC236}">
                  <a16:creationId xmlns:a16="http://schemas.microsoft.com/office/drawing/2014/main" id="{B17D4555-21EF-F42B-312A-148C66807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125" name="Axis(S) (2)_CheckBox" hidden="1">
              <a:extLst>
                <a:ext uri="{63B3BB69-23CF-44E3-9099-C40C66FF867C}">
                  <a14:compatExt spid="_x0000_s67125"/>
                </a:ext>
                <a:ext uri="{FF2B5EF4-FFF2-40B4-BE49-F238E27FC236}">
                  <a16:creationId xmlns:a16="http://schemas.microsoft.com/office/drawing/2014/main" id="{82CFD063-112A-5DE1-437F-1A24EC070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126" name="Axis(C)_CheckBox" hidden="1">
              <a:extLst>
                <a:ext uri="{63B3BB69-23CF-44E3-9099-C40C66FF867C}">
                  <a14:compatExt spid="_x0000_s67126"/>
                </a:ext>
                <a:ext uri="{FF2B5EF4-FFF2-40B4-BE49-F238E27FC236}">
                  <a16:creationId xmlns:a16="http://schemas.microsoft.com/office/drawing/2014/main" id="{7D0B297E-0386-F70D-41DD-B494C1B04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127" name="Yes_CheckBox" hidden="1">
              <a:extLst>
                <a:ext uri="{63B3BB69-23CF-44E3-9099-C40C66FF867C}">
                  <a14:compatExt spid="_x0000_s67127"/>
                </a:ext>
                <a:ext uri="{FF2B5EF4-FFF2-40B4-BE49-F238E27FC236}">
                  <a16:creationId xmlns:a16="http://schemas.microsoft.com/office/drawing/2014/main" id="{2FBBBD10-6BB4-5D40-7D63-C45CB8420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128" name="indusind_CheckBox" hidden="1">
              <a:extLst>
                <a:ext uri="{63B3BB69-23CF-44E3-9099-C40C66FF867C}">
                  <a14:compatExt spid="_x0000_s67128"/>
                </a:ext>
                <a:ext uri="{FF2B5EF4-FFF2-40B4-BE49-F238E27FC236}">
                  <a16:creationId xmlns:a16="http://schemas.microsoft.com/office/drawing/2014/main" id="{DE5D1ED5-98B9-D76C-CE78-6015F67F2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129" name="IDBI_CheckBox" hidden="1">
              <a:extLst>
                <a:ext uri="{63B3BB69-23CF-44E3-9099-C40C66FF867C}">
                  <a14:compatExt spid="_x0000_s67129"/>
                </a:ext>
                <a:ext uri="{FF2B5EF4-FFF2-40B4-BE49-F238E27FC236}">
                  <a16:creationId xmlns:a16="http://schemas.microsoft.com/office/drawing/2014/main" id="{D2BA64CA-7F98-4E3A-3A64-590EFB30F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130" name="Bandhan_CheckBox" hidden="1">
              <a:extLst>
                <a:ext uri="{63B3BB69-23CF-44E3-9099-C40C66FF867C}">
                  <a14:compatExt spid="_x0000_s67130"/>
                </a:ext>
                <a:ext uri="{FF2B5EF4-FFF2-40B4-BE49-F238E27FC236}">
                  <a16:creationId xmlns:a16="http://schemas.microsoft.com/office/drawing/2014/main" id="{99FDA722-8CEE-A157-3D1D-B80C5193D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131" name="Indian_CheckBox" hidden="1">
              <a:extLst>
                <a:ext uri="{63B3BB69-23CF-44E3-9099-C40C66FF867C}">
                  <a14:compatExt spid="_x0000_s67131"/>
                </a:ext>
                <a:ext uri="{FF2B5EF4-FFF2-40B4-BE49-F238E27FC236}">
                  <a16:creationId xmlns:a16="http://schemas.microsoft.com/office/drawing/2014/main" id="{1BB56125-5F77-F0AB-2D78-C8EFF9C66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132" name="IDFC_CheckBox" hidden="1">
              <a:extLst>
                <a:ext uri="{63B3BB69-23CF-44E3-9099-C40C66FF867C}">
                  <a14:compatExt spid="_x0000_s67132"/>
                </a:ext>
                <a:ext uri="{FF2B5EF4-FFF2-40B4-BE49-F238E27FC236}">
                  <a16:creationId xmlns:a16="http://schemas.microsoft.com/office/drawing/2014/main" id="{F36A31E3-917F-C3BF-B616-FA8ACCBD6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133" name="RBL_CheckBox" hidden="1">
              <a:extLst>
                <a:ext uri="{63B3BB69-23CF-44E3-9099-C40C66FF867C}">
                  <a14:compatExt spid="_x0000_s67133"/>
                </a:ext>
                <a:ext uri="{FF2B5EF4-FFF2-40B4-BE49-F238E27FC236}">
                  <a16:creationId xmlns:a16="http://schemas.microsoft.com/office/drawing/2014/main" id="{00AD97C5-E7AA-9C86-D3B7-191456C96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134" name="Union_CheckBox" hidden="1">
              <a:extLst>
                <a:ext uri="{63B3BB69-23CF-44E3-9099-C40C66FF867C}">
                  <a14:compatExt spid="_x0000_s67134"/>
                </a:ext>
                <a:ext uri="{FF2B5EF4-FFF2-40B4-BE49-F238E27FC236}">
                  <a16:creationId xmlns:a16="http://schemas.microsoft.com/office/drawing/2014/main" id="{17E61675-9B21-0CF8-DEAB-E6EE49CB8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135" name="SBI_CheckBox" hidden="1">
              <a:extLst>
                <a:ext uri="{63B3BB69-23CF-44E3-9099-C40C66FF867C}">
                  <a14:compatExt spid="_x0000_s67135"/>
                </a:ext>
                <a:ext uri="{FF2B5EF4-FFF2-40B4-BE49-F238E27FC236}">
                  <a16:creationId xmlns:a16="http://schemas.microsoft.com/office/drawing/2014/main" id="{06309A13-B3B6-35A7-8E7E-08F8C8296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136" name="BOI_CheckBox" hidden="1">
              <a:extLst>
                <a:ext uri="{63B3BB69-23CF-44E3-9099-C40C66FF867C}">
                  <a14:compatExt spid="_x0000_s67136"/>
                </a:ext>
                <a:ext uri="{FF2B5EF4-FFF2-40B4-BE49-F238E27FC236}">
                  <a16:creationId xmlns:a16="http://schemas.microsoft.com/office/drawing/2014/main" id="{29D3DF2A-FB5D-F34F-27BA-1F7C5DE4D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137" name="UCO_CheckBox" hidden="1">
              <a:extLst>
                <a:ext uri="{63B3BB69-23CF-44E3-9099-C40C66FF867C}">
                  <a14:compatExt spid="_x0000_s67137"/>
                </a:ext>
                <a:ext uri="{FF2B5EF4-FFF2-40B4-BE49-F238E27FC236}">
                  <a16:creationId xmlns:a16="http://schemas.microsoft.com/office/drawing/2014/main" id="{31366C21-E2B0-0249-3B34-2D4246E87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138" name="CBI_CheckBox" hidden="1">
              <a:extLst>
                <a:ext uri="{63B3BB69-23CF-44E3-9099-C40C66FF867C}">
                  <a14:compatExt spid="_x0000_s67138"/>
                </a:ext>
                <a:ext uri="{FF2B5EF4-FFF2-40B4-BE49-F238E27FC236}">
                  <a16:creationId xmlns:a16="http://schemas.microsoft.com/office/drawing/2014/main" id="{FA65F099-5A26-5DE5-DF8E-0AB1D94D1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139" name="BOB(C)_CheckBox" hidden="1">
              <a:extLst>
                <a:ext uri="{63B3BB69-23CF-44E3-9099-C40C66FF867C}">
                  <a14:compatExt spid="_x0000_s67139"/>
                </a:ext>
                <a:ext uri="{FF2B5EF4-FFF2-40B4-BE49-F238E27FC236}">
                  <a16:creationId xmlns:a16="http://schemas.microsoft.com/office/drawing/2014/main" id="{79F7BE8F-5555-9730-CBB0-B35C6C570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140" name="BOB(S)_CheckBox" hidden="1">
              <a:extLst>
                <a:ext uri="{63B3BB69-23CF-44E3-9099-C40C66FF867C}">
                  <a14:compatExt spid="_x0000_s67140"/>
                </a:ext>
                <a:ext uri="{FF2B5EF4-FFF2-40B4-BE49-F238E27FC236}">
                  <a16:creationId xmlns:a16="http://schemas.microsoft.com/office/drawing/2014/main" id="{BF229DE3-2CCD-9718-03FA-F47527E4E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141" name="PNB_CheckBox" hidden="1">
              <a:extLst>
                <a:ext uri="{63B3BB69-23CF-44E3-9099-C40C66FF867C}">
                  <a14:compatExt spid="_x0000_s67141"/>
                </a:ext>
                <a:ext uri="{FF2B5EF4-FFF2-40B4-BE49-F238E27FC236}">
                  <a16:creationId xmlns:a16="http://schemas.microsoft.com/office/drawing/2014/main" id="{14D34C87-FCEB-9025-34BA-6634CA49C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142" name="PNB (2)_CheckBox" hidden="1">
              <a:extLst>
                <a:ext uri="{63B3BB69-23CF-44E3-9099-C40C66FF867C}">
                  <a14:compatExt spid="_x0000_s67142"/>
                </a:ext>
                <a:ext uri="{FF2B5EF4-FFF2-40B4-BE49-F238E27FC236}">
                  <a16:creationId xmlns:a16="http://schemas.microsoft.com/office/drawing/2014/main" id="{CD32F876-E930-1CA0-84B5-CC7E908B7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143" name="RNSBE_CheckBox" hidden="1">
              <a:extLst>
                <a:ext uri="{63B3BB69-23CF-44E3-9099-C40C66FF867C}">
                  <a14:compatExt spid="_x0000_s67143"/>
                </a:ext>
                <a:ext uri="{FF2B5EF4-FFF2-40B4-BE49-F238E27FC236}">
                  <a16:creationId xmlns:a16="http://schemas.microsoft.com/office/drawing/2014/main" id="{CC6B6678-010C-0E63-C856-F3AE720E0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144" name="Federal_CheckBox" hidden="1">
              <a:extLst>
                <a:ext uri="{63B3BB69-23CF-44E3-9099-C40C66FF867C}">
                  <a14:compatExt spid="_x0000_s67144"/>
                </a:ext>
                <a:ext uri="{FF2B5EF4-FFF2-40B4-BE49-F238E27FC236}">
                  <a16:creationId xmlns:a16="http://schemas.microsoft.com/office/drawing/2014/main" id="{544DB3ED-EDD2-5ED3-C9EC-AC3A0BC9F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145" name="Varachha_CheckBox" hidden="1">
              <a:extLst>
                <a:ext uri="{63B3BB69-23CF-44E3-9099-C40C66FF867C}">
                  <a14:compatExt spid="_x0000_s67145"/>
                </a:ext>
                <a:ext uri="{FF2B5EF4-FFF2-40B4-BE49-F238E27FC236}">
                  <a16:creationId xmlns:a16="http://schemas.microsoft.com/office/drawing/2014/main" id="{A760DA2F-8690-9ED1-5892-2AA7D1C8A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146" name="SNCB_CheckBox" hidden="1">
              <a:extLst>
                <a:ext uri="{63B3BB69-23CF-44E3-9099-C40C66FF867C}">
                  <a14:compatExt spid="_x0000_s67146"/>
                </a:ext>
                <a:ext uri="{FF2B5EF4-FFF2-40B4-BE49-F238E27FC236}">
                  <a16:creationId xmlns:a16="http://schemas.microsoft.com/office/drawing/2014/main" id="{E2972CA7-A051-A6B7-715B-388D7759F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147" name="SDCB_CheckBox" hidden="1">
              <a:extLst>
                <a:ext uri="{63B3BB69-23CF-44E3-9099-C40C66FF867C}">
                  <a14:compatExt spid="_x0000_s67147"/>
                </a:ext>
                <a:ext uri="{FF2B5EF4-FFF2-40B4-BE49-F238E27FC236}">
                  <a16:creationId xmlns:a16="http://schemas.microsoft.com/office/drawing/2014/main" id="{3A5C3854-09C5-EBA5-9263-5E5027F12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148" name="AU_CheckBox" hidden="1">
              <a:extLst>
                <a:ext uri="{63B3BB69-23CF-44E3-9099-C40C66FF867C}">
                  <a14:compatExt spid="_x0000_s67148"/>
                </a:ext>
                <a:ext uri="{FF2B5EF4-FFF2-40B4-BE49-F238E27FC236}">
                  <a16:creationId xmlns:a16="http://schemas.microsoft.com/office/drawing/2014/main" id="{279E1135-A404-CDAC-EDF0-E8D0E02F5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149" name="Prime_CheckBox" hidden="1">
              <a:extLst>
                <a:ext uri="{63B3BB69-23CF-44E3-9099-C40C66FF867C}">
                  <a14:compatExt spid="_x0000_s67149"/>
                </a:ext>
                <a:ext uri="{FF2B5EF4-FFF2-40B4-BE49-F238E27FC236}">
                  <a16:creationId xmlns:a16="http://schemas.microsoft.com/office/drawing/2014/main" id="{AEC72676-2367-536C-98BC-0BBF12822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150" name="DCB_CheckBox" hidden="1">
              <a:extLst>
                <a:ext uri="{63B3BB69-23CF-44E3-9099-C40C66FF867C}">
                  <a14:compatExt spid="_x0000_s67150"/>
                </a:ext>
                <a:ext uri="{FF2B5EF4-FFF2-40B4-BE49-F238E27FC236}">
                  <a16:creationId xmlns:a16="http://schemas.microsoft.com/office/drawing/2014/main" id="{88325877-F2E1-81AF-DD65-10FEB7D5F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151" name="Saraswat_CheckBox" hidden="1">
              <a:extLst>
                <a:ext uri="{63B3BB69-23CF-44E3-9099-C40C66FF867C}">
                  <a14:compatExt spid="_x0000_s67151"/>
                </a:ext>
                <a:ext uri="{FF2B5EF4-FFF2-40B4-BE49-F238E27FC236}">
                  <a16:creationId xmlns:a16="http://schemas.microsoft.com/office/drawing/2014/main" id="{2CF87BFD-BFE8-71D8-F991-F5D4F33F3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152" name="Equitas_CheckBox" hidden="1">
              <a:extLst>
                <a:ext uri="{63B3BB69-23CF-44E3-9099-C40C66FF867C}">
                  <a14:compatExt spid="_x0000_s67152"/>
                </a:ext>
                <a:ext uri="{FF2B5EF4-FFF2-40B4-BE49-F238E27FC236}">
                  <a16:creationId xmlns:a16="http://schemas.microsoft.com/office/drawing/2014/main" id="{71AA7895-21E3-457D-A4BB-26C9A700C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153" name="SIB_CheckBox" hidden="1">
              <a:extLst>
                <a:ext uri="{63B3BB69-23CF-44E3-9099-C40C66FF867C}">
                  <a14:compatExt spid="_x0000_s67153"/>
                </a:ext>
                <a:ext uri="{FF2B5EF4-FFF2-40B4-BE49-F238E27FC236}">
                  <a16:creationId xmlns:a16="http://schemas.microsoft.com/office/drawing/2014/main" id="{64BDC6AB-D3B6-7C51-4F21-4AA48737D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19050</xdr:rowOff>
        </xdr:to>
        <xdr:sp macro="" textlink="">
          <xdr:nvSpPr>
            <xdr:cNvPr id="67154" name="Canara_CheckBox" hidden="1">
              <a:extLst>
                <a:ext uri="{63B3BB69-23CF-44E3-9099-C40C66FF867C}">
                  <a14:compatExt spid="_x0000_s67154"/>
                </a:ext>
                <a:ext uri="{FF2B5EF4-FFF2-40B4-BE49-F238E27FC236}">
                  <a16:creationId xmlns:a16="http://schemas.microsoft.com/office/drawing/2014/main" id="{2C2AE7E8-70A5-7060-2A59-E1DA255774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Canara</a:t>
              </a:r>
            </a:p>
          </xdr:txBody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9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5" t="str">
        <f>+$A$3</f>
        <v>ICICI Bank A/c.</v>
      </c>
      <c r="DB3" s="146">
        <f>VALUE(B3)</f>
        <v>0</v>
      </c>
      <c r="DC3" s="147" t="e">
        <f>+CONCATENATE(TEXT(DB3,"D"),"",TEXT(DB3,"MM"),"","/",SUBSTITUTE(DF3,",",""),"/",DK3)</f>
        <v>#VALUE!</v>
      </c>
      <c r="DD3" s="148">
        <f>IF(TRIM(J3)="",VALUE("0"),VALUE(SUBSTITUTE((TRIM(J3)),",","")))</f>
        <v>0</v>
      </c>
      <c r="DE3" s="148">
        <f>IF(TRIM(L3)="",VALUE("0"),VALUE(SUBSTITUTE((TRIM(L3)),",","")))</f>
        <v>0</v>
      </c>
      <c r="DF3" s="148">
        <f>IF(TRIM(N3)="", 0, VALUE(SUBSTITUTE(SUBSTITUTE(SUBSTITUTE(TRIM(N3), ",", ""), "Cr", ""), "Dr", "")))</f>
        <v>0</v>
      </c>
      <c r="DG3" s="14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1" t="str">
        <f>+IF(DE3=0,"Suspance Payment","Suspance Receipt")</f>
        <v>Suspance Payment</v>
      </c>
      <c r="DJ3" s="152">
        <f>+C3</f>
        <v>0</v>
      </c>
      <c r="DK3" s="15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8" t="s">
        <v>39</v>
      </c>
      <c r="B4" s="96" t="s">
        <v>216</v>
      </c>
      <c r="C4" s="96" t="s">
        <v>217</v>
      </c>
      <c r="D4" s="96"/>
      <c r="E4" s="96"/>
      <c r="F4" s="96"/>
      <c r="G4" s="96" t="s">
        <v>218</v>
      </c>
      <c r="H4" s="96"/>
      <c r="I4" s="96" t="s">
        <v>219</v>
      </c>
      <c r="J4" s="96" t="s">
        <v>220</v>
      </c>
      <c r="K4" s="137"/>
      <c r="L4" s="137" t="s">
        <v>221</v>
      </c>
      <c r="M4" s="137"/>
      <c r="N4" s="137" t="s">
        <v>222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27" priority="10" operator="equal">
      <formula>#N/A</formula>
    </cfRule>
  </conditionalFormatting>
  <conditionalFormatting sqref="H1">
    <cfRule type="cellIs" dxfId="626" priority="9" operator="equal">
      <formula>#N/A</formula>
    </cfRule>
  </conditionalFormatting>
  <conditionalFormatting sqref="E1">
    <cfRule type="cellIs" dxfId="625" priority="8" operator="equal">
      <formula>#N/A</formula>
    </cfRule>
  </conditionalFormatting>
  <conditionalFormatting sqref="I1">
    <cfRule type="containsText" dxfId="624" priority="6" operator="containsText" text="All Data Import Successfully">
      <formula>NOT(ISERROR(SEARCH("All Data Import Successfully",I1)))</formula>
    </cfRule>
    <cfRule type="containsText" dxfId="623" priority="7" operator="containsText" text="Difference Entry">
      <formula>NOT(ISERROR(SEARCH("Difference Entry",I1)))</formula>
    </cfRule>
  </conditionalFormatting>
  <conditionalFormatting sqref="DG2">
    <cfRule type="cellIs" dxfId="622" priority="5" operator="equal">
      <formula>#N/A</formula>
    </cfRule>
  </conditionalFormatting>
  <conditionalFormatting sqref="DH2:DI2">
    <cfRule type="cellIs" dxfId="621" priority="4" operator="equal">
      <formula>#N/A</formula>
    </cfRule>
  </conditionalFormatting>
  <conditionalFormatting sqref="E2:G2">
    <cfRule type="cellIs" dxfId="620" priority="3" operator="equal">
      <formula>#N/A</formula>
    </cfRule>
  </conditionalFormatting>
  <conditionalFormatting sqref="H2">
    <cfRule type="cellIs" dxfId="619" priority="2" operator="equal">
      <formula>#N/A</formula>
    </cfRule>
  </conditionalFormatting>
  <conditionalFormatting sqref="I2">
    <cfRule type="cellIs" dxfId="61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6" t="s">
        <v>32</v>
      </c>
      <c r="B4" s="207" t="s">
        <v>147</v>
      </c>
      <c r="C4" s="207"/>
      <c r="D4" s="207"/>
      <c r="E4" s="207" t="s">
        <v>300</v>
      </c>
      <c r="F4" s="207" t="s">
        <v>68</v>
      </c>
      <c r="G4" s="207"/>
      <c r="H4" s="207" t="s">
        <v>69</v>
      </c>
      <c r="I4" s="207"/>
      <c r="J4" s="207" t="s">
        <v>301</v>
      </c>
      <c r="K4" s="207" t="s">
        <v>302</v>
      </c>
      <c r="L4" s="207"/>
      <c r="M4" s="208" t="s">
        <v>108</v>
      </c>
      <c r="N4" s="137"/>
      <c r="U4" s="6" t="s">
        <v>178</v>
      </c>
      <c r="DA4" s="38" t="str">
        <f>+DA3</f>
        <v>ICICI Bank A/c.</v>
      </c>
    </row>
    <row r="5" spans="1:130">
      <c r="DA5" s="278" t="s">
        <v>60</v>
      </c>
      <c r="DB5" s="279">
        <v>45504</v>
      </c>
      <c r="DC5" s="280" t="s">
        <v>425</v>
      </c>
      <c r="DD5" s="281">
        <v>0</v>
      </c>
      <c r="DE5" s="281" t="e">
        <v>#VALUE!</v>
      </c>
      <c r="DF5" s="281">
        <v>0</v>
      </c>
      <c r="DG5" s="282" t="s">
        <v>426</v>
      </c>
      <c r="DH5" s="283">
        <v>45504</v>
      </c>
      <c r="DI5" s="284" t="e">
        <v>#VALUE!</v>
      </c>
      <c r="DJ5" s="285" t="s">
        <v>427</v>
      </c>
      <c r="DK5" s="286">
        <v>1</v>
      </c>
    </row>
    <row r="6" spans="1:130">
      <c r="DA6" s="278" t="s">
        <v>60</v>
      </c>
      <c r="DB6" s="279">
        <v>45565</v>
      </c>
      <c r="DC6" s="280" t="s">
        <v>428</v>
      </c>
      <c r="DD6" s="281">
        <v>0</v>
      </c>
      <c r="DE6" s="281" t="e">
        <v>#VALUE!</v>
      </c>
      <c r="DF6" s="281">
        <v>0</v>
      </c>
      <c r="DG6" s="282" t="s">
        <v>429</v>
      </c>
      <c r="DH6" s="283">
        <v>45565</v>
      </c>
      <c r="DI6" s="284" t="e">
        <v>#VALUE!</v>
      </c>
      <c r="DJ6" s="285" t="s">
        <v>430</v>
      </c>
      <c r="DK6" s="286">
        <v>2</v>
      </c>
    </row>
  </sheetData>
  <sheetProtection algorithmName="SHA-512" hashValue="P6sA+JzIZz+zmuCsJHxBJvmB9SEtSA2za5TOTvqQgiJ+60yXtV+YUyX+s+9rQImY9MqU4L0/9M/+z59fuSXpPg==" saltValue="tvfnS4EfAtZCoDpuHdsB1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617" priority="10" operator="equal">
      <formula>#N/A</formula>
    </cfRule>
  </conditionalFormatting>
  <conditionalFormatting sqref="H1">
    <cfRule type="cellIs" dxfId="616" priority="9" operator="equal">
      <formula>#N/A</formula>
    </cfRule>
  </conditionalFormatting>
  <conditionalFormatting sqref="E1">
    <cfRule type="cellIs" dxfId="615" priority="8" operator="equal">
      <formula>#N/A</formula>
    </cfRule>
  </conditionalFormatting>
  <conditionalFormatting sqref="I1">
    <cfRule type="containsText" dxfId="614" priority="6" operator="containsText" text="All Data Import Successfully">
      <formula>NOT(ISERROR(SEARCH("All Data Import Successfully",I1)))</formula>
    </cfRule>
    <cfRule type="containsText" dxfId="613" priority="7" operator="containsText" text="Difference Entry">
      <formula>NOT(ISERROR(SEARCH("Difference Entry",I1)))</formula>
    </cfRule>
  </conditionalFormatting>
  <conditionalFormatting sqref="DG2">
    <cfRule type="cellIs" dxfId="612" priority="5" operator="equal">
      <formula>#N/A</formula>
    </cfRule>
  </conditionalFormatting>
  <conditionalFormatting sqref="DH2:DI2">
    <cfRule type="cellIs" dxfId="611" priority="4" operator="equal">
      <formula>#N/A</formula>
    </cfRule>
  </conditionalFormatting>
  <conditionalFormatting sqref="E2:G2">
    <cfRule type="cellIs" dxfId="610" priority="3" operator="equal">
      <formula>#N/A</formula>
    </cfRule>
  </conditionalFormatting>
  <conditionalFormatting sqref="H2">
    <cfRule type="cellIs" dxfId="609" priority="2" operator="equal">
      <formula>#N/A</formula>
    </cfRule>
  </conditionalFormatting>
  <conditionalFormatting sqref="I2">
    <cfRule type="cellIs" dxfId="60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16</v>
      </c>
      <c r="B4" s="219" t="s">
        <v>324</v>
      </c>
      <c r="C4" s="219" t="s">
        <v>18</v>
      </c>
      <c r="D4" s="219"/>
      <c r="E4" s="219" t="s">
        <v>25</v>
      </c>
      <c r="F4" s="219" t="s">
        <v>325</v>
      </c>
      <c r="G4" s="219" t="s">
        <v>28</v>
      </c>
      <c r="H4" s="219" t="s">
        <v>326</v>
      </c>
      <c r="I4" s="219"/>
      <c r="J4" s="219" t="s">
        <v>327</v>
      </c>
      <c r="K4" s="220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7" priority="10" operator="equal">
      <formula>#N/A</formula>
    </cfRule>
  </conditionalFormatting>
  <conditionalFormatting sqref="H1">
    <cfRule type="cellIs" dxfId="606" priority="9" operator="equal">
      <formula>#N/A</formula>
    </cfRule>
  </conditionalFormatting>
  <conditionalFormatting sqref="E1">
    <cfRule type="cellIs" dxfId="605" priority="8" operator="equal">
      <formula>#N/A</formula>
    </cfRule>
  </conditionalFormatting>
  <conditionalFormatting sqref="I1">
    <cfRule type="containsText" dxfId="604" priority="6" operator="containsText" text="All Data Import Successfully">
      <formula>NOT(ISERROR(SEARCH("All Data Import Successfully",I1)))</formula>
    </cfRule>
    <cfRule type="containsText" dxfId="603" priority="7" operator="containsText" text="Difference Entry">
      <formula>NOT(ISERROR(SEARCH("Difference Entry",I1)))</formula>
    </cfRule>
  </conditionalFormatting>
  <conditionalFormatting sqref="DG2">
    <cfRule type="cellIs" dxfId="602" priority="5" operator="equal">
      <formula>#N/A</formula>
    </cfRule>
  </conditionalFormatting>
  <conditionalFormatting sqref="DH2:DI2">
    <cfRule type="cellIs" dxfId="601" priority="4" operator="equal">
      <formula>#N/A</formula>
    </cfRule>
  </conditionalFormatting>
  <conditionalFormatting sqref="E2:G2">
    <cfRule type="cellIs" dxfId="600" priority="3" operator="equal">
      <formula>#N/A</formula>
    </cfRule>
  </conditionalFormatting>
  <conditionalFormatting sqref="H2">
    <cfRule type="cellIs" dxfId="599" priority="2" operator="equal">
      <formula>#N/A</formula>
    </cfRule>
  </conditionalFormatting>
  <conditionalFormatting sqref="I2">
    <cfRule type="cellIs" dxfId="59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97" priority="11" operator="equal">
      <formula>#N/A</formula>
    </cfRule>
  </conditionalFormatting>
  <conditionalFormatting sqref="DG2">
    <cfRule type="cellIs" dxfId="596" priority="10" operator="equal">
      <formula>#N/A</formula>
    </cfRule>
  </conditionalFormatting>
  <conditionalFormatting sqref="DH2:DI2">
    <cfRule type="cellIs" dxfId="595" priority="9" operator="equal">
      <formula>#N/A</formula>
    </cfRule>
  </conditionalFormatting>
  <conditionalFormatting sqref="I1:I2">
    <cfRule type="cellIs" dxfId="594" priority="8" operator="equal">
      <formula>#N/A</formula>
    </cfRule>
  </conditionalFormatting>
  <conditionalFormatting sqref="H1">
    <cfRule type="cellIs" dxfId="593" priority="7" operator="equal">
      <formula>#N/A</formula>
    </cfRule>
  </conditionalFormatting>
  <conditionalFormatting sqref="E1">
    <cfRule type="cellIs" dxfId="592" priority="6" operator="equal">
      <formula>#N/A</formula>
    </cfRule>
  </conditionalFormatting>
  <conditionalFormatting sqref="I1">
    <cfRule type="containsText" dxfId="591" priority="4" operator="containsText" text="All Data Import Successfully">
      <formula>NOT(ISERROR(SEARCH("All Data Import Successfully",I1)))</formula>
    </cfRule>
    <cfRule type="containsText" dxfId="590" priority="5" operator="containsText" text="Difference Entry">
      <formula>NOT(ISERROR(SEARCH("Difference Entry",I1)))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B5" sqref="B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Axis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IF(H3="Cr",VALUE("0"),VALUE(SUBSTITUTE((TRIM(G3)),",","")))</f>
        <v>#VALUE!</v>
      </c>
      <c r="DE3" s="131" t="e">
        <f>IF(H3="Dr",VALUE("0"),VALUE(SUBSTITUTE((TRIM(G3)),",","")))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+DB3</f>
        <v>#VALUE!</v>
      </c>
      <c r="DI3" s="168" t="e">
        <f>+IF(DE3=0,"Suspance Payment","Suspance Receipt")</f>
        <v>#VALUE!</v>
      </c>
      <c r="DJ3" s="169">
        <f>+C3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303</v>
      </c>
      <c r="B4" s="210" t="s">
        <v>304</v>
      </c>
      <c r="C4" s="287" t="s">
        <v>305</v>
      </c>
      <c r="D4" s="287"/>
      <c r="E4" s="287"/>
      <c r="F4" s="210" t="s">
        <v>306</v>
      </c>
      <c r="G4" s="210" t="s">
        <v>307</v>
      </c>
      <c r="H4" s="210" t="s">
        <v>308</v>
      </c>
      <c r="I4" s="210" t="s">
        <v>309</v>
      </c>
      <c r="J4" s="211" t="s">
        <v>310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233</v>
      </c>
      <c r="V1" s="92" t="s">
        <v>233</v>
      </c>
      <c r="W1" s="92" t="s">
        <v>234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IDBI Bank A/c.</v>
      </c>
      <c r="DB3" s="14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1" t="e">
        <f>+CONCATENATE(TEXT(DB3,"D"),"",TEXT(DB3,"MM"),"","/",SUBSTITUTE(DF3,",",""),"/",DK3)</f>
        <v>#VALUE!</v>
      </c>
      <c r="DD3" s="50" t="e">
        <f>IF(TRIM(J3)="Cr.",VALUE("0"),VALUE(SUBSTITUTE((TRIM(L3)),",","")))</f>
        <v>#VALUE!</v>
      </c>
      <c r="DE3" s="50" t="e">
        <f>IF(TRIM(J3)="Dr.",VALUE("0"),VALUE(SUBSTITUTE((TRIM(L3)),",","")))</f>
        <v>#VALUE!</v>
      </c>
      <c r="DF3" s="50" t="str">
        <f>IF(TRIM(M3)="","",VALUE(SUBSTITUTE((TRIM(M3)),",","")))</f>
        <v/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 t="e">
        <f>+DB3</f>
        <v>#VALUE!</v>
      </c>
      <c r="DI3" s="143" t="e">
        <f>+IF(DE3=0,"Suspance Payment","Suspance Receipt")</f>
        <v>#VALUE!</v>
      </c>
      <c r="DJ3" s="155" t="str">
        <f>+TRIM(F3)</f>
        <v/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224</v>
      </c>
      <c r="B4" s="104" t="s">
        <v>225</v>
      </c>
      <c r="C4" s="104"/>
      <c r="D4" s="104" t="s">
        <v>226</v>
      </c>
      <c r="E4" s="104"/>
      <c r="F4" s="104" t="s">
        <v>227</v>
      </c>
      <c r="G4" s="104"/>
      <c r="H4" s="104"/>
      <c r="I4" s="104" t="s">
        <v>228</v>
      </c>
      <c r="J4" s="154" t="s">
        <v>229</v>
      </c>
      <c r="K4" s="101" t="s">
        <v>230</v>
      </c>
      <c r="L4" s="101" t="s">
        <v>231</v>
      </c>
      <c r="M4" s="102" t="s">
        <v>232</v>
      </c>
      <c r="N4" s="137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62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3" t="s">
        <v>264</v>
      </c>
      <c r="B4" s="183" t="s">
        <v>265</v>
      </c>
      <c r="C4" s="183" t="s">
        <v>266</v>
      </c>
      <c r="D4" s="288" t="s">
        <v>267</v>
      </c>
      <c r="E4" s="289"/>
      <c r="F4" s="184" t="s">
        <v>268</v>
      </c>
      <c r="G4" s="184" t="s">
        <v>269</v>
      </c>
      <c r="H4" s="185" t="s">
        <v>270</v>
      </c>
      <c r="I4" s="185" t="s">
        <v>271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4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334</v>
      </c>
      <c r="B3" s="56"/>
      <c r="C3" s="55"/>
      <c r="D3" s="55"/>
      <c r="E3" s="57"/>
      <c r="F3" s="55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 xml:space="preserve">City Union Bank </v>
      </c>
      <c r="DB3" s="165" t="e">
        <f>VALUE(A3)</f>
        <v>#VALUE!</v>
      </c>
      <c r="DC3" s="166" t="e">
        <f>+CONCATENATE(TEXT(DB3,"D"),"",TEXT(DB3,"MM"),"","/",ABS(SUBSTITUTE(DF3,",","")),"/",DK3)</f>
        <v>#VALUE!</v>
      </c>
      <c r="DD3" s="131">
        <f>IF(TRIM(D3)="",VALUE("0"),VALUE(SUBSTITUTE((TRIM(D3)),",","")))</f>
        <v>0</v>
      </c>
      <c r="DE3" s="131">
        <f>IF(E3="",VALUE("0"),VALUE(SUBSTITUTE((E3),",","")))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93</v>
      </c>
      <c r="B3" s="56"/>
      <c r="C3" s="55"/>
      <c r="D3" s="55"/>
      <c r="E3" s="57"/>
      <c r="F3" s="55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>Indusind Bank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>
        <f>IF(TRIM(D3)="",VALUE("0"),VALUE(SUBSTITUTE((TRIM(D3)),"-","")))</f>
        <v>0</v>
      </c>
      <c r="DE3" s="131">
        <f>IF(E3="",VALUE("0"),VALUE(SUBSTITUTE((E3),"-","")))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>Indusind Bank</v>
      </c>
    </row>
    <row r="5" spans="1:130">
      <c r="A5" s="174"/>
      <c r="B5" s="174"/>
      <c r="C5" s="174"/>
      <c r="D5" s="174"/>
      <c r="E5" s="174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26" operator="equal">
      <formula>#N/A</formula>
    </cfRule>
  </conditionalFormatting>
  <conditionalFormatting sqref="DG2">
    <cfRule type="cellIs" dxfId="519" priority="21" operator="equal">
      <formula>#N/A</formula>
    </cfRule>
  </conditionalFormatting>
  <conditionalFormatting sqref="DH2:DI2">
    <cfRule type="cellIs" dxfId="518" priority="20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249</v>
      </c>
      <c r="B4" s="101" t="s">
        <v>250</v>
      </c>
      <c r="C4" s="101" t="s">
        <v>251</v>
      </c>
      <c r="D4" s="101" t="s">
        <v>252</v>
      </c>
      <c r="E4" s="101" t="s">
        <v>253</v>
      </c>
      <c r="F4" s="101" t="s">
        <v>254</v>
      </c>
      <c r="G4" s="102" t="s">
        <v>240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09" priority="11" operator="equal">
      <formula>#N/A</formula>
    </cfRule>
  </conditionalFormatting>
  <conditionalFormatting sqref="DG2">
    <cfRule type="cellIs" dxfId="508" priority="10" operator="equal">
      <formula>#N/A</formula>
    </cfRule>
  </conditionalFormatting>
  <conditionalFormatting sqref="DH2:DI2">
    <cfRule type="cellIs" dxfId="507" priority="9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162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6" t="s">
        <v>257</v>
      </c>
      <c r="B4" s="177" t="s">
        <v>258</v>
      </c>
      <c r="C4" s="178"/>
      <c r="D4" s="179" t="s">
        <v>259</v>
      </c>
      <c r="E4" s="180" t="s">
        <v>260</v>
      </c>
      <c r="F4" s="181" t="s">
        <v>261</v>
      </c>
      <c r="G4" s="181" t="s">
        <v>262</v>
      </c>
      <c r="H4" s="182" t="s">
        <v>263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98" priority="22" operator="equal">
      <formula>#N/A</formula>
    </cfRule>
  </conditionalFormatting>
  <conditionalFormatting sqref="DG2">
    <cfRule type="cellIs" dxfId="497" priority="17" operator="equal">
      <formula>#N/A</formula>
    </cfRule>
  </conditionalFormatting>
  <conditionalFormatting sqref="DH2:DI2">
    <cfRule type="cellIs" dxfId="496" priority="16" operator="equal">
      <formula>#N/A</formula>
    </cfRule>
  </conditionalFormatting>
  <conditionalFormatting sqref="I1">
    <cfRule type="cellIs" dxfId="495" priority="12" operator="equal">
      <formula>#N/A</formula>
    </cfRule>
  </conditionalFormatting>
  <conditionalFormatting sqref="H1">
    <cfRule type="cellIs" dxfId="494" priority="11" operator="equal">
      <formula>#N/A</formula>
    </cfRule>
  </conditionalFormatting>
  <conditionalFormatting sqref="E1">
    <cfRule type="cellIs" dxfId="493" priority="10" operator="equal">
      <formula>#N/A</formula>
    </cfRule>
  </conditionalFormatting>
  <conditionalFormatting sqref="I1">
    <cfRule type="containsText" dxfId="492" priority="8" operator="containsText" text="All Data Import Successfully">
      <formula>NOT(ISERROR(SEARCH("All Data Import Successfully",I1)))</formula>
    </cfRule>
    <cfRule type="containsText" dxfId="491" priority="9" operator="containsText" text="Difference Entry">
      <formula>NOT(ISERROR(SEARCH("Difference Entry",I1)))</formula>
    </cfRule>
  </conditionalFormatting>
  <conditionalFormatting sqref="I2">
    <cfRule type="cellIs" dxfId="490" priority="4" operator="equal">
      <formula>#N/A</formula>
    </cfRule>
  </conditionalFormatting>
  <conditionalFormatting sqref="E2:G2">
    <cfRule type="cellIs" dxfId="489" priority="3" operator="equal">
      <formula>#N/A</formula>
    </cfRule>
  </conditionalFormatting>
  <conditionalFormatting sqref="H2">
    <cfRule type="cellIs" dxfId="488" priority="2" operator="equal">
      <formula>#N/A</formula>
    </cfRule>
  </conditionalFormatting>
  <conditionalFormatting sqref="I2">
    <cfRule type="cellIs" dxfId="48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63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SBI Bank A/c.</v>
      </c>
      <c r="DB3" s="165" t="e">
        <f>IF(ISBLANK(H3),TEXT(DATE(RIGHT(A3,4), MONTH(DATEVALUE(MID(A3,4,3) &amp; " 1")), LEFT(A3,2)), "dd/MM/yyyy"),VALUE(A3))</f>
        <v>#VALUE!</v>
      </c>
      <c r="DC3" s="166" t="e">
        <f>+CONCATENATE(TEXT(DB3,"D"),"",TEXT(DB3,"MM"),"","/",SUBSTITUTE(DF3,",",""),"/",DK3)</f>
        <v>#VALUE!</v>
      </c>
      <c r="DD3" s="131">
        <f>IF(ISBLANK(H3),IF(E3="",VALUE("0"),VALUE(SUBSTITUTE((TRIM(E3)),",",""))),IF(F3="",VALUE("0"),VALUE(SUBSTITUTE((TRIM(F3)),",",""))))</f>
        <v>0</v>
      </c>
      <c r="DE3" s="131">
        <f>IF(ISBLANK(H3),IF(F3="",VALUE("0"),VALUE(SUBSTITUTE((TRIM(F3)),",",""))),IF(G3="",VALUE("0"),VALUE(SUBSTITUTE((TRIM(G3)),",",""))))</f>
        <v>0</v>
      </c>
      <c r="DF3" s="131">
        <f>IF(ISBLANK(H3),IF(G3="",VALUE("0"),VALUE(SUBSTITUTE((TRIM(G3)),",",""))),IF(H3="",VALUE("0"),VALUE(SUBSTITUTE((TRIM(H3)),",",""))))</f>
        <v>0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IF(ISBLANK(H3),TEXT(DATE(RIGHT(A3,4), MONTH(DATEVALUE(MID(A3,4,3) &amp; " 1")), LEFT(A3,2)), "dd/MM/yyyy"),VALUE(A3))</f>
        <v>#VALUE!</v>
      </c>
      <c r="DI3" s="168" t="str">
        <f>+IF(DE3=0,"Suspance Payment","Suspance Receipt")</f>
        <v>Suspance Payment</v>
      </c>
      <c r="DJ3" s="173" t="str">
        <f>+CONCATENATE(C3," ", D3)</f>
        <v xml:space="preserve"> 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1" t="s">
        <v>241</v>
      </c>
      <c r="B4" s="172" t="s">
        <v>242</v>
      </c>
      <c r="C4" s="171" t="s">
        <v>243</v>
      </c>
      <c r="D4" s="171" t="s">
        <v>244</v>
      </c>
      <c r="E4" s="171" t="s">
        <v>245</v>
      </c>
      <c r="F4" s="172" t="s">
        <v>246</v>
      </c>
      <c r="G4" s="172" t="s">
        <v>247</v>
      </c>
      <c r="H4" s="172" t="s">
        <v>248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86" priority="11" operator="equal">
      <formula>#N/A</formula>
    </cfRule>
  </conditionalFormatting>
  <conditionalFormatting sqref="DG2">
    <cfRule type="cellIs" dxfId="485" priority="10" operator="equal">
      <formula>#N/A</formula>
    </cfRule>
  </conditionalFormatting>
  <conditionalFormatting sqref="DH2:DI2">
    <cfRule type="cellIs" dxfId="484" priority="9" operator="equal">
      <formula>#N/A</formula>
    </cfRule>
  </conditionalFormatting>
  <conditionalFormatting sqref="I1:I2">
    <cfRule type="cellIs" dxfId="483" priority="8" operator="equal">
      <formula>#N/A</formula>
    </cfRule>
  </conditionalFormatting>
  <conditionalFormatting sqref="H1">
    <cfRule type="cellIs" dxfId="482" priority="7" operator="equal">
      <formula>#N/A</formula>
    </cfRule>
  </conditionalFormatting>
  <conditionalFormatting sqref="E1">
    <cfRule type="cellIs" dxfId="481" priority="6" operator="equal">
      <formula>#N/A</formula>
    </cfRule>
  </conditionalFormatting>
  <conditionalFormatting sqref="I1">
    <cfRule type="containsText" dxfId="480" priority="4" operator="containsText" text="All Data Import Successfully">
      <formula>NOT(ISERROR(SEARCH("All Data Import Successfully",I1)))</formula>
    </cfRule>
    <cfRule type="containsText" dxfId="479" priority="5" operator="containsText" text="Difference Entry">
      <formula>NOT(ISERROR(SEARCH("Difference Entry",I1)))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188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189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142</v>
      </c>
      <c r="B3" s="190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6" t="s">
        <v>272</v>
      </c>
      <c r="B4" s="191" t="s">
        <v>273</v>
      </c>
      <c r="C4" s="187"/>
      <c r="D4" s="187" t="s">
        <v>274</v>
      </c>
      <c r="E4" s="187"/>
      <c r="F4" s="187" t="s">
        <v>275</v>
      </c>
      <c r="G4" s="187"/>
      <c r="H4" s="187" t="s">
        <v>276</v>
      </c>
      <c r="I4" s="187"/>
      <c r="J4" s="187" t="s">
        <v>277</v>
      </c>
      <c r="K4" s="187"/>
      <c r="L4" s="186" t="s">
        <v>278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75" priority="18" operator="equal">
      <formula>#N/A</formula>
    </cfRule>
  </conditionalFormatting>
  <conditionalFormatting sqref="DG2">
    <cfRule type="cellIs" dxfId="474" priority="13" operator="equal">
      <formula>#N/A</formula>
    </cfRule>
  </conditionalFormatting>
  <conditionalFormatting sqref="DH2:DI2">
    <cfRule type="cellIs" dxfId="473" priority="12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280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 xml:space="preserve">Union Bank </v>
      </c>
      <c r="DB3" s="165">
        <f>VALUE(B3)</f>
        <v>0</v>
      </c>
      <c r="DC3" s="166" t="e">
        <f>+CONCATENATE(TEXT(DB3,"D"),"",TEXT(DB3,"MM"),"","/",SUBSTITUTE(DF3,",",""),"/",DK3)</f>
        <v>#VALUE!</v>
      </c>
      <c r="DD3" s="131" t="e">
        <f>IF(RIGHT(E3,4)="(Cr)",VALUE("0"),VALUE(SUBSTITUTE(SUBSTITUTE((TRIM(E3)),",",""),"(Dr)","")))</f>
        <v>#VALUE!</v>
      </c>
      <c r="DE3" s="131" t="e">
        <f>IF(RIGHT(E3,4)="(Dr)",VALUE("0"),VALUE(SUBSTITUTE(SUBSTITUTE((E3),",",""),"(Cr)","")))</f>
        <v>#VALUE!</v>
      </c>
      <c r="DF3" s="130" t="e">
        <f>+IF(RIGHT(F3,4)="(Dr)",VALUE(SUBSTITUTE(SUBSTITUTE(SUBSTITUTE((F3),",",""),"(Cr)",""),"(Dr)",""))*-1,VALUE(SUBSTITUTE(SUBSTITUTE(SUBSTITUTE((F3),",",""),"(Cr)",""),"(Dr)","")))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+D3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3" t="s">
        <v>279</v>
      </c>
      <c r="B4" s="193" t="s">
        <v>236</v>
      </c>
      <c r="C4" s="161" t="s">
        <v>238</v>
      </c>
      <c r="D4" s="161" t="s">
        <v>237</v>
      </c>
      <c r="E4" s="161" t="s">
        <v>239</v>
      </c>
      <c r="F4" s="194" t="s">
        <v>240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64" priority="11" operator="equal">
      <formula>#N/A</formula>
    </cfRule>
  </conditionalFormatting>
  <conditionalFormatting sqref="DG2">
    <cfRule type="cellIs" dxfId="463" priority="10" operator="equal">
      <formula>#N/A</formula>
    </cfRule>
  </conditionalFormatting>
  <conditionalFormatting sqref="DH2:DI2">
    <cfRule type="cellIs" dxfId="462" priority="9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Kotak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IF(RIGHT(D3,4)="(Cr)",VALUE("0"),VALUE(SUBSTITUTE(SUBSTITUTE((D3),",",""),"(Dr)","")))</f>
        <v>#VALUE!</v>
      </c>
      <c r="DE3" s="131" t="e">
        <f>IF(RIGHT(D3,4)="(Dr)",VALUE("0"),VALUE(SUBSTITUTE(SUBSTITUTE((D3),",",""),"(Cr)","")))</f>
        <v>#VALUE!</v>
      </c>
      <c r="DF3" s="130" t="e">
        <f>+IF(RIGHT(E3,4)="(Dr)",VALUE(SUBSTITUTE(SUBSTITUTE(SUBSTITUTE((E3),",",""),"(Cr)",""),"(Dr)",""))*-1,VALUE(SUBSTITUTE(SUBSTITUTE(SUBSTITUTE((E3),",",""),"(Cr)",""),"(Dr)","")))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+DB3</f>
        <v>#VALUE!</v>
      </c>
      <c r="DI3" s="168" t="e">
        <f>+IF(DE3=0,"Suspance Payment","Suspance Receipt")</f>
        <v>#VALUE!</v>
      </c>
      <c r="DJ3" s="169" t="str">
        <f>+TRIM(B3)</f>
        <v/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0" t="s">
        <v>236</v>
      </c>
      <c r="B4" s="161" t="s">
        <v>237</v>
      </c>
      <c r="C4" s="162" t="s">
        <v>238</v>
      </c>
      <c r="D4" s="162" t="s">
        <v>239</v>
      </c>
      <c r="E4" s="163" t="s">
        <v>240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9" t="s">
        <v>299</v>
      </c>
      <c r="B4" s="200" t="s">
        <v>293</v>
      </c>
      <c r="C4" s="290" t="s">
        <v>294</v>
      </c>
      <c r="D4" s="290"/>
      <c r="E4" s="291" t="s">
        <v>295</v>
      </c>
      <c r="F4" s="291"/>
      <c r="G4" s="201" t="s">
        <v>296</v>
      </c>
      <c r="H4" s="202" t="s">
        <v>297</v>
      </c>
      <c r="I4" s="203" t="s">
        <v>298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6" t="s">
        <v>32</v>
      </c>
      <c r="B4" s="217"/>
      <c r="C4" s="217" t="s">
        <v>320</v>
      </c>
      <c r="D4" s="217" t="s">
        <v>321</v>
      </c>
      <c r="E4" s="217"/>
      <c r="F4" s="217" t="s">
        <v>322</v>
      </c>
      <c r="G4" s="217" t="s">
        <v>323</v>
      </c>
      <c r="H4" s="218" t="s">
        <v>248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311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312</v>
      </c>
      <c r="B4" s="213" t="s">
        <v>313</v>
      </c>
      <c r="C4" s="213" t="s">
        <v>314</v>
      </c>
      <c r="D4" s="213" t="s">
        <v>315</v>
      </c>
      <c r="E4" s="213" t="s">
        <v>316</v>
      </c>
      <c r="F4" s="214" t="s">
        <v>317</v>
      </c>
      <c r="G4" s="213" t="s">
        <v>318</v>
      </c>
      <c r="H4" s="215" t="s">
        <v>319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287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5" t="s">
        <v>281</v>
      </c>
      <c r="B4" s="196" t="s">
        <v>282</v>
      </c>
      <c r="C4" s="196" t="s">
        <v>283</v>
      </c>
      <c r="D4" s="196" t="s">
        <v>284</v>
      </c>
      <c r="E4" s="196" t="s">
        <v>285</v>
      </c>
      <c r="F4" s="196" t="s">
        <v>286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135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5" t="s">
        <v>412</v>
      </c>
      <c r="B4" s="255" t="s">
        <v>242</v>
      </c>
      <c r="C4" s="256" t="s">
        <v>320</v>
      </c>
      <c r="D4" s="257"/>
      <c r="E4" s="256" t="s">
        <v>413</v>
      </c>
      <c r="F4" s="257"/>
      <c r="G4" s="255" t="s">
        <v>246</v>
      </c>
      <c r="H4" s="255" t="s">
        <v>247</v>
      </c>
      <c r="I4" s="256" t="s">
        <v>248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98" priority="10" operator="equal">
      <formula>#N/A</formula>
    </cfRule>
  </conditionalFormatting>
  <conditionalFormatting sqref="H1">
    <cfRule type="cellIs" dxfId="397" priority="9" operator="equal">
      <formula>#N/A</formula>
    </cfRule>
  </conditionalFormatting>
  <conditionalFormatting sqref="E1">
    <cfRule type="cellIs" dxfId="396" priority="8" operator="equal">
      <formula>#N/A</formula>
    </cfRule>
  </conditionalFormatting>
  <conditionalFormatting sqref="I1">
    <cfRule type="containsText" dxfId="395" priority="6" operator="containsText" text="All Data Import Successfully">
      <formula>NOT(ISERROR(SEARCH("All Data Import Successfully",I1)))</formula>
    </cfRule>
    <cfRule type="containsText" dxfId="394" priority="7" operator="containsText" text="Difference Entry">
      <formula>NOT(ISERROR(SEARCH("Difference Entry",I1)))</formula>
    </cfRule>
  </conditionalFormatting>
  <conditionalFormatting sqref="DG2">
    <cfRule type="cellIs" dxfId="393" priority="5" operator="equal">
      <formula>#N/A</formula>
    </cfRule>
  </conditionalFormatting>
  <conditionalFormatting sqref="DH2:DI2">
    <cfRule type="cellIs" dxfId="392" priority="4" operator="equal">
      <formula>#N/A</formula>
    </cfRule>
  </conditionalFormatting>
  <conditionalFormatting sqref="E2:G2">
    <cfRule type="cellIs" dxfId="391" priority="3" operator="equal">
      <formula>#N/A</formula>
    </cfRule>
  </conditionalFormatting>
  <conditionalFormatting sqref="H2">
    <cfRule type="cellIs" dxfId="390" priority="2" operator="equal">
      <formula>#N/A</formula>
    </cfRule>
  </conditionalFormatting>
  <conditionalFormatting sqref="I2">
    <cfRule type="cellIs" dxfId="38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 t="s">
        <v>424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6" t="s">
        <v>23</v>
      </c>
      <c r="B4" s="96" t="s">
        <v>24</v>
      </c>
      <c r="C4" s="96" t="s">
        <v>18</v>
      </c>
      <c r="D4" s="96" t="s">
        <v>25</v>
      </c>
      <c r="E4" s="96" t="s">
        <v>26</v>
      </c>
      <c r="F4" s="96" t="s">
        <v>27</v>
      </c>
      <c r="G4" s="96" t="s">
        <v>28</v>
      </c>
      <c r="H4" s="96" t="s">
        <v>29</v>
      </c>
      <c r="I4" s="96" t="s">
        <v>30</v>
      </c>
      <c r="J4" s="96" t="s">
        <v>31</v>
      </c>
      <c r="U4" s="6" t="s">
        <v>178</v>
      </c>
      <c r="DA4" s="38" t="str">
        <f>+DA3</f>
        <v>ICICI Bank A/c.</v>
      </c>
    </row>
  </sheetData>
  <sheetProtection algorithmName="SHA-512" hashValue="8xPi+AKt25eckNe6/cGAmuRpa66pbQiWOdHP+ER40mh4S8merZ2SMHXo0TZfWoyayWCt6rOOxl4xc0QGXNF0yg==" saltValue="KKcnxjaddGcE6Fq7WAVFN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88" priority="10" operator="equal">
      <formula>#N/A</formula>
    </cfRule>
  </conditionalFormatting>
  <conditionalFormatting sqref="H1">
    <cfRule type="cellIs" dxfId="387" priority="9" operator="equal">
      <formula>#N/A</formula>
    </cfRule>
  </conditionalFormatting>
  <conditionalFormatting sqref="E1">
    <cfRule type="cellIs" dxfId="386" priority="8" operator="equal">
      <formula>#N/A</formula>
    </cfRule>
  </conditionalFormatting>
  <conditionalFormatting sqref="I1">
    <cfRule type="containsText" dxfId="385" priority="6" operator="containsText" text="All Data Import Successfully">
      <formula>NOT(ISERROR(SEARCH("All Data Import Successfully",I1)))</formula>
    </cfRule>
    <cfRule type="containsText" dxfId="384" priority="7" operator="containsText" text="Difference Entry">
      <formula>NOT(ISERROR(SEARCH("Difference Entry",I1)))</formula>
    </cfRule>
  </conditionalFormatting>
  <conditionalFormatting sqref="DG2">
    <cfRule type="cellIs" dxfId="383" priority="5" operator="equal">
      <formula>#N/A</formula>
    </cfRule>
  </conditionalFormatting>
  <conditionalFormatting sqref="DH2:DI2">
    <cfRule type="cellIs" dxfId="382" priority="4" operator="equal">
      <formula>#N/A</formula>
    </cfRule>
  </conditionalFormatting>
  <conditionalFormatting sqref="E2:G2">
    <cfRule type="cellIs" dxfId="381" priority="3" operator="equal">
      <formula>#N/A</formula>
    </cfRule>
  </conditionalFormatting>
  <conditionalFormatting sqref="H2">
    <cfRule type="cellIs" dxfId="380" priority="2" operator="equal">
      <formula>#N/A</formula>
    </cfRule>
  </conditionalFormatting>
  <conditionalFormatting sqref="I2">
    <cfRule type="cellIs" dxfId="37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136</v>
      </c>
      <c r="B4" s="63" t="s">
        <v>18</v>
      </c>
      <c r="C4" s="63" t="s">
        <v>25</v>
      </c>
      <c r="D4" s="63" t="s">
        <v>137</v>
      </c>
      <c r="E4" s="63" t="s">
        <v>28</v>
      </c>
      <c r="F4" s="63" t="s">
        <v>138</v>
      </c>
      <c r="G4" s="63" t="s">
        <v>139</v>
      </c>
      <c r="H4" s="63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78" priority="10" operator="equal">
      <formula>#N/A</formula>
    </cfRule>
  </conditionalFormatting>
  <conditionalFormatting sqref="H1">
    <cfRule type="cellIs" dxfId="377" priority="9" operator="equal">
      <formula>#N/A</formula>
    </cfRule>
  </conditionalFormatting>
  <conditionalFormatting sqref="E1">
    <cfRule type="cellIs" dxfId="376" priority="8" operator="equal">
      <formula>#N/A</formula>
    </cfRule>
  </conditionalFormatting>
  <conditionalFormatting sqref="I1">
    <cfRule type="containsText" dxfId="375" priority="6" operator="containsText" text="All Data Import Successfully">
      <formula>NOT(ISERROR(SEARCH("All Data Import Successfully",I1)))</formula>
    </cfRule>
    <cfRule type="containsText" dxfId="374" priority="7" operator="containsText" text="Difference Entry">
      <formula>NOT(ISERROR(SEARCH("Difference Entry",I1)))</formula>
    </cfRule>
  </conditionalFormatting>
  <conditionalFormatting sqref="DG2">
    <cfRule type="cellIs" dxfId="373" priority="5" operator="equal">
      <formula>#N/A</formula>
    </cfRule>
  </conditionalFormatting>
  <conditionalFormatting sqref="DH2:DI2">
    <cfRule type="cellIs" dxfId="372" priority="4" operator="equal">
      <formula>#N/A</formula>
    </cfRule>
  </conditionalFormatting>
  <conditionalFormatting sqref="E2:G2">
    <cfRule type="cellIs" dxfId="371" priority="3" operator="equal">
      <formula>#N/A</formula>
    </cfRule>
  </conditionalFormatting>
  <conditionalFormatting sqref="H2">
    <cfRule type="cellIs" dxfId="370" priority="2" operator="equal">
      <formula>#N/A</formula>
    </cfRule>
  </conditionalFormatting>
  <conditionalFormatting sqref="I2">
    <cfRule type="cellIs" dxfId="36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68" priority="18" operator="equal">
      <formula>#N/A</formula>
    </cfRule>
  </conditionalFormatting>
  <conditionalFormatting sqref="DG2">
    <cfRule type="cellIs" dxfId="367" priority="13" operator="equal">
      <formula>#N/A</formula>
    </cfRule>
  </conditionalFormatting>
  <conditionalFormatting sqref="DH2:DI2">
    <cfRule type="cellIs" dxfId="366" priority="12" operator="equal">
      <formula>#N/A</formula>
    </cfRule>
  </conditionalFormatting>
  <conditionalFormatting sqref="I1:I2">
    <cfRule type="cellIs" dxfId="365" priority="8" operator="equal">
      <formula>#N/A</formula>
    </cfRule>
  </conditionalFormatting>
  <conditionalFormatting sqref="H1">
    <cfRule type="cellIs" dxfId="364" priority="7" operator="equal">
      <formula>#N/A</formula>
    </cfRule>
  </conditionalFormatting>
  <conditionalFormatting sqref="E1">
    <cfRule type="cellIs" dxfId="363" priority="6" operator="equal">
      <formula>#N/A</formula>
    </cfRule>
  </conditionalFormatting>
  <conditionalFormatting sqref="I1">
    <cfRule type="containsText" dxfId="362" priority="4" operator="containsText" text="All Data Import Successfully">
      <formula>NOT(ISERROR(SEARCH("All Data Import Successfully",I1)))</formula>
    </cfRule>
    <cfRule type="containsText" dxfId="361" priority="5" operator="containsText" text="Difference Entry">
      <formula>NOT(ISERROR(SEARCH("Difference Entry",I1)))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78</v>
      </c>
      <c r="B4" s="101" t="s">
        <v>32</v>
      </c>
      <c r="C4" s="101" t="s">
        <v>19</v>
      </c>
      <c r="D4" s="101" t="s">
        <v>79</v>
      </c>
      <c r="E4" s="101" t="s">
        <v>80</v>
      </c>
      <c r="F4" s="101" t="s">
        <v>81</v>
      </c>
      <c r="G4" s="101" t="s">
        <v>11</v>
      </c>
      <c r="H4" s="102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9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2"/>
      <c r="DM3" s="31"/>
      <c r="DN3" s="53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1" t="s">
        <v>78</v>
      </c>
      <c r="B4" s="51" t="s">
        <v>25</v>
      </c>
      <c r="C4" s="51" t="s">
        <v>18</v>
      </c>
      <c r="D4" s="51" t="s">
        <v>19</v>
      </c>
      <c r="E4" s="51" t="s">
        <v>122</v>
      </c>
      <c r="F4" s="51" t="s">
        <v>100</v>
      </c>
      <c r="G4" s="51" t="s">
        <v>22</v>
      </c>
      <c r="H4" s="51" t="s">
        <v>11</v>
      </c>
      <c r="I4" s="51" t="s">
        <v>81</v>
      </c>
      <c r="DA4" s="38" t="str">
        <f>+DA3</f>
        <v>Kotak Bank A/c.</v>
      </c>
      <c r="DL4" s="52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46" priority="22" operator="equal">
      <formula>#N/A</formula>
    </cfRule>
  </conditionalFormatting>
  <conditionalFormatting sqref="DH2:DI2">
    <cfRule type="cellIs" dxfId="345" priority="21" operator="equal">
      <formula>#N/A</formula>
    </cfRule>
  </conditionalFormatting>
  <conditionalFormatting sqref="E3">
    <cfRule type="cellIs" dxfId="344" priority="17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212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35" priority="18" operator="equal">
      <formula>#N/A</formula>
    </cfRule>
  </conditionalFormatting>
  <conditionalFormatting sqref="DG2">
    <cfRule type="cellIs" dxfId="334" priority="13" operator="equal">
      <formula>#N/A</formula>
    </cfRule>
  </conditionalFormatting>
  <conditionalFormatting sqref="DH2:DI2">
    <cfRule type="cellIs" dxfId="333" priority="12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9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333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37" t="s">
        <v>332</v>
      </c>
      <c r="B4" s="238" t="s">
        <v>39</v>
      </c>
      <c r="C4" s="238" t="s">
        <v>40</v>
      </c>
      <c r="D4" s="238" t="s">
        <v>41</v>
      </c>
      <c r="E4" s="238" t="s">
        <v>42</v>
      </c>
      <c r="F4" s="238" t="s">
        <v>43</v>
      </c>
      <c r="G4" s="239" t="s">
        <v>44</v>
      </c>
      <c r="H4" s="220" t="s">
        <v>45</v>
      </c>
      <c r="DA4" s="38" t="str">
        <f>+DA3</f>
        <v>Axis Bank A/c.</v>
      </c>
    </row>
  </sheetData>
  <sheetProtection algorithmName="SHA-512" hashValue="SOSkQm42IlzYefHSamrHMr2ZcNVXT5UmLYFHRd9foEBQrq5t/MsVq3cFU3X51eJwJpbHh5MGHIorKguYWLRM4w==" saltValue="5ohvFsTOApvqGeB/Q086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1" operator="equal">
      <formula>#N/A</formula>
    </cfRule>
  </conditionalFormatting>
  <conditionalFormatting sqref="DG2">
    <cfRule type="cellIs" dxfId="323" priority="10" operator="equal">
      <formula>#N/A</formula>
    </cfRule>
  </conditionalFormatting>
  <conditionalFormatting sqref="DH2:DI2">
    <cfRule type="cellIs" dxfId="322" priority="9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109</v>
      </c>
      <c r="B3" s="56"/>
      <c r="C3" s="55"/>
      <c r="D3" s="55" t="s">
        <v>212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18</v>
      </c>
      <c r="C4" s="101" t="s">
        <v>40</v>
      </c>
      <c r="D4" s="101" t="s">
        <v>188</v>
      </c>
      <c r="E4" s="101" t="s">
        <v>189</v>
      </c>
      <c r="F4" s="101" t="s">
        <v>190</v>
      </c>
      <c r="G4" s="101" t="s">
        <v>108</v>
      </c>
      <c r="H4" s="102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13" priority="18" operator="equal">
      <formula>#N/A</formula>
    </cfRule>
  </conditionalFormatting>
  <conditionalFormatting sqref="DG2">
    <cfRule type="cellIs" dxfId="312" priority="13" operator="equal">
      <formula>#N/A</formula>
    </cfRule>
  </conditionalFormatting>
  <conditionalFormatting sqref="DH2:DI2">
    <cfRule type="cellIs" dxfId="311" priority="12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17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71</v>
      </c>
      <c r="B3" s="56"/>
      <c r="C3" s="55"/>
      <c r="D3" s="55" t="s">
        <v>204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17" t="s">
        <v>25</v>
      </c>
      <c r="B4" s="118" t="s">
        <v>18</v>
      </c>
      <c r="C4" s="118" t="s">
        <v>67</v>
      </c>
      <c r="D4" s="118" t="s">
        <v>19</v>
      </c>
      <c r="E4" s="118" t="s">
        <v>68</v>
      </c>
      <c r="F4" s="118" t="s">
        <v>69</v>
      </c>
      <c r="G4" s="119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91" priority="10" operator="equal">
      <formula>#N/A</formula>
    </cfRule>
  </conditionalFormatting>
  <conditionalFormatting sqref="H1">
    <cfRule type="cellIs" dxfId="290" priority="9" operator="equal">
      <formula>#N/A</formula>
    </cfRule>
  </conditionalFormatting>
  <conditionalFormatting sqref="E1">
    <cfRule type="cellIs" dxfId="289" priority="8" operator="equal">
      <formula>#N/A</formula>
    </cfRule>
  </conditionalFormatting>
  <conditionalFormatting sqref="I1">
    <cfRule type="containsText" dxfId="288" priority="6" operator="containsText" text="All Data Import Successfully">
      <formula>NOT(ISERROR(SEARCH("All Data Import Successfully",I1)))</formula>
    </cfRule>
    <cfRule type="containsText" dxfId="287" priority="7" operator="containsText" text="Difference Entry">
      <formula>NOT(ISERROR(SEARCH("Difference Entry",I1)))</formula>
    </cfRule>
  </conditionalFormatting>
  <conditionalFormatting sqref="DG2">
    <cfRule type="cellIs" dxfId="286" priority="5" operator="equal">
      <formula>#N/A</formula>
    </cfRule>
  </conditionalFormatting>
  <conditionalFormatting sqref="DH2:DI2">
    <cfRule type="cellIs" dxfId="285" priority="4" operator="equal">
      <formula>#N/A</formula>
    </cfRule>
  </conditionalFormatting>
  <conditionalFormatting sqref="E2:G2">
    <cfRule type="cellIs" dxfId="284" priority="3" operator="equal">
      <formula>#N/A</formula>
    </cfRule>
  </conditionalFormatting>
  <conditionalFormatting sqref="H2">
    <cfRule type="cellIs" dxfId="283" priority="2" operator="equal">
      <formula>#N/A</formula>
    </cfRule>
  </conditionalFormatting>
  <conditionalFormatting sqref="I2">
    <cfRule type="cellIs" dxfId="28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1" sqref="C2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170</v>
      </c>
      <c r="V1" s="92" t="s">
        <v>170</v>
      </c>
      <c r="W1" s="92" t="s">
        <v>202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 t="s">
        <v>416</v>
      </c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46</v>
      </c>
      <c r="B4" s="104" t="s">
        <v>17</v>
      </c>
      <c r="C4" s="104" t="s">
        <v>18</v>
      </c>
      <c r="D4" s="104" t="s">
        <v>19</v>
      </c>
      <c r="E4" s="104" t="s">
        <v>47</v>
      </c>
      <c r="F4" s="104" t="s">
        <v>48</v>
      </c>
      <c r="G4" s="104" t="s">
        <v>49</v>
      </c>
      <c r="H4" s="104" t="s">
        <v>50</v>
      </c>
      <c r="I4" s="104" t="s">
        <v>31</v>
      </c>
      <c r="J4" s="53"/>
      <c r="DA4" s="38" t="str">
        <f>+DA3</f>
        <v>IDBI Bank A/c.</v>
      </c>
    </row>
  </sheetData>
  <sheetProtection algorithmName="SHA-512" hashValue="vzwgGe+jq6Uv1XgiiuuMgAKz8EnRBQHxGkjs7ca6jvq9ap0u1IvuDLay0LP3l3GOIld3WFdv6+tvn7lQ6fSZdQ==" saltValue="4zG9PDYfgOVaCsbXKSPw5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81" priority="18" operator="equal">
      <formula>#N/A</formula>
    </cfRule>
  </conditionalFormatting>
  <conditionalFormatting sqref="DG2">
    <cfRule type="cellIs" dxfId="280" priority="13" operator="equal">
      <formula>#N/A</formula>
    </cfRule>
  </conditionalFormatting>
  <conditionalFormatting sqref="DH2:DI2">
    <cfRule type="cellIs" dxfId="279" priority="12" operator="equal">
      <formula>#N/A</formula>
    </cfRule>
  </conditionalFormatting>
  <conditionalFormatting sqref="I1:I2">
    <cfRule type="cellIs" dxfId="278" priority="8" operator="equal">
      <formula>#N/A</formula>
    </cfRule>
  </conditionalFormatting>
  <conditionalFormatting sqref="H1">
    <cfRule type="cellIs" dxfId="277" priority="7" operator="equal">
      <formula>#N/A</formula>
    </cfRule>
  </conditionalFormatting>
  <conditionalFormatting sqref="E1">
    <cfRule type="cellIs" dxfId="276" priority="6" operator="equal">
      <formula>#N/A</formula>
    </cfRule>
  </conditionalFormatting>
  <conditionalFormatting sqref="I1">
    <cfRule type="containsText" dxfId="275" priority="4" operator="containsText" text="All Data Import Successfully">
      <formula>NOT(ISERROR(SEARCH("All Data Import Successfully",I1)))</formula>
    </cfRule>
    <cfRule type="containsText" dxfId="274" priority="5" operator="containsText" text="Difference Entry">
      <formula>NOT(ISERROR(SEARCH("Difference Entry",I1)))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workbookViewId="0">
      <selection activeCell="E17" sqref="E1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90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3" customFormat="1" ht="15.75" thickBot="1">
      <c r="A4" s="300" t="s">
        <v>82</v>
      </c>
      <c r="B4" s="301" t="s">
        <v>83</v>
      </c>
      <c r="C4" s="301" t="s">
        <v>84</v>
      </c>
      <c r="D4" s="301" t="s">
        <v>85</v>
      </c>
      <c r="E4" s="301" t="s">
        <v>86</v>
      </c>
      <c r="F4" s="302" t="s">
        <v>87</v>
      </c>
      <c r="G4" s="301" t="s">
        <v>88</v>
      </c>
      <c r="H4" s="303" t="s">
        <v>89</v>
      </c>
      <c r="DA4" s="44" t="str">
        <f>+DA3</f>
        <v>Bandhan Bank</v>
      </c>
    </row>
  </sheetData>
  <sheetProtection algorithmName="SHA-512" hashValue="NxXuzJZFrzslz4d8sMdPLJhLgfuIOKFEcE0/Z8nGm9odJfGga4Gy0S/lEsQWi9Typ2dulaaQpw9ww3IWFnIA/A==" saltValue="cMfTVqFFqcCZBEQAWg39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70" priority="10" operator="equal">
      <formula>#N/A</formula>
    </cfRule>
  </conditionalFormatting>
  <conditionalFormatting sqref="H1">
    <cfRule type="cellIs" dxfId="269" priority="9" operator="equal">
      <formula>#N/A</formula>
    </cfRule>
  </conditionalFormatting>
  <conditionalFormatting sqref="E1">
    <cfRule type="cellIs" dxfId="268" priority="8" operator="equal">
      <formula>#N/A</formula>
    </cfRule>
  </conditionalFormatting>
  <conditionalFormatting sqref="I1">
    <cfRule type="containsText" dxfId="267" priority="6" operator="containsText" text="All Data Import Successfully">
      <formula>NOT(ISERROR(SEARCH("All Data Import Successfully",I1)))</formula>
    </cfRule>
    <cfRule type="containsText" dxfId="266" priority="7" operator="containsText" text="Difference Entry">
      <formula>NOT(ISERROR(SEARCH("Difference Entry",I1)))</formula>
    </cfRule>
  </conditionalFormatting>
  <conditionalFormatting sqref="DG2">
    <cfRule type="cellIs" dxfId="265" priority="5" operator="equal">
      <formula>#N/A</formula>
    </cfRule>
  </conditionalFormatting>
  <conditionalFormatting sqref="DH2:DI2">
    <cfRule type="cellIs" dxfId="264" priority="4" operator="equal">
      <formula>#N/A</formula>
    </cfRule>
  </conditionalFormatting>
  <conditionalFormatting sqref="E2:G2">
    <cfRule type="cellIs" dxfId="263" priority="3" operator="equal">
      <formula>#N/A</formula>
    </cfRule>
  </conditionalFormatting>
  <conditionalFormatting sqref="H2">
    <cfRule type="cellIs" dxfId="262" priority="2" operator="equal">
      <formula>#N/A</formula>
    </cfRule>
  </conditionalFormatting>
  <conditionalFormatting sqref="I2">
    <cfRule type="cellIs" dxfId="26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186</v>
      </c>
      <c r="T1" s="92">
        <v>8</v>
      </c>
      <c r="U1" s="92" t="s">
        <v>172</v>
      </c>
      <c r="V1" s="92" t="s">
        <v>173</v>
      </c>
      <c r="W1" s="92" t="s">
        <v>168</v>
      </c>
      <c r="X1" s="99" t="s">
        <v>6</v>
      </c>
      <c r="Y1" s="99">
        <v>1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6" t="s">
        <v>18</v>
      </c>
      <c r="B4" s="106" t="s">
        <v>72</v>
      </c>
      <c r="C4" s="106" t="s">
        <v>73</v>
      </c>
      <c r="D4" s="106" t="s">
        <v>19</v>
      </c>
      <c r="E4" s="106" t="s">
        <v>74</v>
      </c>
      <c r="F4" s="106" t="s">
        <v>75</v>
      </c>
      <c r="G4" s="106" t="s">
        <v>76</v>
      </c>
      <c r="H4" s="106" t="s">
        <v>11</v>
      </c>
      <c r="DA4" s="38" t="str">
        <f>+DA3</f>
        <v>Indian Bank</v>
      </c>
    </row>
  </sheetData>
  <sheetProtection algorithmName="SHA-512" hashValue="JPhDaHCdFckQouANkMlmRGMi1t/cxLOm4g5EAfcooIdW1Ow/6guXLQw8ggLZdng+ukOkuTHHDZpQ7zAuc9nCWQ==" saltValue="rzqWa91/B2jqlTAo0j6k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60" priority="18" operator="equal">
      <formula>#N/A</formula>
    </cfRule>
  </conditionalFormatting>
  <conditionalFormatting sqref="DG2">
    <cfRule type="cellIs" dxfId="259" priority="13" operator="equal">
      <formula>#N/A</formula>
    </cfRule>
  </conditionalFormatting>
  <conditionalFormatting sqref="DH2:DI2">
    <cfRule type="cellIs" dxfId="258" priority="12" operator="equal">
      <formula>#N/A</formula>
    </cfRule>
  </conditionalFormatting>
  <conditionalFormatting sqref="I1:I2">
    <cfRule type="cellIs" dxfId="257" priority="8" operator="equal">
      <formula>#N/A</formula>
    </cfRule>
  </conditionalFormatting>
  <conditionalFormatting sqref="H1">
    <cfRule type="cellIs" dxfId="256" priority="7" operator="equal">
      <formula>#N/A</formula>
    </cfRule>
  </conditionalFormatting>
  <conditionalFormatting sqref="E1">
    <cfRule type="cellIs" dxfId="255" priority="6" operator="equal">
      <formula>#N/A</formula>
    </cfRule>
  </conditionalFormatting>
  <conditionalFormatting sqref="I1">
    <cfRule type="containsText" dxfId="254" priority="4" operator="containsText" text="All Data Import Successfully">
      <formula>NOT(ISERROR(SEARCH("All Data Import Successfully",I1)))</formula>
    </cfRule>
    <cfRule type="containsText" dxfId="253" priority="5" operator="containsText" text="Difference Entry">
      <formula>NOT(ISERROR(SEARCH("Difference Entry",I1)))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 t="s">
        <v>205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4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206</v>
      </c>
      <c r="T1" s="92">
        <v>8</v>
      </c>
      <c r="U1" s="92" t="s">
        <v>173</v>
      </c>
      <c r="V1" s="92" t="s">
        <v>173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116</v>
      </c>
      <c r="B3" s="56"/>
      <c r="C3" s="55"/>
      <c r="D3" s="55" t="s">
        <v>207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0" t="s">
        <v>25</v>
      </c>
      <c r="B4" s="292" t="s">
        <v>117</v>
      </c>
      <c r="C4" s="292"/>
      <c r="D4" s="121" t="s">
        <v>118</v>
      </c>
      <c r="E4" s="121" t="s">
        <v>18</v>
      </c>
      <c r="F4" s="122" t="s">
        <v>119</v>
      </c>
      <c r="G4" s="122" t="s">
        <v>120</v>
      </c>
      <c r="H4" s="123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288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289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7" t="s">
        <v>32</v>
      </c>
      <c r="B4" s="197" t="s">
        <v>290</v>
      </c>
      <c r="C4" s="293" t="s">
        <v>125</v>
      </c>
      <c r="D4" s="294"/>
      <c r="E4" s="197" t="s">
        <v>291</v>
      </c>
      <c r="F4" s="197" t="s">
        <v>292</v>
      </c>
      <c r="G4" s="197" t="s">
        <v>68</v>
      </c>
      <c r="H4" s="197" t="s">
        <v>69</v>
      </c>
      <c r="I4" s="198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27" priority="11" operator="equal">
      <formula>#N/A</formula>
    </cfRule>
  </conditionalFormatting>
  <conditionalFormatting sqref="DH2:DI2">
    <cfRule type="cellIs" dxfId="226" priority="10" operator="equal">
      <formula>#N/A</formula>
    </cfRule>
  </conditionalFormatting>
  <conditionalFormatting sqref="I1:I2">
    <cfRule type="cellIs" dxfId="225" priority="9" operator="equal">
      <formula>#N/A</formula>
    </cfRule>
  </conditionalFormatting>
  <conditionalFormatting sqref="H1">
    <cfRule type="cellIs" dxfId="224" priority="8" operator="equal">
      <formula>#N/A</formula>
    </cfRule>
  </conditionalFormatting>
  <conditionalFormatting sqref="E1">
    <cfRule type="cellIs" dxfId="223" priority="7" operator="equal">
      <formula>#N/A</formula>
    </cfRule>
  </conditionalFormatting>
  <conditionalFormatting sqref="I1">
    <cfRule type="containsText" dxfId="222" priority="5" operator="containsText" text="All Data Import Successfully">
      <formula>NOT(ISERROR(SEARCH("All Data Import Successfully",I1)))</formula>
    </cfRule>
    <cfRule type="containsText" dxfId="221" priority="6" operator="containsText" text="Difference Entry">
      <formula>NOT(ISERROR(SEARCH("Difference Entry",I1)))</formula>
    </cfRule>
  </conditionalFormatting>
  <conditionalFormatting sqref="E2:G2">
    <cfRule type="cellIs" dxfId="220" priority="4" operator="equal">
      <formula>#N/A</formula>
    </cfRule>
  </conditionalFormatting>
  <conditionalFormatting sqref="H2">
    <cfRule type="cellIs" dxfId="219" priority="3" operator="equal">
      <formula>#N/A</formula>
    </cfRule>
  </conditionalFormatting>
  <conditionalFormatting sqref="I2">
    <cfRule type="cellIs" dxfId="218" priority="2" operator="equal">
      <formula>0</formula>
    </cfRule>
  </conditionalFormatting>
  <conditionalFormatting sqref="E3">
    <cfRule type="cellIs" dxfId="217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63</v>
      </c>
      <c r="B3" s="56"/>
      <c r="C3" s="55"/>
      <c r="D3" s="55" t="s">
        <v>335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16" priority="18" operator="equal">
      <formula>#N/A</formula>
    </cfRule>
  </conditionalFormatting>
  <conditionalFormatting sqref="DG2">
    <cfRule type="cellIs" dxfId="215" priority="13" operator="equal">
      <formula>#N/A</formula>
    </cfRule>
  </conditionalFormatting>
  <conditionalFormatting sqref="DH2:DI2">
    <cfRule type="cellIs" dxfId="214" priority="12" operator="equal">
      <formula>#N/A</formula>
    </cfRule>
  </conditionalFormatting>
  <conditionalFormatting sqref="I1:I2">
    <cfRule type="cellIs" dxfId="213" priority="8" operator="equal">
      <formula>#N/A</formula>
    </cfRule>
  </conditionalFormatting>
  <conditionalFormatting sqref="H1">
    <cfRule type="cellIs" dxfId="212" priority="7" operator="equal">
      <formula>#N/A</formula>
    </cfRule>
  </conditionalFormatting>
  <conditionalFormatting sqref="E1">
    <cfRule type="cellIs" dxfId="211" priority="6" operator="equal">
      <formula>#N/A</formula>
    </cfRule>
  </conditionalFormatting>
  <conditionalFormatting sqref="I1">
    <cfRule type="containsText" dxfId="210" priority="4" operator="containsText" text="All Data Import Successfully">
      <formula>NOT(ISERROR(SEARCH("All Data Import Successfully",I1)))</formula>
    </cfRule>
    <cfRule type="containsText" dxfId="209" priority="5" operator="containsText" text="Difference Entry">
      <formula>NOT(ISERROR(SEARCH("Difference Entry",I1)))</formula>
    </cfRule>
  </conditionalFormatting>
  <conditionalFormatting sqref="E2:G2">
    <cfRule type="cellIs" dxfId="208" priority="3" operator="equal">
      <formula>#N/A</formula>
    </cfRule>
  </conditionalFormatting>
  <conditionalFormatting sqref="H2">
    <cfRule type="cellIs" dxfId="207" priority="2" operator="equal">
      <formula>#N/A</formula>
    </cfRule>
  </conditionalFormatting>
  <conditionalFormatting sqref="I2">
    <cfRule type="cellIs" dxfId="20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7</v>
      </c>
      <c r="U1" s="92" t="s">
        <v>172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103</v>
      </c>
      <c r="B3" s="56"/>
      <c r="C3" s="55"/>
      <c r="D3" s="55" t="s">
        <v>209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104</v>
      </c>
      <c r="B4" s="125" t="s">
        <v>17</v>
      </c>
      <c r="C4" s="125" t="s">
        <v>19</v>
      </c>
      <c r="D4" s="125" t="s">
        <v>105</v>
      </c>
      <c r="E4" s="125" t="s">
        <v>106</v>
      </c>
      <c r="F4" s="125" t="s">
        <v>107</v>
      </c>
      <c r="G4" s="126" t="s">
        <v>108</v>
      </c>
      <c r="DA4" s="38" t="str">
        <f>+DA3</f>
        <v>Bank of India A/c.</v>
      </c>
      <c r="DD4" s="50"/>
      <c r="DE4" s="50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196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7" t="s">
        <v>32</v>
      </c>
      <c r="B4" s="67" t="s">
        <v>147</v>
      </c>
      <c r="C4" s="67" t="s">
        <v>148</v>
      </c>
      <c r="D4" s="67" t="s">
        <v>68</v>
      </c>
      <c r="E4" s="67" t="s">
        <v>69</v>
      </c>
      <c r="F4" s="67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5" t="s">
        <v>72</v>
      </c>
      <c r="B4" s="65" t="s">
        <v>18</v>
      </c>
      <c r="C4" s="65" t="s">
        <v>145</v>
      </c>
      <c r="D4" s="65" t="s">
        <v>137</v>
      </c>
      <c r="E4" s="65" t="s">
        <v>146</v>
      </c>
      <c r="F4" s="65" t="s">
        <v>100</v>
      </c>
      <c r="G4" s="65" t="s">
        <v>22</v>
      </c>
      <c r="H4" s="65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83" priority="10" operator="equal">
      <formula>#N/A</formula>
    </cfRule>
  </conditionalFormatting>
  <conditionalFormatting sqref="H1">
    <cfRule type="cellIs" dxfId="182" priority="9" operator="equal">
      <formula>#N/A</formula>
    </cfRule>
  </conditionalFormatting>
  <conditionalFormatting sqref="E1">
    <cfRule type="cellIs" dxfId="181" priority="8" operator="equal">
      <formula>#N/A</formula>
    </cfRule>
  </conditionalFormatting>
  <conditionalFormatting sqref="I1">
    <cfRule type="containsText" dxfId="180" priority="6" operator="containsText" text="All Data Import Successfully">
      <formula>NOT(ISERROR(SEARCH("All Data Import Successfully",I1)))</formula>
    </cfRule>
    <cfRule type="containsText" dxfId="179" priority="7" operator="containsText" text="Difference Entry">
      <formula>NOT(ISERROR(SEARCH("Difference Entry",I1)))</formula>
    </cfRule>
  </conditionalFormatting>
  <conditionalFormatting sqref="DG2">
    <cfRule type="cellIs" dxfId="178" priority="5" operator="equal">
      <formula>#N/A</formula>
    </cfRule>
  </conditionalFormatting>
  <conditionalFormatting sqref="DH2:DI2">
    <cfRule type="cellIs" dxfId="177" priority="4" operator="equal">
      <formula>#N/A</formula>
    </cfRule>
  </conditionalFormatting>
  <conditionalFormatting sqref="E2:G2">
    <cfRule type="cellIs" dxfId="176" priority="3" operator="equal">
      <formula>#N/A</formula>
    </cfRule>
  </conditionalFormatting>
  <conditionalFormatting sqref="H2">
    <cfRule type="cellIs" dxfId="175" priority="2" operator="equal">
      <formula>#N/A</formula>
    </cfRule>
  </conditionalFormatting>
  <conditionalFormatting sqref="I2">
    <cfRule type="cellIs" dxfId="1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5"/>
      <c r="C4" s="45" t="s">
        <v>52</v>
      </c>
      <c r="D4" s="45"/>
      <c r="E4" s="45"/>
      <c r="F4" s="45"/>
      <c r="G4" s="45"/>
      <c r="H4" s="295" t="s">
        <v>53</v>
      </c>
      <c r="I4" s="295"/>
      <c r="J4" s="45"/>
      <c r="K4" s="45" t="s">
        <v>54</v>
      </c>
      <c r="L4" s="45"/>
      <c r="M4" s="45"/>
      <c r="N4" s="45"/>
      <c r="O4" s="45"/>
      <c r="P4" s="45"/>
      <c r="Q4" s="45" t="s">
        <v>55</v>
      </c>
      <c r="R4" s="45"/>
      <c r="S4" s="45"/>
      <c r="T4" s="45" t="s">
        <v>56</v>
      </c>
      <c r="U4" s="41"/>
      <c r="V4" s="45"/>
      <c r="W4" s="45"/>
      <c r="X4" s="45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73" priority="10" operator="equal">
      <formula>#N/A</formula>
    </cfRule>
  </conditionalFormatting>
  <conditionalFormatting sqref="H1">
    <cfRule type="cellIs" dxfId="172" priority="9" operator="equal">
      <formula>#N/A</formula>
    </cfRule>
  </conditionalFormatting>
  <conditionalFormatting sqref="E1">
    <cfRule type="cellIs" dxfId="171" priority="8" operator="equal">
      <formula>#N/A</formula>
    </cfRule>
  </conditionalFormatting>
  <conditionalFormatting sqref="I1">
    <cfRule type="containsText" dxfId="170" priority="6" operator="containsText" text="All Data Import Successfully">
      <formula>NOT(ISERROR(SEARCH("All Data Import Successfully",I1)))</formula>
    </cfRule>
    <cfRule type="containsText" dxfId="169" priority="7" operator="containsText" text="Difference Entry">
      <formula>NOT(ISERROR(SEARCH("Difference Entry",I1)))</formula>
    </cfRule>
  </conditionalFormatting>
  <conditionalFormatting sqref="DG2">
    <cfRule type="cellIs" dxfId="168" priority="5" operator="equal">
      <formula>#N/A</formula>
    </cfRule>
  </conditionalFormatting>
  <conditionalFormatting sqref="DH2:DI2">
    <cfRule type="cellIs" dxfId="167" priority="4" operator="equal">
      <formula>#N/A</formula>
    </cfRule>
  </conditionalFormatting>
  <conditionalFormatting sqref="E2:G2">
    <cfRule type="cellIs" dxfId="166" priority="3" operator="equal">
      <formula>#N/A</formula>
    </cfRule>
  </conditionalFormatting>
  <conditionalFormatting sqref="H2">
    <cfRule type="cellIs" dxfId="165" priority="2" operator="equal">
      <formula>#N/A</formula>
    </cfRule>
  </conditionalFormatting>
  <conditionalFormatting sqref="I2">
    <cfRule type="cellIs" dxfId="16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6" t="s">
        <v>51</v>
      </c>
      <c r="B4" s="46"/>
      <c r="C4" s="46"/>
      <c r="D4" s="46" t="s">
        <v>52</v>
      </c>
      <c r="E4" s="46"/>
      <c r="F4" s="46"/>
      <c r="G4" s="46"/>
      <c r="H4" s="296" t="s">
        <v>53</v>
      </c>
      <c r="I4" s="296"/>
      <c r="J4" s="46"/>
      <c r="K4" s="46"/>
      <c r="L4" s="46" t="s">
        <v>54</v>
      </c>
      <c r="M4" s="46"/>
      <c r="N4" s="46"/>
      <c r="O4" s="46"/>
      <c r="P4" s="46"/>
      <c r="Q4" s="46" t="s">
        <v>55</v>
      </c>
      <c r="R4" s="46"/>
      <c r="S4" s="46"/>
      <c r="T4" s="46"/>
      <c r="U4" s="47"/>
      <c r="V4" s="46"/>
      <c r="W4" s="46" t="s">
        <v>56</v>
      </c>
      <c r="X4" s="46"/>
      <c r="DA4" s="48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3" priority="10" operator="equal">
      <formula>#N/A</formula>
    </cfRule>
  </conditionalFormatting>
  <conditionalFormatting sqref="H1">
    <cfRule type="cellIs" dxfId="162" priority="9" operator="equal">
      <formula>#N/A</formula>
    </cfRule>
  </conditionalFormatting>
  <conditionalFormatting sqref="E1">
    <cfRule type="cellIs" dxfId="161" priority="8" operator="equal">
      <formula>#N/A</formula>
    </cfRule>
  </conditionalFormatting>
  <conditionalFormatting sqref="I1">
    <cfRule type="containsText" dxfId="160" priority="6" operator="containsText" text="All Data Import Successfully">
      <formula>NOT(ISERROR(SEARCH("All Data Import Successfully",I1)))</formula>
    </cfRule>
    <cfRule type="containsText" dxfId="159" priority="7" operator="containsText" text="Difference Entry">
      <formula>NOT(ISERROR(SEARCH("Difference Entry",I1)))</formula>
    </cfRule>
  </conditionalFormatting>
  <conditionalFormatting sqref="DG2">
    <cfRule type="cellIs" dxfId="158" priority="5" operator="equal">
      <formula>#N/A</formula>
    </cfRule>
  </conditionalFormatting>
  <conditionalFormatting sqref="DH2:DI2">
    <cfRule type="cellIs" dxfId="157" priority="4" operator="equal">
      <formula>#N/A</formula>
    </cfRule>
  </conditionalFormatting>
  <conditionalFormatting sqref="E2:G2">
    <cfRule type="cellIs" dxfId="156" priority="3" operator="equal">
      <formula>#N/A</formula>
    </cfRule>
  </conditionalFormatting>
  <conditionalFormatting sqref="H2">
    <cfRule type="cellIs" dxfId="155" priority="2" operator="equal">
      <formula>#N/A</formula>
    </cfRule>
  </conditionalFormatting>
  <conditionalFormatting sqref="I2">
    <cfRule type="cellIs" dxfId="15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183</v>
      </c>
      <c r="T1" s="92">
        <v>6</v>
      </c>
      <c r="U1" s="92" t="s">
        <v>184</v>
      </c>
      <c r="V1" s="92" t="s">
        <v>184</v>
      </c>
      <c r="W1" s="92" t="s">
        <v>181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127</v>
      </c>
      <c r="B3" s="56"/>
      <c r="C3" s="55"/>
      <c r="D3" s="55" t="s">
        <v>185</v>
      </c>
      <c r="E3" s="57"/>
      <c r="F3" s="55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124</v>
      </c>
      <c r="C4" s="104" t="s">
        <v>80</v>
      </c>
      <c r="D4" s="104" t="s">
        <v>95</v>
      </c>
      <c r="E4" s="104" t="s">
        <v>11</v>
      </c>
      <c r="F4" s="10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53" priority="18" operator="equal">
      <formula>#N/A</formula>
    </cfRule>
  </conditionalFormatting>
  <conditionalFormatting sqref="DG2">
    <cfRule type="cellIs" dxfId="152" priority="13" operator="equal">
      <formula>#N/A</formula>
    </cfRule>
  </conditionalFormatting>
  <conditionalFormatting sqref="DH2:DI2">
    <cfRule type="cellIs" dxfId="151" priority="12" operator="equal">
      <formula>#N/A</formula>
    </cfRule>
  </conditionalFormatting>
  <conditionalFormatting sqref="I1:I2">
    <cfRule type="cellIs" dxfId="150" priority="8" operator="equal">
      <formula>#N/A</formula>
    </cfRule>
  </conditionalFormatting>
  <conditionalFormatting sqref="H1">
    <cfRule type="cellIs" dxfId="149" priority="7" operator="equal">
      <formula>#N/A</formula>
    </cfRule>
  </conditionalFormatting>
  <conditionalFormatting sqref="E1">
    <cfRule type="cellIs" dxfId="148" priority="6" operator="equal">
      <formula>#N/A</formula>
    </cfRule>
  </conditionalFormatting>
  <conditionalFormatting sqref="I1">
    <cfRule type="containsText" dxfId="147" priority="4" operator="containsText" text="All Data Import Successfully">
      <formula>NOT(ISERROR(SEARCH("All Data Import Successfully",I1)))</formula>
    </cfRule>
    <cfRule type="containsText" dxfId="146" priority="5" operator="containsText" text="Difference Entry">
      <formula>NOT(ISERROR(SEARCH("Difference Entry",I1)))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2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4" t="s">
        <v>127</v>
      </c>
      <c r="B3" s="56"/>
      <c r="C3" s="55"/>
      <c r="D3" s="55"/>
      <c r="E3" s="204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1" t="str">
        <f>+$A$3</f>
        <v>PNB A/c.</v>
      </c>
      <c r="DB3" s="222">
        <f>VALUE(C3)</f>
        <v>0</v>
      </c>
      <c r="DC3" s="223" t="e">
        <f>+CONCATENATE(TEXT(DB3,"D"),"",TEXT(DB3,"MM"),"","/",SUBSTITUTE(DF3,",",""),"/",DK3)</f>
        <v>#VALUE!</v>
      </c>
      <c r="DD3" s="224">
        <f>IF(I3="",VALUE("0"),VALUE(SUBSTITUTE((I3),",","")))</f>
        <v>0</v>
      </c>
      <c r="DE3" s="224">
        <f>IF(J3="",VALUE("0"),VALUE(SUBSTITUTE((J3),",","")))</f>
        <v>0</v>
      </c>
      <c r="DF3" s="224" t="e">
        <f>+VALUE(SUBSTITUTE(SUBSTITUTE(SUBSTITUTE((M3),",",""),"Cr.",""),"Dr.",""))</f>
        <v>#VALUE!</v>
      </c>
      <c r="DG3" s="22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6">
        <f>+DB3</f>
        <v>0</v>
      </c>
      <c r="DI3" s="226" t="str">
        <f>+IF(DE3=0,"Suspance Payment","Suspance Receipt")</f>
        <v>Suspance Payment</v>
      </c>
      <c r="DJ3" s="227">
        <f>+E3</f>
        <v>0</v>
      </c>
      <c r="DK3" s="22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5" t="s">
        <v>328</v>
      </c>
      <c r="B4" s="229"/>
      <c r="C4" s="229" t="s">
        <v>17</v>
      </c>
      <c r="D4" s="229"/>
      <c r="E4" s="230" t="s">
        <v>19</v>
      </c>
      <c r="F4" s="229"/>
      <c r="G4" s="229" t="s">
        <v>191</v>
      </c>
      <c r="H4" s="229" t="s">
        <v>74</v>
      </c>
      <c r="I4" s="229" t="s">
        <v>329</v>
      </c>
      <c r="J4" s="229" t="s">
        <v>330</v>
      </c>
      <c r="K4" s="229"/>
      <c r="L4" s="229"/>
      <c r="M4" s="229" t="s">
        <v>11</v>
      </c>
      <c r="N4" s="229"/>
      <c r="O4" s="229"/>
      <c r="P4" s="231" t="s">
        <v>331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1" operator="equal">
      <formula>#N/A</formula>
    </cfRule>
  </conditionalFormatting>
  <conditionalFormatting sqref="DG2">
    <cfRule type="cellIs" dxfId="141" priority="10" operator="equal">
      <formula>#N/A</formula>
    </cfRule>
  </conditionalFormatting>
  <conditionalFormatting sqref="DH2:DI2">
    <cfRule type="cellIs" dxfId="140" priority="9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31" priority="10" operator="equal">
      <formula>#N/A</formula>
    </cfRule>
  </conditionalFormatting>
  <conditionalFormatting sqref="H1">
    <cfRule type="cellIs" dxfId="130" priority="9" operator="equal">
      <formula>#N/A</formula>
    </cfRule>
  </conditionalFormatting>
  <conditionalFormatting sqref="E1">
    <cfRule type="cellIs" dxfId="129" priority="8" operator="equal">
      <formula>#N/A</formula>
    </cfRule>
  </conditionalFormatting>
  <conditionalFormatting sqref="I1">
    <cfRule type="containsText" dxfId="128" priority="6" operator="containsText" text="All Data Import Successfully">
      <formula>NOT(ISERROR(SEARCH("All Data Import Successfully",I1)))</formula>
    </cfRule>
    <cfRule type="containsText" dxfId="127" priority="7" operator="containsText" text="Difference Entry">
      <formula>NOT(ISERROR(SEARCH("Difference Entry",I1)))</formula>
    </cfRule>
  </conditionalFormatting>
  <conditionalFormatting sqref="DG2">
    <cfRule type="cellIs" dxfId="126" priority="5" operator="equal">
      <formula>#N/A</formula>
    </cfRule>
  </conditionalFormatting>
  <conditionalFormatting sqref="DH2:DI2">
    <cfRule type="cellIs" dxfId="125" priority="4" operator="equal">
      <formula>#N/A</formula>
    </cfRule>
  </conditionalFormatting>
  <conditionalFormatting sqref="E2:G2">
    <cfRule type="cellIs" dxfId="124" priority="3" operator="equal">
      <formula>#N/A</formula>
    </cfRule>
  </conditionalFormatting>
  <conditionalFormatting sqref="H2">
    <cfRule type="cellIs" dxfId="123" priority="2" operator="equal">
      <formula>#N/A</formula>
    </cfRule>
  </conditionalFormatting>
  <conditionalFormatting sqref="I2">
    <cfRule type="cellIs" dxfId="12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1" t="s">
        <v>78</v>
      </c>
      <c r="B4" s="112" t="s">
        <v>39</v>
      </c>
      <c r="C4" s="297" t="s">
        <v>147</v>
      </c>
      <c r="D4" s="297"/>
      <c r="E4" s="112" t="s">
        <v>18</v>
      </c>
      <c r="F4" s="112" t="s">
        <v>152</v>
      </c>
      <c r="G4" s="112" t="s">
        <v>153</v>
      </c>
      <c r="H4" s="112" t="s">
        <v>154</v>
      </c>
      <c r="I4" s="112" t="s">
        <v>155</v>
      </c>
      <c r="J4" s="113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21" priority="23" operator="equal">
      <formula>#N/A</formula>
    </cfRule>
  </conditionalFormatting>
  <conditionalFormatting sqref="DG2">
    <cfRule type="cellIs" dxfId="120" priority="18" operator="equal">
      <formula>#N/A</formula>
    </cfRule>
  </conditionalFormatting>
  <conditionalFormatting sqref="DH2:DI2">
    <cfRule type="cellIs" dxfId="119" priority="17" operator="equal">
      <formula>#N/A</formula>
    </cfRule>
  </conditionalFormatting>
  <conditionalFormatting sqref="I1:I2">
    <cfRule type="cellIs" dxfId="118" priority="8" operator="equal">
      <formula>#N/A</formula>
    </cfRule>
  </conditionalFormatting>
  <conditionalFormatting sqref="H1">
    <cfRule type="cellIs" dxfId="117" priority="7" operator="equal">
      <formula>#N/A</formula>
    </cfRule>
  </conditionalFormatting>
  <conditionalFormatting sqref="E1">
    <cfRule type="cellIs" dxfId="116" priority="6" operator="equal">
      <formula>#N/A</formula>
    </cfRule>
  </conditionalFormatting>
  <conditionalFormatting sqref="I1">
    <cfRule type="containsText" dxfId="115" priority="4" operator="containsText" text="All Data Import Successfully">
      <formula>NOT(ISERROR(SEARCH("All Data Import Successfully",I1)))</formula>
    </cfRule>
    <cfRule type="containsText" dxfId="114" priority="5" operator="containsText" text="Difference Entry">
      <formula>NOT(ISERROR(SEARCH("Difference Entry",I1)))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49" t="s">
        <v>32</v>
      </c>
      <c r="B4" s="49" t="s">
        <v>33</v>
      </c>
      <c r="C4" s="49" t="s">
        <v>99</v>
      </c>
      <c r="D4" s="49" t="s">
        <v>100</v>
      </c>
      <c r="E4" s="49" t="s">
        <v>22</v>
      </c>
      <c r="F4" s="49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10" priority="10" operator="equal">
      <formula>#N/A</formula>
    </cfRule>
  </conditionalFormatting>
  <conditionalFormatting sqref="H1">
    <cfRule type="cellIs" dxfId="109" priority="9" operator="equal">
      <formula>#N/A</formula>
    </cfRule>
  </conditionalFormatting>
  <conditionalFormatting sqref="E1">
    <cfRule type="cellIs" dxfId="108" priority="8" operator="equal">
      <formula>#N/A</formula>
    </cfRule>
  </conditionalFormatting>
  <conditionalFormatting sqref="I1">
    <cfRule type="containsText" dxfId="107" priority="6" operator="containsText" text="All Data Import Successfully">
      <formula>NOT(ISERROR(SEARCH("All Data Import Successfully",I1)))</formula>
    </cfRule>
    <cfRule type="containsText" dxfId="106" priority="7" operator="containsText" text="Difference Entry">
      <formula>NOT(ISERROR(SEARCH("Difference Entry",I1)))</formula>
    </cfRule>
  </conditionalFormatting>
  <conditionalFormatting sqref="DG2">
    <cfRule type="cellIs" dxfId="105" priority="5" operator="equal">
      <formula>#N/A</formula>
    </cfRule>
  </conditionalFormatting>
  <conditionalFormatting sqref="DH2:DI2">
    <cfRule type="cellIs" dxfId="104" priority="4" operator="equal">
      <formula>#N/A</formula>
    </cfRule>
  </conditionalFormatting>
  <conditionalFormatting sqref="E2:G2">
    <cfRule type="cellIs" dxfId="103" priority="3" operator="equal">
      <formula>#N/A</formula>
    </cfRule>
  </conditionalFormatting>
  <conditionalFormatting sqref="H2">
    <cfRule type="cellIs" dxfId="102" priority="2" operator="equal">
      <formula>#N/A</formula>
    </cfRule>
  </conditionalFormatting>
  <conditionalFormatting sqref="I2">
    <cfRule type="cellIs" dxfId="1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6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150</v>
      </c>
      <c r="B3" s="56"/>
      <c r="C3" s="55"/>
      <c r="D3" s="55" t="s">
        <v>195</v>
      </c>
      <c r="E3" s="57"/>
      <c r="F3" s="55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4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00" priority="18" operator="equal">
      <formula>#N/A</formula>
    </cfRule>
  </conditionalFormatting>
  <conditionalFormatting sqref="DG2">
    <cfRule type="cellIs" dxfId="99" priority="13" operator="equal">
      <formula>#N/A</formula>
    </cfRule>
  </conditionalFormatting>
  <conditionalFormatting sqref="DH2:DI2">
    <cfRule type="cellIs" dxfId="98" priority="12" operator="equal">
      <formula>#N/A</formula>
    </cfRule>
  </conditionalFormatting>
  <conditionalFormatting sqref="I1:I2">
    <cfRule type="cellIs" dxfId="97" priority="8" operator="equal">
      <formula>#N/A</formula>
    </cfRule>
  </conditionalFormatting>
  <conditionalFormatting sqref="H1">
    <cfRule type="cellIs" dxfId="96" priority="7" operator="equal">
      <formula>#N/A</formula>
    </cfRule>
  </conditionalFormatting>
  <conditionalFormatting sqref="E1">
    <cfRule type="cellIs" dxfId="95" priority="6" operator="equal">
      <formula>#N/A</formula>
    </cfRule>
  </conditionalFormatting>
  <conditionalFormatting sqref="I1">
    <cfRule type="containsText" dxfId="94" priority="4" operator="containsText" text="All Data Import Successfully">
      <formula>NOT(ISERROR(SEARCH("All Data Import Successfully",I1)))</formula>
    </cfRule>
    <cfRule type="containsText" dxfId="93" priority="5" operator="containsText" text="Difference Entry">
      <formula>NOT(ISERROR(SEARCH("Difference Entry",I1)))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135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0" t="s">
        <v>128</v>
      </c>
      <c r="B4" s="61" t="s">
        <v>129</v>
      </c>
      <c r="C4" s="61"/>
      <c r="D4" s="61"/>
      <c r="E4" s="61" t="s">
        <v>130</v>
      </c>
      <c r="F4" s="61" t="s">
        <v>131</v>
      </c>
      <c r="G4" s="61" t="s">
        <v>132</v>
      </c>
      <c r="H4" s="61"/>
      <c r="I4" s="61" t="s">
        <v>133</v>
      </c>
      <c r="J4" s="62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89" priority="10" operator="equal">
      <formula>#N/A</formula>
    </cfRule>
  </conditionalFormatting>
  <conditionalFormatting sqref="H1">
    <cfRule type="cellIs" dxfId="88" priority="9" operator="equal">
      <formula>#N/A</formula>
    </cfRule>
  </conditionalFormatting>
  <conditionalFormatting sqref="E1">
    <cfRule type="cellIs" dxfId="87" priority="8" operator="equal">
      <formula>#N/A</formula>
    </cfRule>
  </conditionalFormatting>
  <conditionalFormatting sqref="I1">
    <cfRule type="containsText" dxfId="86" priority="6" operator="containsText" text="All Data Import Successfully">
      <formula>NOT(ISERROR(SEARCH("All Data Import Successfully",I1)))</formula>
    </cfRule>
    <cfRule type="containsText" dxfId="85" priority="7" operator="containsText" text="Difference Entry">
      <formula>NOT(ISERROR(SEARCH("Difference Entry",I1)))</formula>
    </cfRule>
  </conditionalFormatting>
  <conditionalFormatting sqref="DG2">
    <cfRule type="cellIs" dxfId="84" priority="5" operator="equal">
      <formula>#N/A</formula>
    </cfRule>
  </conditionalFormatting>
  <conditionalFormatting sqref="DH2:DI2">
    <cfRule type="cellIs" dxfId="83" priority="4" operator="equal">
      <formula>#N/A</formula>
    </cfRule>
  </conditionalFormatting>
  <conditionalFormatting sqref="E2:G2">
    <cfRule type="cellIs" dxfId="82" priority="3" operator="equal">
      <formula>#N/A</formula>
    </cfRule>
  </conditionalFormatting>
  <conditionalFormatting sqref="H2">
    <cfRule type="cellIs" dxfId="81" priority="2" operator="equal">
      <formula>#N/A</formula>
    </cfRule>
  </conditionalFormatting>
  <conditionalFormatting sqref="I2">
    <cfRule type="cellIs" dxfId="8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162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4" t="s">
        <v>32</v>
      </c>
      <c r="B4" s="82"/>
      <c r="C4" s="82" t="s">
        <v>157</v>
      </c>
      <c r="D4" s="82"/>
      <c r="E4" s="82"/>
      <c r="F4" s="82"/>
      <c r="G4" s="82"/>
      <c r="H4" s="82"/>
      <c r="I4" s="82"/>
      <c r="J4" s="82" t="s">
        <v>158</v>
      </c>
      <c r="K4" s="82"/>
      <c r="L4" s="82"/>
      <c r="M4" s="82" t="s">
        <v>159</v>
      </c>
      <c r="N4" s="82"/>
      <c r="O4" s="82" t="s">
        <v>160</v>
      </c>
      <c r="P4" s="82"/>
      <c r="Q4" s="82"/>
      <c r="R4" s="82"/>
      <c r="S4" s="82"/>
      <c r="T4" s="82"/>
      <c r="U4" s="82"/>
      <c r="V4" s="82" t="s">
        <v>161</v>
      </c>
      <c r="W4" s="82"/>
      <c r="X4" s="82"/>
      <c r="Y4" s="82"/>
      <c r="Z4" s="82"/>
      <c r="AA4" s="82" t="s">
        <v>11</v>
      </c>
      <c r="AB4" s="83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79" priority="10" operator="equal">
      <formula>#N/A</formula>
    </cfRule>
  </conditionalFormatting>
  <conditionalFormatting sqref="H1">
    <cfRule type="cellIs" dxfId="78" priority="9" operator="equal">
      <formula>#N/A</formula>
    </cfRule>
  </conditionalFormatting>
  <conditionalFormatting sqref="E1">
    <cfRule type="cellIs" dxfId="77" priority="8" operator="equal">
      <formula>#N/A</formula>
    </cfRule>
  </conditionalFormatting>
  <conditionalFormatting sqref="I1">
    <cfRule type="containsText" dxfId="76" priority="6" operator="containsText" text="All Data Import Successfully">
      <formula>NOT(ISERROR(SEARCH("All Data Import Successfully",I1)))</formula>
    </cfRule>
    <cfRule type="containsText" dxfId="75" priority="7" operator="containsText" text="Difference Entry">
      <formula>NOT(ISERROR(SEARCH("Difference Entry",I1)))</formula>
    </cfRule>
  </conditionalFormatting>
  <conditionalFormatting sqref="DG2">
    <cfRule type="cellIs" dxfId="74" priority="5" operator="equal">
      <formula>#N/A</formula>
    </cfRule>
  </conditionalFormatting>
  <conditionalFormatting sqref="DH2:DI2">
    <cfRule type="cellIs" dxfId="73" priority="4" operator="equal">
      <formula>#N/A</formula>
    </cfRule>
  </conditionalFormatting>
  <conditionalFormatting sqref="E2:G2">
    <cfRule type="cellIs" dxfId="72" priority="3" operator="equal">
      <formula>#N/A</formula>
    </cfRule>
  </conditionalFormatting>
  <conditionalFormatting sqref="H2">
    <cfRule type="cellIs" dxfId="71" priority="2" operator="equal">
      <formula>#N/A</formula>
    </cfRule>
  </conditionalFormatting>
  <conditionalFormatting sqref="I2">
    <cfRule type="cellIs" dxfId="7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172</v>
      </c>
      <c r="V1" s="92" t="s">
        <v>173</v>
      </c>
      <c r="W1" s="92" t="s">
        <v>168</v>
      </c>
      <c r="X1" s="99" t="s">
        <v>6</v>
      </c>
      <c r="Y1" s="99" t="s">
        <v>6</v>
      </c>
      <c r="Z1" s="9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98" t="s">
        <v>32</v>
      </c>
      <c r="B4" s="98" t="s">
        <v>18</v>
      </c>
      <c r="C4" s="98" t="s">
        <v>33</v>
      </c>
      <c r="D4" s="98" t="s">
        <v>99</v>
      </c>
      <c r="E4" s="98" t="s">
        <v>100</v>
      </c>
      <c r="F4" s="98" t="s">
        <v>22</v>
      </c>
      <c r="G4" s="98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69" priority="22" operator="equal">
      <formula>#N/A</formula>
    </cfRule>
  </conditionalFormatting>
  <conditionalFormatting sqref="DG2">
    <cfRule type="cellIs" dxfId="68" priority="17" operator="equal">
      <formula>#N/A</formula>
    </cfRule>
  </conditionalFormatting>
  <conditionalFormatting sqref="DH2:DI2">
    <cfRule type="cellIs" dxfId="67" priority="16" operator="equal">
      <formula>#N/A</formula>
    </cfRule>
  </conditionalFormatting>
  <conditionalFormatting sqref="I1">
    <cfRule type="cellIs" dxfId="66" priority="12" operator="equal">
      <formula>#N/A</formula>
    </cfRule>
  </conditionalFormatting>
  <conditionalFormatting sqref="H1">
    <cfRule type="cellIs" dxfId="65" priority="11" operator="equal">
      <formula>#N/A</formula>
    </cfRule>
  </conditionalFormatting>
  <conditionalFormatting sqref="E1">
    <cfRule type="cellIs" dxfId="64" priority="10" operator="equal">
      <formula>#N/A</formula>
    </cfRule>
  </conditionalFormatting>
  <conditionalFormatting sqref="I1">
    <cfRule type="containsText" dxfId="63" priority="8" operator="containsText" text="All Data Import Successfully">
      <formula>NOT(ISERROR(SEARCH("All Data Import Successfully",I1)))</formula>
    </cfRule>
    <cfRule type="containsText" dxfId="62" priority="9" operator="containsText" text="Difference Entry">
      <formula>NOT(ISERROR(SEARCH("Difference Entry",I1)))</formula>
    </cfRule>
  </conditionalFormatting>
  <conditionalFormatting sqref="I2">
    <cfRule type="cellIs" dxfId="61" priority="4" operator="equal">
      <formula>#N/A</formula>
    </cfRule>
  </conditionalFormatting>
  <conditionalFormatting sqref="E2:G2">
    <cfRule type="cellIs" dxfId="60" priority="3" operator="equal">
      <formula>#N/A</formula>
    </cfRule>
  </conditionalFormatting>
  <conditionalFormatting sqref="H2">
    <cfRule type="cellIs" dxfId="59" priority="2" operator="equal">
      <formula>#N/A</formula>
    </cfRule>
  </conditionalFormatting>
  <conditionalFormatting sqref="I2">
    <cfRule type="cellIs" dxfId="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8</v>
      </c>
      <c r="U1" s="92" t="s">
        <v>173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163</v>
      </c>
      <c r="B3" s="56"/>
      <c r="C3" s="55"/>
      <c r="D3" s="55" t="s">
        <v>211</v>
      </c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07" t="s">
        <v>25</v>
      </c>
      <c r="B4" s="108" t="s">
        <v>18</v>
      </c>
      <c r="C4" s="109"/>
      <c r="D4" s="110" t="s">
        <v>125</v>
      </c>
      <c r="E4" s="110" t="s">
        <v>137</v>
      </c>
      <c r="F4" s="110" t="s">
        <v>164</v>
      </c>
      <c r="G4" s="110" t="s">
        <v>165</v>
      </c>
      <c r="H4" s="108" t="s">
        <v>31</v>
      </c>
      <c r="I4" s="85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7" priority="18" operator="equal">
      <formula>#N/A</formula>
    </cfRule>
  </conditionalFormatting>
  <conditionalFormatting sqref="DG2">
    <cfRule type="cellIs" dxfId="56" priority="13" operator="equal">
      <formula>#N/A</formula>
    </cfRule>
  </conditionalFormatting>
  <conditionalFormatting sqref="DH2:DI2">
    <cfRule type="cellIs" dxfId="55" priority="12" operator="equal">
      <formula>#N/A</formula>
    </cfRule>
  </conditionalFormatting>
  <conditionalFormatting sqref="I1:I2">
    <cfRule type="cellIs" dxfId="54" priority="8" operator="equal">
      <formula>#N/A</formula>
    </cfRule>
  </conditionalFormatting>
  <conditionalFormatting sqref="H1">
    <cfRule type="cellIs" dxfId="53" priority="7" operator="equal">
      <formula>#N/A</formula>
    </cfRule>
  </conditionalFormatting>
  <conditionalFormatting sqref="E1">
    <cfRule type="cellIs" dxfId="52" priority="6" operator="equal">
      <formula>#N/A</formula>
    </cfRule>
  </conditionalFormatting>
  <conditionalFormatting sqref="I1">
    <cfRule type="containsText" dxfId="51" priority="4" operator="containsText" text="All Data Import Successfully">
      <formula>NOT(ISERROR(SEARCH("All Data Import Successfully",I1)))</formula>
    </cfRule>
    <cfRule type="containsText" dxfId="50" priority="5" operator="containsText" text="Difference Entry">
      <formula>NOT(ISERROR(SEARCH("Difference Entry",I1)))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/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215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2" t="s">
        <v>32</v>
      </c>
      <c r="B4" s="133"/>
      <c r="C4" s="133"/>
      <c r="D4" s="133"/>
      <c r="E4" s="133" t="s">
        <v>124</v>
      </c>
      <c r="F4" s="133"/>
      <c r="G4" s="133"/>
      <c r="H4" s="133"/>
      <c r="I4" s="133"/>
      <c r="J4" s="133" t="s">
        <v>80</v>
      </c>
      <c r="K4" s="133"/>
      <c r="L4" s="133"/>
      <c r="M4" s="133"/>
      <c r="N4" s="133"/>
      <c r="O4" s="13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5" t="e">
        <f>IF(G4="CR",VALUE("0"),VALUE(SUBSTITUTE((F4),",","")))</f>
        <v>#VALUE!</v>
      </c>
      <c r="DE4" s="135" t="e">
        <f>IF(G4="DR",VALUE("0"),VALUE(SUBSTITUTE((F4),",","")))</f>
        <v>#VALUE!</v>
      </c>
      <c r="DF4" s="13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6" t="e">
        <f>+VALUE(A4)</f>
        <v>#VALUE!</v>
      </c>
      <c r="DI4" s="66" t="e">
        <f>+IF(DE4=0,"Suspance Payment","Suspance Receipt")</f>
        <v>#VALUE!</v>
      </c>
      <c r="DJ4" s="25">
        <f>+C4</f>
        <v>0</v>
      </c>
      <c r="DK4" s="136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46" priority="11" operator="equal">
      <formula>#N/A</formula>
    </cfRule>
  </conditionalFormatting>
  <conditionalFormatting sqref="DG2">
    <cfRule type="cellIs" dxfId="45" priority="10" operator="equal">
      <formula>#N/A</formula>
    </cfRule>
  </conditionalFormatting>
  <conditionalFormatting sqref="DH2:DI2">
    <cfRule type="cellIs" dxfId="44" priority="9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340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342</v>
      </c>
      <c r="B3" s="56"/>
      <c r="C3" s="55"/>
      <c r="D3" s="55" t="s">
        <v>341</v>
      </c>
      <c r="E3" s="57"/>
      <c r="F3" s="55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336</v>
      </c>
      <c r="C4" s="101" t="s">
        <v>33</v>
      </c>
      <c r="D4" s="101" t="s">
        <v>337</v>
      </c>
      <c r="E4" s="101" t="s">
        <v>338</v>
      </c>
      <c r="F4" s="101" t="s">
        <v>339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419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418</v>
      </c>
      <c r="B3" s="56"/>
      <c r="C3" s="55"/>
      <c r="D3" s="55" t="s">
        <v>421</v>
      </c>
      <c r="E3" s="57"/>
      <c r="F3" s="55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3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4A94-46F0-4AB5-AD35-4EC537ECC85A}">
  <sheetPr codeName="Sheet61"/>
  <dimension ref="A1:DZ294"/>
  <sheetViews>
    <sheetView zoomScale="106" zoomScaleNormal="106" workbookViewId="0">
      <selection activeCell="C11" sqref="C11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0" width="24.7109375" style="6" customWidth="1"/>
    <col min="111" max="111" width="54.140625" style="6" bestFit="1" customWidth="1"/>
    <col min="112" max="113" width="24.7109375" style="6" customWidth="1"/>
    <col min="114" max="114" width="132" style="6" bestFit="1" customWidth="1"/>
    <col min="11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6</v>
      </c>
      <c r="U1" s="92" t="s">
        <v>184</v>
      </c>
      <c r="V1" s="92" t="s">
        <v>197</v>
      </c>
      <c r="W1" s="92" t="s">
        <v>181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434</v>
      </c>
      <c r="B3" s="56"/>
      <c r="C3" s="55"/>
      <c r="D3" s="55" t="s">
        <v>437</v>
      </c>
      <c r="E3" s="57"/>
      <c r="F3" s="55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Canara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IF(C3=" ",VALUE("0"),VALUE(SUBSTITUTE((C3),",","")))</f>
        <v>#VALUE!</v>
      </c>
      <c r="DE3" s="26" t="e">
        <f>IF(D3=" ",VALUE("0"),VALUE(SUBSTITUTE((D3),",","")))</f>
        <v>#VALUE!</v>
      </c>
      <c r="DF3" s="26" t="e">
        <f>IF(E3=" ","",VALUE(SUBSTITUTE((SUBSTITUTE((E3),"Cr","")),",","")))</f>
        <v>#VALUE!</v>
      </c>
      <c r="DG3" s="307" t="s">
        <v>6</v>
      </c>
      <c r="DH3" s="28" t="e">
        <f>+VALUE(A3)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304" t="s">
        <v>32</v>
      </c>
      <c r="B4" s="305" t="s">
        <v>435</v>
      </c>
      <c r="C4" s="305" t="s">
        <v>68</v>
      </c>
      <c r="D4" s="305" t="s">
        <v>69</v>
      </c>
      <c r="E4" s="305" t="s">
        <v>11</v>
      </c>
      <c r="F4" s="306" t="s">
        <v>125</v>
      </c>
      <c r="DA4" s="38" t="str">
        <f>+DA3</f>
        <v>Canara Bank</v>
      </c>
    </row>
    <row r="5" spans="1:130">
      <c r="DJ5" s="308"/>
    </row>
    <row r="6" spans="1:130">
      <c r="DJ6" s="308"/>
    </row>
    <row r="7" spans="1:130">
      <c r="DJ7" s="308"/>
    </row>
    <row r="8" spans="1:130">
      <c r="DJ8" s="308"/>
    </row>
    <row r="9" spans="1:130">
      <c r="DJ9" s="308"/>
    </row>
    <row r="10" spans="1:130">
      <c r="DJ10" s="308"/>
    </row>
    <row r="11" spans="1:130">
      <c r="DJ11" s="308"/>
    </row>
    <row r="12" spans="1:130">
      <c r="DJ12" s="308"/>
    </row>
    <row r="13" spans="1:130">
      <c r="DJ13" s="308"/>
    </row>
    <row r="14" spans="1:130">
      <c r="DJ14" s="308"/>
    </row>
    <row r="15" spans="1:130">
      <c r="DJ15" s="308"/>
    </row>
    <row r="16" spans="1:130">
      <c r="DJ16" s="308"/>
    </row>
    <row r="17" spans="114:114">
      <c r="DJ17" s="308"/>
    </row>
    <row r="18" spans="114:114">
      <c r="DJ18" s="308"/>
    </row>
    <row r="19" spans="114:114">
      <c r="DJ19" s="308"/>
    </row>
    <row r="20" spans="114:114">
      <c r="DJ20" s="308"/>
    </row>
    <row r="21" spans="114:114">
      <c r="DJ21" s="308"/>
    </row>
    <row r="22" spans="114:114">
      <c r="DJ22" s="308"/>
    </row>
    <row r="23" spans="114:114">
      <c r="DJ23" s="308"/>
    </row>
    <row r="24" spans="114:114">
      <c r="DJ24" s="308"/>
    </row>
    <row r="25" spans="114:114">
      <c r="DJ25" s="308"/>
    </row>
    <row r="26" spans="114:114">
      <c r="DJ26" s="308"/>
    </row>
    <row r="27" spans="114:114">
      <c r="DJ27" s="308"/>
    </row>
    <row r="28" spans="114:114">
      <c r="DJ28" s="308"/>
    </row>
    <row r="29" spans="114:114">
      <c r="DJ29" s="308"/>
    </row>
    <row r="30" spans="114:114">
      <c r="DJ30" s="308"/>
    </row>
    <row r="31" spans="114:114">
      <c r="DJ31" s="308"/>
    </row>
    <row r="32" spans="114:114">
      <c r="DJ32" s="308"/>
    </row>
    <row r="33" spans="114:114">
      <c r="DJ33" s="308"/>
    </row>
    <row r="34" spans="114:114">
      <c r="DJ34" s="308"/>
    </row>
    <row r="35" spans="114:114">
      <c r="DJ35" s="308"/>
    </row>
    <row r="36" spans="114:114">
      <c r="DJ36" s="308"/>
    </row>
    <row r="37" spans="114:114">
      <c r="DJ37" s="308"/>
    </row>
    <row r="38" spans="114:114">
      <c r="DJ38" s="308"/>
    </row>
    <row r="39" spans="114:114">
      <c r="DJ39" s="308"/>
    </row>
    <row r="40" spans="114:114">
      <c r="DJ40" s="308"/>
    </row>
    <row r="41" spans="114:114">
      <c r="DJ41" s="308"/>
    </row>
    <row r="42" spans="114:114">
      <c r="DJ42" s="308"/>
    </row>
    <row r="43" spans="114:114">
      <c r="DJ43" s="308"/>
    </row>
    <row r="44" spans="114:114">
      <c r="DJ44" s="308"/>
    </row>
    <row r="45" spans="114:114">
      <c r="DJ45" s="308"/>
    </row>
    <row r="46" spans="114:114">
      <c r="DJ46" s="308"/>
    </row>
    <row r="47" spans="114:114">
      <c r="DJ47" s="308"/>
    </row>
    <row r="48" spans="114:114">
      <c r="DJ48" s="308"/>
    </row>
    <row r="49" spans="114:114">
      <c r="DJ49" s="308"/>
    </row>
    <row r="50" spans="114:114">
      <c r="DJ50" s="308"/>
    </row>
    <row r="51" spans="114:114">
      <c r="DJ51" s="308"/>
    </row>
    <row r="52" spans="114:114">
      <c r="DJ52" s="308"/>
    </row>
    <row r="53" spans="114:114">
      <c r="DJ53" s="308"/>
    </row>
    <row r="54" spans="114:114">
      <c r="DJ54" s="308"/>
    </row>
    <row r="55" spans="114:114">
      <c r="DJ55" s="308"/>
    </row>
    <row r="56" spans="114:114">
      <c r="DJ56" s="308"/>
    </row>
    <row r="57" spans="114:114">
      <c r="DJ57" s="308"/>
    </row>
    <row r="58" spans="114:114">
      <c r="DJ58" s="308"/>
    </row>
    <row r="59" spans="114:114">
      <c r="DJ59" s="308"/>
    </row>
    <row r="60" spans="114:114">
      <c r="DJ60" s="308"/>
    </row>
    <row r="61" spans="114:114">
      <c r="DJ61" s="308"/>
    </row>
    <row r="62" spans="114:114">
      <c r="DJ62" s="308"/>
    </row>
    <row r="63" spans="114:114">
      <c r="DJ63" s="308"/>
    </row>
    <row r="64" spans="114:114">
      <c r="DJ64" s="308"/>
    </row>
    <row r="65" spans="114:114">
      <c r="DJ65" s="308"/>
    </row>
    <row r="66" spans="114:114">
      <c r="DJ66" s="308"/>
    </row>
    <row r="67" spans="114:114">
      <c r="DJ67" s="308"/>
    </row>
    <row r="68" spans="114:114">
      <c r="DJ68" s="308"/>
    </row>
    <row r="69" spans="114:114">
      <c r="DJ69" s="308"/>
    </row>
    <row r="70" spans="114:114">
      <c r="DJ70" s="308"/>
    </row>
    <row r="71" spans="114:114">
      <c r="DJ71" s="308"/>
    </row>
    <row r="72" spans="114:114">
      <c r="DJ72" s="308"/>
    </row>
    <row r="73" spans="114:114">
      <c r="DJ73" s="308"/>
    </row>
    <row r="74" spans="114:114">
      <c r="DJ74" s="308"/>
    </row>
    <row r="75" spans="114:114">
      <c r="DJ75" s="308"/>
    </row>
    <row r="76" spans="114:114">
      <c r="DJ76" s="308"/>
    </row>
    <row r="77" spans="114:114">
      <c r="DJ77" s="308"/>
    </row>
    <row r="78" spans="114:114">
      <c r="DJ78" s="308"/>
    </row>
    <row r="79" spans="114:114">
      <c r="DJ79" s="308"/>
    </row>
    <row r="80" spans="114:114">
      <c r="DJ80" s="308"/>
    </row>
    <row r="81" spans="114:114">
      <c r="DJ81" s="308"/>
    </row>
    <row r="82" spans="114:114">
      <c r="DJ82" s="308"/>
    </row>
    <row r="83" spans="114:114">
      <c r="DJ83" s="308"/>
    </row>
    <row r="84" spans="114:114">
      <c r="DJ84" s="308"/>
    </row>
    <row r="85" spans="114:114">
      <c r="DJ85" s="308"/>
    </row>
    <row r="86" spans="114:114">
      <c r="DJ86" s="308"/>
    </row>
    <row r="87" spans="114:114">
      <c r="DJ87" s="308"/>
    </row>
    <row r="88" spans="114:114">
      <c r="DJ88" s="308"/>
    </row>
    <row r="89" spans="114:114">
      <c r="DJ89" s="308"/>
    </row>
    <row r="90" spans="114:114">
      <c r="DJ90" s="308"/>
    </row>
    <row r="91" spans="114:114">
      <c r="DJ91" s="308"/>
    </row>
    <row r="92" spans="114:114">
      <c r="DJ92" s="308"/>
    </row>
    <row r="93" spans="114:114">
      <c r="DJ93" s="308"/>
    </row>
    <row r="94" spans="114:114">
      <c r="DJ94" s="308"/>
    </row>
    <row r="95" spans="114:114">
      <c r="DJ95" s="308"/>
    </row>
    <row r="96" spans="114:114">
      <c r="DJ96" s="308"/>
    </row>
    <row r="97" spans="114:114">
      <c r="DJ97" s="308"/>
    </row>
    <row r="98" spans="114:114">
      <c r="DJ98" s="308"/>
    </row>
    <row r="99" spans="114:114">
      <c r="DJ99" s="308"/>
    </row>
    <row r="100" spans="114:114">
      <c r="DJ100" s="308"/>
    </row>
    <row r="101" spans="114:114">
      <c r="DJ101" s="308"/>
    </row>
    <row r="102" spans="114:114">
      <c r="DJ102" s="308"/>
    </row>
    <row r="103" spans="114:114">
      <c r="DJ103" s="308"/>
    </row>
    <row r="104" spans="114:114">
      <c r="DJ104" s="308"/>
    </row>
    <row r="105" spans="114:114">
      <c r="DJ105" s="308"/>
    </row>
    <row r="106" spans="114:114">
      <c r="DJ106" s="308"/>
    </row>
    <row r="107" spans="114:114">
      <c r="DJ107" s="308"/>
    </row>
    <row r="108" spans="114:114">
      <c r="DJ108" s="308"/>
    </row>
    <row r="109" spans="114:114">
      <c r="DJ109" s="308"/>
    </row>
    <row r="110" spans="114:114">
      <c r="DJ110" s="308"/>
    </row>
    <row r="111" spans="114:114">
      <c r="DJ111" s="308"/>
    </row>
    <row r="112" spans="114:114">
      <c r="DJ112" s="308"/>
    </row>
    <row r="113" spans="114:114">
      <c r="DJ113" s="308"/>
    </row>
    <row r="114" spans="114:114">
      <c r="DJ114" s="308"/>
    </row>
    <row r="115" spans="114:114">
      <c r="DJ115" s="308"/>
    </row>
    <row r="116" spans="114:114">
      <c r="DJ116" s="308"/>
    </row>
    <row r="117" spans="114:114">
      <c r="DJ117" s="308"/>
    </row>
    <row r="118" spans="114:114">
      <c r="DJ118" s="308"/>
    </row>
    <row r="119" spans="114:114">
      <c r="DJ119" s="308"/>
    </row>
    <row r="120" spans="114:114">
      <c r="DJ120" s="308"/>
    </row>
    <row r="121" spans="114:114">
      <c r="DJ121" s="308"/>
    </row>
    <row r="122" spans="114:114">
      <c r="DJ122" s="308"/>
    </row>
    <row r="123" spans="114:114">
      <c r="DJ123" s="308"/>
    </row>
    <row r="124" spans="114:114">
      <c r="DJ124" s="308"/>
    </row>
    <row r="125" spans="114:114">
      <c r="DJ125" s="308"/>
    </row>
    <row r="126" spans="114:114">
      <c r="DJ126" s="308"/>
    </row>
    <row r="127" spans="114:114">
      <c r="DJ127" s="308"/>
    </row>
    <row r="128" spans="114:114">
      <c r="DJ128" s="308"/>
    </row>
    <row r="129" spans="114:114">
      <c r="DJ129" s="308"/>
    </row>
    <row r="130" spans="114:114">
      <c r="DJ130" s="308"/>
    </row>
    <row r="131" spans="114:114">
      <c r="DJ131" s="308"/>
    </row>
    <row r="132" spans="114:114">
      <c r="DJ132" s="308"/>
    </row>
    <row r="133" spans="114:114">
      <c r="DJ133" s="308"/>
    </row>
    <row r="134" spans="114:114">
      <c r="DJ134" s="308"/>
    </row>
    <row r="135" spans="114:114">
      <c r="DJ135" s="308"/>
    </row>
    <row r="136" spans="114:114">
      <c r="DJ136" s="308"/>
    </row>
    <row r="137" spans="114:114">
      <c r="DJ137" s="308"/>
    </row>
    <row r="138" spans="114:114">
      <c r="DJ138" s="308"/>
    </row>
    <row r="139" spans="114:114">
      <c r="DJ139" s="308"/>
    </row>
    <row r="140" spans="114:114">
      <c r="DJ140" s="308"/>
    </row>
    <row r="141" spans="114:114">
      <c r="DJ141" s="308"/>
    </row>
    <row r="142" spans="114:114">
      <c r="DJ142" s="308"/>
    </row>
    <row r="143" spans="114:114">
      <c r="DJ143" s="308"/>
    </row>
    <row r="144" spans="114:114">
      <c r="DJ144" s="308"/>
    </row>
    <row r="145" spans="114:114">
      <c r="DJ145" s="308"/>
    </row>
    <row r="146" spans="114:114">
      <c r="DJ146" s="308"/>
    </row>
    <row r="147" spans="114:114">
      <c r="DJ147" s="308"/>
    </row>
    <row r="148" spans="114:114">
      <c r="DJ148" s="308"/>
    </row>
    <row r="149" spans="114:114">
      <c r="DJ149" s="308"/>
    </row>
    <row r="150" spans="114:114">
      <c r="DJ150" s="308"/>
    </row>
    <row r="151" spans="114:114">
      <c r="DJ151" s="308"/>
    </row>
    <row r="152" spans="114:114">
      <c r="DJ152" s="308"/>
    </row>
    <row r="153" spans="114:114">
      <c r="DJ153" s="308"/>
    </row>
    <row r="154" spans="114:114">
      <c r="DJ154" s="308"/>
    </row>
    <row r="155" spans="114:114">
      <c r="DJ155" s="308"/>
    </row>
    <row r="156" spans="114:114">
      <c r="DJ156" s="308"/>
    </row>
    <row r="157" spans="114:114">
      <c r="DJ157" s="308"/>
    </row>
    <row r="158" spans="114:114">
      <c r="DJ158" s="308"/>
    </row>
    <row r="159" spans="114:114">
      <c r="DJ159" s="308"/>
    </row>
    <row r="160" spans="114:114">
      <c r="DJ160" s="308"/>
    </row>
    <row r="161" spans="114:114">
      <c r="DJ161" s="308"/>
    </row>
    <row r="162" spans="114:114">
      <c r="DJ162" s="308"/>
    </row>
    <row r="163" spans="114:114">
      <c r="DJ163" s="308"/>
    </row>
    <row r="164" spans="114:114">
      <c r="DJ164" s="308"/>
    </row>
    <row r="165" spans="114:114">
      <c r="DJ165" s="308"/>
    </row>
    <row r="166" spans="114:114">
      <c r="DJ166" s="308"/>
    </row>
    <row r="167" spans="114:114">
      <c r="DJ167" s="308"/>
    </row>
    <row r="168" spans="114:114">
      <c r="DJ168" s="308"/>
    </row>
    <row r="169" spans="114:114">
      <c r="DJ169" s="308"/>
    </row>
    <row r="170" spans="114:114">
      <c r="DJ170" s="308"/>
    </row>
    <row r="171" spans="114:114">
      <c r="DJ171" s="308"/>
    </row>
    <row r="172" spans="114:114">
      <c r="DJ172" s="308"/>
    </row>
    <row r="173" spans="114:114">
      <c r="DJ173" s="308"/>
    </row>
    <row r="174" spans="114:114">
      <c r="DJ174" s="308"/>
    </row>
    <row r="175" spans="114:114">
      <c r="DJ175" s="308"/>
    </row>
    <row r="176" spans="114:114">
      <c r="DJ176" s="308"/>
    </row>
    <row r="177" spans="114:114">
      <c r="DJ177" s="308"/>
    </row>
    <row r="178" spans="114:114">
      <c r="DJ178" s="308"/>
    </row>
    <row r="179" spans="114:114">
      <c r="DJ179" s="308"/>
    </row>
    <row r="180" spans="114:114">
      <c r="DJ180" s="308"/>
    </row>
    <row r="181" spans="114:114">
      <c r="DJ181" s="308"/>
    </row>
    <row r="182" spans="114:114">
      <c r="DJ182" s="308"/>
    </row>
    <row r="183" spans="114:114">
      <c r="DJ183" s="308"/>
    </row>
    <row r="184" spans="114:114">
      <c r="DJ184" s="308"/>
    </row>
    <row r="185" spans="114:114">
      <c r="DJ185" s="308"/>
    </row>
    <row r="186" spans="114:114">
      <c r="DJ186" s="308"/>
    </row>
    <row r="187" spans="114:114">
      <c r="DJ187" s="308"/>
    </row>
    <row r="188" spans="114:114">
      <c r="DJ188" s="308"/>
    </row>
    <row r="189" spans="114:114">
      <c r="DJ189" s="308"/>
    </row>
    <row r="190" spans="114:114">
      <c r="DJ190" s="308"/>
    </row>
    <row r="191" spans="114:114">
      <c r="DJ191" s="308"/>
    </row>
    <row r="192" spans="114:114">
      <c r="DJ192" s="308"/>
    </row>
    <row r="193" spans="114:114">
      <c r="DJ193" s="308"/>
    </row>
    <row r="194" spans="114:114">
      <c r="DJ194" s="308"/>
    </row>
    <row r="195" spans="114:114">
      <c r="DJ195" s="308"/>
    </row>
    <row r="196" spans="114:114">
      <c r="DJ196" s="308"/>
    </row>
    <row r="197" spans="114:114">
      <c r="DJ197" s="308"/>
    </row>
    <row r="198" spans="114:114">
      <c r="DJ198" s="308"/>
    </row>
    <row r="199" spans="114:114">
      <c r="DJ199" s="308"/>
    </row>
    <row r="200" spans="114:114">
      <c r="DJ200" s="308"/>
    </row>
    <row r="201" spans="114:114">
      <c r="DJ201" s="308"/>
    </row>
    <row r="202" spans="114:114">
      <c r="DJ202" s="308"/>
    </row>
    <row r="203" spans="114:114">
      <c r="DJ203" s="308"/>
    </row>
    <row r="204" spans="114:114">
      <c r="DJ204" s="308"/>
    </row>
    <row r="205" spans="114:114">
      <c r="DJ205" s="308"/>
    </row>
    <row r="206" spans="114:114">
      <c r="DJ206" s="308"/>
    </row>
    <row r="207" spans="114:114">
      <c r="DJ207" s="308"/>
    </row>
    <row r="208" spans="114:114">
      <c r="DJ208" s="308"/>
    </row>
    <row r="209" spans="114:114">
      <c r="DJ209" s="308"/>
    </row>
    <row r="210" spans="114:114">
      <c r="DJ210" s="308"/>
    </row>
    <row r="211" spans="114:114">
      <c r="DJ211" s="308"/>
    </row>
    <row r="212" spans="114:114">
      <c r="DJ212" s="308"/>
    </row>
    <row r="213" spans="114:114">
      <c r="DJ213" s="308"/>
    </row>
    <row r="214" spans="114:114">
      <c r="DJ214" s="308"/>
    </row>
    <row r="215" spans="114:114">
      <c r="DJ215" s="308"/>
    </row>
    <row r="216" spans="114:114">
      <c r="DJ216" s="308"/>
    </row>
    <row r="217" spans="114:114">
      <c r="DJ217" s="308"/>
    </row>
    <row r="218" spans="114:114">
      <c r="DJ218" s="308"/>
    </row>
    <row r="219" spans="114:114">
      <c r="DJ219" s="308"/>
    </row>
    <row r="220" spans="114:114">
      <c r="DJ220" s="308"/>
    </row>
    <row r="221" spans="114:114">
      <c r="DJ221" s="308"/>
    </row>
    <row r="222" spans="114:114">
      <c r="DJ222" s="308"/>
    </row>
    <row r="223" spans="114:114">
      <c r="DJ223" s="308"/>
    </row>
    <row r="224" spans="114:114">
      <c r="DJ224" s="308"/>
    </row>
    <row r="225" spans="114:114">
      <c r="DJ225" s="308"/>
    </row>
    <row r="226" spans="114:114">
      <c r="DJ226" s="308"/>
    </row>
    <row r="227" spans="114:114">
      <c r="DJ227" s="308"/>
    </row>
    <row r="228" spans="114:114">
      <c r="DJ228" s="308"/>
    </row>
    <row r="229" spans="114:114">
      <c r="DJ229" s="308"/>
    </row>
    <row r="230" spans="114:114">
      <c r="DJ230" s="308"/>
    </row>
    <row r="231" spans="114:114">
      <c r="DJ231" s="308"/>
    </row>
    <row r="232" spans="114:114">
      <c r="DJ232" s="308"/>
    </row>
    <row r="233" spans="114:114">
      <c r="DJ233" s="308"/>
    </row>
    <row r="234" spans="114:114">
      <c r="DJ234" s="308"/>
    </row>
    <row r="235" spans="114:114">
      <c r="DJ235" s="308"/>
    </row>
    <row r="236" spans="114:114">
      <c r="DJ236" s="308"/>
    </row>
    <row r="237" spans="114:114">
      <c r="DJ237" s="308"/>
    </row>
    <row r="238" spans="114:114">
      <c r="DJ238" s="308"/>
    </row>
    <row r="239" spans="114:114">
      <c r="DJ239" s="308"/>
    </row>
    <row r="240" spans="114:114">
      <c r="DJ240" s="308"/>
    </row>
    <row r="241" spans="114:114">
      <c r="DJ241" s="308"/>
    </row>
    <row r="242" spans="114:114">
      <c r="DJ242" s="308"/>
    </row>
    <row r="243" spans="114:114">
      <c r="DJ243" s="308"/>
    </row>
    <row r="244" spans="114:114">
      <c r="DJ244" s="308"/>
    </row>
    <row r="245" spans="114:114">
      <c r="DJ245" s="308"/>
    </row>
    <row r="246" spans="114:114">
      <c r="DJ246" s="308"/>
    </row>
    <row r="247" spans="114:114">
      <c r="DJ247" s="308"/>
    </row>
    <row r="248" spans="114:114">
      <c r="DJ248" s="308"/>
    </row>
    <row r="249" spans="114:114">
      <c r="DJ249" s="308"/>
    </row>
    <row r="250" spans="114:114">
      <c r="DJ250" s="308"/>
    </row>
    <row r="251" spans="114:114">
      <c r="DJ251" s="308"/>
    </row>
    <row r="252" spans="114:114">
      <c r="DJ252" s="308"/>
    </row>
    <row r="253" spans="114:114">
      <c r="DJ253" s="308"/>
    </row>
    <row r="254" spans="114:114">
      <c r="DJ254" s="308"/>
    </row>
    <row r="255" spans="114:114">
      <c r="DJ255" s="308"/>
    </row>
    <row r="256" spans="114:114">
      <c r="DJ256" s="308"/>
    </row>
    <row r="257" spans="114:114">
      <c r="DJ257" s="308"/>
    </row>
    <row r="258" spans="114:114">
      <c r="DJ258" s="308"/>
    </row>
    <row r="259" spans="114:114">
      <c r="DJ259" s="308"/>
    </row>
    <row r="260" spans="114:114">
      <c r="DJ260" s="308"/>
    </row>
    <row r="261" spans="114:114">
      <c r="DJ261" s="308"/>
    </row>
    <row r="262" spans="114:114">
      <c r="DJ262" s="308"/>
    </row>
    <row r="263" spans="114:114">
      <c r="DJ263" s="308"/>
    </row>
    <row r="264" spans="114:114">
      <c r="DJ264" s="308"/>
    </row>
    <row r="265" spans="114:114">
      <c r="DJ265" s="308"/>
    </row>
    <row r="266" spans="114:114">
      <c r="DJ266" s="308"/>
    </row>
    <row r="267" spans="114:114">
      <c r="DJ267" s="308"/>
    </row>
    <row r="268" spans="114:114">
      <c r="DJ268" s="308"/>
    </row>
    <row r="269" spans="114:114">
      <c r="DJ269" s="308"/>
    </row>
    <row r="270" spans="114:114">
      <c r="DJ270" s="308"/>
    </row>
    <row r="271" spans="114:114">
      <c r="DJ271" s="308"/>
    </row>
    <row r="272" spans="114:114">
      <c r="DJ272" s="308"/>
    </row>
    <row r="273" spans="114:114">
      <c r="DJ273" s="308"/>
    </row>
    <row r="274" spans="114:114">
      <c r="DJ274" s="308"/>
    </row>
    <row r="275" spans="114:114">
      <c r="DJ275" s="308"/>
    </row>
    <row r="276" spans="114:114">
      <c r="DJ276" s="308"/>
    </row>
    <row r="277" spans="114:114">
      <c r="DJ277" s="308"/>
    </row>
    <row r="278" spans="114:114">
      <c r="DJ278" s="308"/>
    </row>
    <row r="279" spans="114:114">
      <c r="DJ279" s="308"/>
    </row>
    <row r="280" spans="114:114">
      <c r="DJ280" s="308"/>
    </row>
    <row r="281" spans="114:114">
      <c r="DJ281" s="308"/>
    </row>
    <row r="282" spans="114:114">
      <c r="DJ282" s="308"/>
    </row>
    <row r="283" spans="114:114">
      <c r="DJ283" s="308"/>
    </row>
    <row r="284" spans="114:114">
      <c r="DJ284" s="308"/>
    </row>
    <row r="285" spans="114:114">
      <c r="DJ285" s="308"/>
    </row>
    <row r="286" spans="114:114">
      <c r="DJ286" s="308"/>
    </row>
    <row r="287" spans="114:114">
      <c r="DJ287" s="308"/>
    </row>
    <row r="288" spans="114:114">
      <c r="DJ288" s="308"/>
    </row>
    <row r="289" spans="114:114">
      <c r="DJ289" s="308"/>
    </row>
    <row r="290" spans="114:114">
      <c r="DJ290" s="308"/>
    </row>
    <row r="291" spans="114:114">
      <c r="DJ291" s="308"/>
    </row>
    <row r="292" spans="114:114">
      <c r="DJ292" s="308"/>
    </row>
    <row r="293" spans="114:114">
      <c r="DJ293" s="308"/>
    </row>
    <row r="294" spans="114:114">
      <c r="DJ294" s="308"/>
    </row>
  </sheetData>
  <sheetProtection algorithmName="SHA-512" hashValue="g0IkL/+xZOQX0Fn2HLVwg6GRVrbvSQLR7xMKKnMhvfP8l5qz27uSU4lyYISkjsjDwHxGV6lMsNlWQouqDtqdLA==" saltValue="0Dit2nbkkat7WTFam+kRw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tabSelected="1" topLeftCell="A46" workbookViewId="0">
      <selection activeCell="I64" sqref="I64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27" bestFit="1" customWidth="1"/>
    <col min="10" max="10" width="9.140625" style="127"/>
    <col min="11" max="11" width="19.85546875" style="309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298" t="s">
        <v>411</v>
      </c>
      <c r="O1" s="299"/>
    </row>
    <row r="2" spans="1:135">
      <c r="M2" s="175"/>
      <c r="N2" s="243"/>
      <c r="O2" s="244"/>
      <c r="BA2" t="s">
        <v>174</v>
      </c>
    </row>
    <row r="3" spans="1:135" ht="15.75" thickBot="1">
      <c r="N3" s="243"/>
      <c r="O3" s="244"/>
      <c r="BA3" t="s">
        <v>175</v>
      </c>
    </row>
    <row r="4" spans="1:135">
      <c r="E4" s="249"/>
      <c r="F4" s="250"/>
      <c r="G4" s="251"/>
      <c r="N4" s="243"/>
      <c r="O4" s="245"/>
      <c r="BA4" t="s">
        <v>176</v>
      </c>
    </row>
    <row r="5" spans="1:135">
      <c r="A5" s="6"/>
      <c r="B5" s="6"/>
      <c r="C5" s="6"/>
      <c r="D5" s="6"/>
      <c r="E5" s="252"/>
      <c r="F5" s="253"/>
      <c r="G5" s="254"/>
      <c r="H5" s="6"/>
      <c r="I5" s="5"/>
      <c r="J5" s="5"/>
      <c r="K5" s="8"/>
      <c r="L5" s="6"/>
      <c r="M5" s="6"/>
      <c r="N5" s="243"/>
      <c r="O5" s="24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2"/>
      <c r="F6" s="253"/>
      <c r="G6" s="254"/>
      <c r="H6" s="6"/>
      <c r="I6" s="5"/>
      <c r="J6" s="5"/>
      <c r="K6" s="8"/>
      <c r="L6" s="6"/>
      <c r="M6" s="6"/>
      <c r="N6" s="246" t="s">
        <v>399</v>
      </c>
      <c r="O6" s="247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2"/>
      <c r="F7" s="253"/>
      <c r="G7" s="254"/>
      <c r="H7" s="6"/>
      <c r="I7" s="5"/>
      <c r="J7" s="5"/>
      <c r="K7" s="8"/>
      <c r="L7" s="6" t="s">
        <v>397</v>
      </c>
      <c r="M7" s="6" t="b">
        <v>1</v>
      </c>
      <c r="N7" s="246" t="s">
        <v>400</v>
      </c>
      <c r="O7" s="247" t="s">
        <v>409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2"/>
      <c r="F8" s="253"/>
      <c r="G8" s="254"/>
      <c r="H8" s="6"/>
      <c r="I8" s="5"/>
      <c r="J8" s="5"/>
      <c r="K8" s="8"/>
      <c r="L8" s="6" t="s">
        <v>398</v>
      </c>
      <c r="M8" s="6" t="b">
        <v>1</v>
      </c>
      <c r="N8" s="246" t="s">
        <v>401</v>
      </c>
      <c r="O8" s="247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2"/>
      <c r="F9" s="253"/>
      <c r="G9" s="254"/>
      <c r="H9" s="6"/>
      <c r="I9" s="5"/>
      <c r="J9" s="5"/>
      <c r="K9" s="8"/>
      <c r="L9" s="6" t="s">
        <v>343</v>
      </c>
      <c r="M9" s="6" t="b">
        <v>1</v>
      </c>
      <c r="N9" s="246" t="s">
        <v>402</v>
      </c>
      <c r="O9" s="248" t="s">
        <v>422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2"/>
      <c r="F10" s="253"/>
      <c r="G10" s="254"/>
      <c r="H10" s="6"/>
      <c r="I10" s="5"/>
      <c r="J10" s="5"/>
      <c r="K10" s="8"/>
      <c r="L10" s="6" t="s">
        <v>344</v>
      </c>
      <c r="M10" s="6" t="b">
        <v>1</v>
      </c>
      <c r="N10" s="246" t="s">
        <v>403</v>
      </c>
      <c r="O10" s="247" t="s">
        <v>423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2"/>
      <c r="F11" s="253"/>
      <c r="G11" s="254"/>
      <c r="H11" s="6"/>
      <c r="I11" s="5"/>
      <c r="J11" s="5"/>
      <c r="K11" s="8"/>
      <c r="L11" s="6" t="s">
        <v>345</v>
      </c>
      <c r="M11" s="6" t="b">
        <v>1</v>
      </c>
      <c r="N11" s="246" t="s">
        <v>404</v>
      </c>
      <c r="O11" s="248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2"/>
      <c r="F12" s="253"/>
      <c r="G12" s="254"/>
      <c r="H12" s="6"/>
      <c r="I12" s="5"/>
      <c r="J12" s="5"/>
      <c r="K12" s="8"/>
      <c r="L12" s="6" t="s">
        <v>346</v>
      </c>
      <c r="M12" s="6" t="b">
        <v>0</v>
      </c>
      <c r="N12" s="246" t="s">
        <v>405</v>
      </c>
      <c r="O12" s="248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2"/>
      <c r="F13" s="253"/>
      <c r="G13" s="254"/>
      <c r="H13" s="6"/>
      <c r="I13" s="5"/>
      <c r="J13" s="5"/>
      <c r="K13" s="8"/>
      <c r="L13" s="6" t="s">
        <v>347</v>
      </c>
      <c r="M13" s="6" t="b">
        <v>0</v>
      </c>
      <c r="N13" s="246" t="s">
        <v>407</v>
      </c>
      <c r="O13" s="248" t="s">
        <v>410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2"/>
      <c r="F14" s="253"/>
      <c r="G14" s="254"/>
      <c r="H14" s="6"/>
      <c r="I14" s="5"/>
      <c r="J14" s="5"/>
      <c r="K14" s="8"/>
      <c r="L14" s="6" t="s">
        <v>348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2"/>
      <c r="F15" s="253"/>
      <c r="G15" s="254"/>
      <c r="H15" s="6"/>
      <c r="I15" s="5"/>
      <c r="J15" s="5"/>
      <c r="K15" s="8"/>
      <c r="L15" s="6" t="s">
        <v>349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2"/>
      <c r="F16" s="253"/>
      <c r="G16" s="254"/>
      <c r="H16" s="6"/>
      <c r="I16" s="5"/>
      <c r="J16" s="5"/>
      <c r="K16" s="8"/>
      <c r="L16" s="6" t="s">
        <v>350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2"/>
      <c r="F17" s="253"/>
      <c r="G17" s="254"/>
      <c r="H17" s="6"/>
      <c r="I17" s="5"/>
      <c r="J17" s="5"/>
      <c r="K17" s="8"/>
      <c r="L17" s="6" t="s">
        <v>351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2"/>
      <c r="F18" s="253"/>
      <c r="G18" s="254"/>
      <c r="H18" s="6"/>
      <c r="I18" s="5"/>
      <c r="J18" s="5"/>
      <c r="K18" s="8"/>
      <c r="L18" s="6" t="s">
        <v>352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2"/>
      <c r="F19" s="253"/>
      <c r="G19" s="254"/>
      <c r="H19" s="6"/>
      <c r="I19" s="5"/>
      <c r="J19" s="5"/>
      <c r="K19" s="8"/>
      <c r="L19" s="6" t="s">
        <v>353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2"/>
      <c r="F20" s="253"/>
      <c r="G20" s="254"/>
      <c r="H20" s="6"/>
      <c r="I20" s="5"/>
      <c r="J20" s="5"/>
      <c r="K20" s="8"/>
      <c r="L20" s="6" t="s">
        <v>354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2"/>
      <c r="F21" s="253"/>
      <c r="G21" s="254"/>
      <c r="H21" s="6"/>
      <c r="I21" s="5"/>
      <c r="J21" s="5"/>
      <c r="K21" s="8"/>
      <c r="L21" s="6" t="s">
        <v>355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2"/>
      <c r="F22" s="253"/>
      <c r="G22" s="254"/>
      <c r="H22" s="6"/>
      <c r="I22" s="5"/>
      <c r="J22" s="5"/>
      <c r="K22" s="8"/>
      <c r="L22" s="6" t="s">
        <v>356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2"/>
      <c r="F23" s="253"/>
      <c r="G23" s="254"/>
      <c r="H23" s="6"/>
      <c r="I23" s="5"/>
      <c r="J23" s="5"/>
      <c r="K23" s="8"/>
      <c r="L23" s="6" t="s">
        <v>357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2"/>
      <c r="F24" s="253"/>
      <c r="G24" s="254"/>
      <c r="H24" s="6"/>
      <c r="I24" s="5"/>
      <c r="J24" s="5"/>
      <c r="K24" s="8"/>
      <c r="L24" s="6" t="s">
        <v>358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2"/>
      <c r="F25" s="253"/>
      <c r="G25" s="254"/>
      <c r="H25" s="6"/>
      <c r="I25" s="5"/>
      <c r="J25" s="5"/>
      <c r="K25" s="8"/>
      <c r="L25" s="6" t="s">
        <v>360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2"/>
      <c r="F26" s="253"/>
      <c r="G26" s="254"/>
      <c r="H26" s="6"/>
      <c r="I26" s="5"/>
      <c r="J26" s="5"/>
      <c r="K26" s="8"/>
      <c r="L26" s="6" t="s">
        <v>361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2"/>
      <c r="F27" s="253"/>
      <c r="G27" s="254"/>
      <c r="H27" s="6"/>
      <c r="I27" s="5"/>
      <c r="J27" s="5"/>
      <c r="K27" s="8"/>
      <c r="L27" s="6" t="s">
        <v>362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2"/>
      <c r="F28" s="253"/>
      <c r="G28" s="254"/>
      <c r="H28" s="6"/>
      <c r="I28" s="5"/>
      <c r="J28" s="5"/>
      <c r="K28" s="8"/>
      <c r="L28" s="6" t="s">
        <v>363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2"/>
      <c r="F29" s="253"/>
      <c r="G29" s="254"/>
      <c r="H29" s="6"/>
      <c r="I29" s="5"/>
      <c r="J29" s="5"/>
      <c r="K29" s="8"/>
      <c r="L29" s="6" t="s">
        <v>359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2"/>
      <c r="F30" s="253"/>
      <c r="G30" s="254"/>
      <c r="H30" s="6"/>
      <c r="I30" s="5"/>
      <c r="J30" s="5"/>
      <c r="K30" s="8"/>
      <c r="L30" s="6" t="s">
        <v>414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2"/>
      <c r="F31" s="253"/>
      <c r="G31" s="254"/>
      <c r="H31" s="6"/>
      <c r="I31" s="5"/>
      <c r="J31" s="5"/>
      <c r="K31" s="8"/>
      <c r="L31" s="6" t="s">
        <v>364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2"/>
      <c r="F32" s="253"/>
      <c r="G32" s="254"/>
      <c r="H32" s="6"/>
      <c r="I32" s="5"/>
      <c r="J32" s="5"/>
      <c r="K32" s="8"/>
      <c r="L32" s="6" t="s">
        <v>365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2"/>
      <c r="F33" s="253"/>
      <c r="G33" s="254"/>
      <c r="H33" s="6"/>
      <c r="I33" s="5"/>
      <c r="J33" s="5"/>
      <c r="K33" s="8"/>
      <c r="L33" s="6" t="s">
        <v>366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2"/>
      <c r="F34" s="253"/>
      <c r="G34" s="254"/>
      <c r="H34" s="6"/>
      <c r="I34" s="5"/>
      <c r="J34" s="5"/>
      <c r="K34" s="8"/>
      <c r="L34" s="6" t="s">
        <v>367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2"/>
      <c r="F35" s="253"/>
      <c r="G35" s="254"/>
      <c r="H35" s="6"/>
      <c r="I35" s="5"/>
      <c r="J35" s="5"/>
      <c r="K35" s="8"/>
      <c r="L35" s="6" t="s">
        <v>368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2"/>
      <c r="F36" s="253"/>
      <c r="G36" s="254"/>
      <c r="H36" s="6"/>
      <c r="I36" s="5"/>
      <c r="J36" s="5"/>
      <c r="K36" s="8"/>
      <c r="L36" s="6" t="s">
        <v>369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2"/>
      <c r="F37" s="253"/>
      <c r="G37" s="254"/>
      <c r="H37" s="6"/>
      <c r="I37" s="5"/>
      <c r="J37" s="5"/>
      <c r="K37" s="8"/>
      <c r="L37" s="6" t="s">
        <v>370</v>
      </c>
      <c r="M37" s="6" t="b">
        <v>1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2"/>
      <c r="F38" s="253"/>
      <c r="G38" s="254"/>
      <c r="H38" s="6"/>
      <c r="I38" s="5"/>
      <c r="J38" s="5"/>
      <c r="K38" s="8"/>
      <c r="L38" s="6" t="s">
        <v>371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2"/>
      <c r="F39" s="253"/>
      <c r="G39" s="254"/>
      <c r="H39" s="6"/>
      <c r="I39" s="5"/>
      <c r="J39" s="5"/>
      <c r="K39" s="8"/>
      <c r="L39" s="6" t="s">
        <v>372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2"/>
      <c r="F40" s="253"/>
      <c r="G40" s="254"/>
      <c r="H40" s="6"/>
      <c r="I40" s="5"/>
      <c r="J40" s="5"/>
      <c r="K40" s="8"/>
      <c r="L40" s="6" t="s">
        <v>373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2"/>
      <c r="F41" s="253"/>
      <c r="G41" s="254"/>
      <c r="H41" s="6"/>
      <c r="I41" s="5"/>
      <c r="J41" s="5"/>
      <c r="K41" s="8"/>
      <c r="L41" s="6" t="s">
        <v>374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2"/>
      <c r="F42" s="253"/>
      <c r="G42" s="254"/>
      <c r="H42" s="6"/>
      <c r="I42" s="5"/>
      <c r="J42" s="5"/>
      <c r="K42" s="8"/>
      <c r="L42" s="6" t="s">
        <v>375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2"/>
      <c r="F43" s="253"/>
      <c r="G43" s="254"/>
      <c r="H43" s="6"/>
      <c r="I43" s="5"/>
      <c r="J43" s="5"/>
      <c r="K43" s="8"/>
      <c r="L43" s="6" t="s">
        <v>376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2"/>
      <c r="F44" s="253"/>
      <c r="G44" s="254"/>
      <c r="H44" s="6"/>
      <c r="I44" s="5"/>
      <c r="J44" s="5"/>
      <c r="K44" s="8"/>
      <c r="L44" s="6" t="s">
        <v>377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2"/>
      <c r="F45" s="253"/>
      <c r="G45" s="254"/>
      <c r="H45" s="6"/>
      <c r="I45" s="5"/>
      <c r="J45" s="5"/>
      <c r="K45" s="8"/>
      <c r="L45" s="6" t="s">
        <v>378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2"/>
      <c r="F46" s="253"/>
      <c r="G46" s="254"/>
      <c r="H46" s="6"/>
      <c r="I46" s="5"/>
      <c r="J46" s="5"/>
      <c r="K46" s="8"/>
      <c r="L46" s="6" t="s">
        <v>379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2"/>
      <c r="F47" s="253"/>
      <c r="G47" s="254"/>
      <c r="H47" s="6"/>
      <c r="I47" s="5"/>
      <c r="J47" s="5"/>
      <c r="K47" s="8"/>
      <c r="L47" s="6" t="s">
        <v>380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2"/>
      <c r="F48" s="253"/>
      <c r="G48" s="254"/>
      <c r="H48" s="6"/>
      <c r="I48" s="5"/>
      <c r="J48" s="5"/>
      <c r="K48" s="8"/>
      <c r="L48" s="6" t="s">
        <v>381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2"/>
      <c r="F49" s="253"/>
      <c r="G49" s="254"/>
      <c r="H49" s="6"/>
      <c r="I49" s="5"/>
      <c r="J49" s="5"/>
      <c r="K49" s="8"/>
      <c r="L49" s="6" t="s">
        <v>382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2"/>
      <c r="F50" s="253"/>
      <c r="G50" s="254"/>
      <c r="H50" s="6"/>
      <c r="I50" s="5"/>
      <c r="J50" s="5"/>
      <c r="K50" s="8"/>
      <c r="L50" s="6" t="s">
        <v>383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2"/>
      <c r="F51" s="253"/>
      <c r="G51" s="254"/>
      <c r="H51" s="6"/>
      <c r="I51" s="5"/>
      <c r="J51" s="5"/>
      <c r="K51" s="8"/>
      <c r="L51" s="6" t="s">
        <v>384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2"/>
      <c r="F52" s="253"/>
      <c r="G52" s="254"/>
      <c r="H52" s="6"/>
      <c r="I52" s="5"/>
      <c r="J52" s="5"/>
      <c r="K52" s="8"/>
      <c r="L52" s="6" t="s">
        <v>385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2"/>
      <c r="F53" s="253"/>
      <c r="G53" s="254"/>
      <c r="H53" s="6"/>
      <c r="I53" s="5"/>
      <c r="J53" s="5"/>
      <c r="K53" s="8"/>
      <c r="L53" s="6" t="s">
        <v>386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2"/>
      <c r="F54" s="253"/>
      <c r="G54" s="254"/>
      <c r="H54" s="6"/>
      <c r="I54" s="5"/>
      <c r="J54" s="5"/>
      <c r="K54" s="8"/>
      <c r="L54" s="6" t="s">
        <v>387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2"/>
      <c r="F55" s="253"/>
      <c r="G55" s="254"/>
      <c r="H55" s="6"/>
      <c r="I55" s="5"/>
      <c r="J55" s="5"/>
      <c r="K55" s="8"/>
      <c r="L55" s="6" t="s">
        <v>388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2"/>
      <c r="F56" s="253"/>
      <c r="G56" s="254"/>
      <c r="H56" s="6"/>
      <c r="I56" s="5"/>
      <c r="J56" s="5"/>
      <c r="K56" s="8"/>
      <c r="L56" s="6" t="s">
        <v>389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2"/>
      <c r="F57" s="253"/>
      <c r="G57" s="254"/>
      <c r="H57" s="6"/>
      <c r="I57" s="5"/>
      <c r="J57" s="5"/>
      <c r="K57" s="8"/>
      <c r="L57" s="6" t="s">
        <v>390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2"/>
      <c r="F58" s="253"/>
      <c r="G58" s="254"/>
      <c r="H58" s="6"/>
      <c r="I58" s="5"/>
      <c r="J58" s="5"/>
      <c r="K58" s="8"/>
      <c r="L58" s="6" t="s">
        <v>391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2"/>
      <c r="F59" s="253"/>
      <c r="G59" s="254"/>
      <c r="H59" s="6"/>
      <c r="I59" s="5"/>
      <c r="J59" s="5"/>
      <c r="K59" s="8"/>
      <c r="L59" s="6" t="s">
        <v>392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2"/>
      <c r="F60" s="253"/>
      <c r="G60" s="254"/>
      <c r="H60" s="6"/>
      <c r="I60" s="5"/>
      <c r="J60" s="5"/>
      <c r="K60" s="8"/>
      <c r="L60" s="6" t="s">
        <v>393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2"/>
      <c r="F61" s="253"/>
      <c r="G61" s="254"/>
      <c r="H61" s="6"/>
      <c r="I61" s="5"/>
      <c r="J61" s="5"/>
      <c r="K61" s="8"/>
      <c r="L61" s="6" t="s">
        <v>394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2"/>
      <c r="F62" s="253"/>
      <c r="G62" s="254"/>
      <c r="H62" s="6"/>
      <c r="I62" s="5"/>
      <c r="J62" s="5"/>
      <c r="K62" s="8"/>
      <c r="L62" s="6" t="s">
        <v>395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2"/>
      <c r="F63" s="253"/>
      <c r="G63" s="254"/>
      <c r="H63" s="6"/>
      <c r="I63" s="5"/>
      <c r="J63" s="5"/>
      <c r="K63" s="8"/>
      <c r="L63" s="6" t="s">
        <v>396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2"/>
      <c r="F64" s="253"/>
      <c r="G64" s="254"/>
      <c r="H64" s="6"/>
      <c r="I64" s="5"/>
      <c r="J64" s="5"/>
      <c r="K64" s="8"/>
      <c r="L64" s="6" t="s">
        <v>408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2"/>
      <c r="F65" s="253"/>
      <c r="G65" s="254"/>
      <c r="H65" s="6"/>
      <c r="I65" s="5"/>
      <c r="J65" s="5"/>
      <c r="K65" s="8" t="s">
        <v>418</v>
      </c>
      <c r="L65" s="6" t="s">
        <v>420</v>
      </c>
      <c r="M65" s="6" t="b">
        <v>0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2"/>
      <c r="F66" s="253"/>
      <c r="G66" s="254"/>
      <c r="H66" s="6"/>
      <c r="I66" s="5"/>
      <c r="J66" s="5"/>
      <c r="K66" s="8" t="s">
        <v>434</v>
      </c>
      <c r="L66" s="6" t="s">
        <v>436</v>
      </c>
      <c r="M66" s="6" t="b">
        <v>1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63"/>
      <c r="F67" s="264"/>
      <c r="G67" s="265"/>
      <c r="H67" s="6"/>
      <c r="I67" s="5"/>
      <c r="J67" s="5"/>
      <c r="K67" s="8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097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98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99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0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1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2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3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4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5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6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7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8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9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0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1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2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3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4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5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6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7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8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9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0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1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2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3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4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5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6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7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8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9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0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1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2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3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4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5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6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7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8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9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0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1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2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3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4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5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6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7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8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9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0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1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2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3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4" r:id="rId61" name="Canar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A6" sqref="A6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1"/>
      <c r="B1" s="72"/>
      <c r="C1" s="72"/>
      <c r="D1" s="72"/>
      <c r="E1" s="72"/>
      <c r="F1" s="128" t="s">
        <v>57</v>
      </c>
      <c r="G1" s="73" t="s">
        <v>58</v>
      </c>
      <c r="H1" s="74" t="s">
        <v>59</v>
      </c>
      <c r="I1" s="72"/>
      <c r="J1" s="64" t="s">
        <v>57</v>
      </c>
      <c r="K1" s="75"/>
      <c r="L1" s="1"/>
      <c r="M1" s="2"/>
      <c r="P1" s="6"/>
      <c r="Q1" s="6"/>
      <c r="R1" s="6"/>
    </row>
    <row r="2" spans="1:135" customFormat="1" ht="26.25" customHeight="1">
      <c r="A2" s="76"/>
      <c r="B2" s="77"/>
      <c r="C2" s="78"/>
      <c r="D2" s="78"/>
      <c r="E2" s="78"/>
      <c r="F2" s="129">
        <f>+G2+H2</f>
        <v>0</v>
      </c>
      <c r="G2" s="69">
        <f>+COUNTIF($D:$D,"&gt;"&amp;0)</f>
        <v>0</v>
      </c>
      <c r="H2" s="70">
        <f>+COUNTIF($E:$E,"&gt;"&amp;0)</f>
        <v>0</v>
      </c>
      <c r="I2" s="78"/>
      <c r="J2" s="68"/>
      <c r="K2" s="79"/>
      <c r="P2" s="6"/>
      <c r="Q2" s="6"/>
      <c r="R2" s="6"/>
    </row>
    <row r="3" spans="1:135" customFormat="1" ht="26.25" customHeight="1">
      <c r="A3" s="76"/>
      <c r="B3" s="78"/>
      <c r="C3" s="276" t="s">
        <v>415</v>
      </c>
      <c r="D3" s="274"/>
      <c r="E3" s="261"/>
      <c r="F3" s="258"/>
      <c r="G3" s="258"/>
      <c r="H3" s="78"/>
      <c r="I3" s="78"/>
      <c r="J3" s="79"/>
      <c r="K3" s="79"/>
      <c r="P3" s="6"/>
      <c r="Q3" s="6"/>
      <c r="R3" s="6"/>
    </row>
    <row r="4" spans="1:135" customFormat="1" ht="26.25" customHeight="1" thickBot="1">
      <c r="A4" s="80"/>
      <c r="B4" s="81"/>
      <c r="C4" s="277" t="str">
        <f>+IF(ISBLANK(D4),"","GST No. :")</f>
        <v/>
      </c>
      <c r="D4" s="275"/>
      <c r="E4" s="262"/>
      <c r="F4" s="260" t="s">
        <v>431</v>
      </c>
      <c r="G4" s="259"/>
      <c r="H4" s="81"/>
      <c r="I4" s="81"/>
      <c r="J4" s="79"/>
      <c r="K4" s="79"/>
      <c r="P4" s="6"/>
      <c r="Q4" s="6"/>
      <c r="R4" s="6"/>
    </row>
    <row r="5" spans="1:135" customFormat="1" ht="15.75" thickBot="1">
      <c r="A5" s="266" t="s">
        <v>5</v>
      </c>
      <c r="B5" s="267" t="s">
        <v>7</v>
      </c>
      <c r="C5" s="268" t="s">
        <v>8</v>
      </c>
      <c r="D5" s="269" t="s">
        <v>9</v>
      </c>
      <c r="E5" s="269" t="s">
        <v>10</v>
      </c>
      <c r="F5" s="270" t="s">
        <v>11</v>
      </c>
      <c r="G5" s="267" t="s">
        <v>12</v>
      </c>
      <c r="H5" s="267" t="s">
        <v>13</v>
      </c>
      <c r="I5" s="267" t="s">
        <v>14</v>
      </c>
      <c r="J5" s="267" t="s">
        <v>15</v>
      </c>
      <c r="K5" s="271" t="s">
        <v>417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cgyz7K8Mmq0CDdyWsvXKk94mvundoqq9b6G0y0RySNAGgH5TmGYZ06xXQmHkQ0OSPjVpEzo/29UiyKa97Ehn/A==" saltValue="7V5Fp0nv0WNDPNRkyzEoKg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432</v>
      </c>
    </row>
    <row r="4" spans="1:15">
      <c r="O4" t="s">
        <v>433</v>
      </c>
    </row>
    <row r="6" spans="1:15">
      <c r="A6" s="240" t="s">
        <v>399</v>
      </c>
      <c r="B6" s="241">
        <v>29505</v>
      </c>
    </row>
    <row r="7" spans="1:15">
      <c r="A7" s="240" t="s">
        <v>400</v>
      </c>
      <c r="B7" s="241" t="s">
        <v>409</v>
      </c>
    </row>
    <row r="8" spans="1:15">
      <c r="A8" s="240" t="s">
        <v>401</v>
      </c>
      <c r="B8" s="241">
        <v>9173555942</v>
      </c>
    </row>
    <row r="9" spans="1:15">
      <c r="A9" s="240" t="s">
        <v>402</v>
      </c>
      <c r="B9" s="241" t="s">
        <v>422</v>
      </c>
    </row>
    <row r="10" spans="1:15">
      <c r="A10" s="240" t="s">
        <v>403</v>
      </c>
      <c r="B10" s="241" t="s">
        <v>423</v>
      </c>
    </row>
    <row r="11" spans="1:15">
      <c r="A11" s="240" t="s">
        <v>404</v>
      </c>
      <c r="B11" s="242">
        <v>45573</v>
      </c>
    </row>
    <row r="12" spans="1:15">
      <c r="A12" s="240" t="s">
        <v>405</v>
      </c>
      <c r="B12" s="242">
        <v>45809</v>
      </c>
    </row>
    <row r="13" spans="1:15">
      <c r="A13" s="240" t="s">
        <v>406</v>
      </c>
      <c r="B13" s="242" t="s">
        <v>410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Canara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2025-01-27T10:38:54Z</dcterms:modified>
</cp:coreProperties>
</file>