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179C6382-85BD-49A9-B70E-0A7E1D57CCE9}" xr6:coauthVersionLast="47" xr6:coauthVersionMax="47" xr10:uidLastSave="{00000000-0000-0000-0000-000000000000}"/>
  <bookViews>
    <workbookView xWindow="28680" yWindow="465" windowWidth="29040" windowHeight="15840" firstSheet="3" activeTab="65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ICICI 3 (P)" sheetId="76" r:id="rId4"/>
    <sheet name="HDFC (P)" sheetId="42" state="hidden" r:id="rId5"/>
    <sheet name="BOB(P)" sheetId="70" state="hidden" r:id="rId6"/>
    <sheet name="BOB(P) (2)" sheetId="75" r:id="rId7"/>
    <sheet name="Axis(S) (P)" sheetId="41" state="hidden" r:id="rId8"/>
    <sheet name="Axis(C) (P)" sheetId="57" state="hidden" r:id="rId9"/>
    <sheet name="Axis (P)" sheetId="74" r:id="rId10"/>
    <sheet name="IDBI (P)" sheetId="43" state="hidden" r:id="rId11"/>
    <sheet name="IDBI(S) (P)" sheetId="50" state="hidden" r:id="rId12"/>
    <sheet name="IDFC (P)" sheetId="44" state="hidden" r:id="rId13"/>
    <sheet name="CityUni (P)" sheetId="63" state="hidden" r:id="rId14"/>
    <sheet name="indusind (P)" sheetId="45" state="hidden" r:id="rId15"/>
    <sheet name="Kalupur (P)" sheetId="48" state="hidden" r:id="rId16"/>
    <sheet name="AU (P)" sheetId="49" state="hidden" r:id="rId17"/>
    <sheet name="SBI (P)" sheetId="47" state="hidden" r:id="rId18"/>
    <sheet name="Union (P)" sheetId="28" state="hidden" r:id="rId19"/>
    <sheet name="Union2 (P)" sheetId="51" state="hidden" r:id="rId20"/>
    <sheet name="Kotak (P)" sheetId="46" state="hidden" r:id="rId21"/>
    <sheet name="Kotak2 (P)" sheetId="55" state="hidden" r:id="rId22"/>
    <sheet name="Kotak3 (P)" sheetId="59" state="hidden" r:id="rId23"/>
    <sheet name="CBI (P)" sheetId="58" state="hidden" r:id="rId24"/>
    <sheet name="NEWINDIA(P)" sheetId="71" state="hidden" r:id="rId25"/>
    <sheet name="Varachha (P)" sheetId="53" state="hidden" r:id="rId26"/>
    <sheet name="BOI (P)" sheetId="73" r:id="rId27"/>
    <sheet name="SCOPB (P)" sheetId="72" r:id="rId28"/>
    <sheet name="SDCB (P)" sheetId="66" state="hidden" r:id="rId29"/>
    <sheet name="ICICI(C)" sheetId="2" state="hidden" r:id="rId30"/>
    <sheet name="ICICI(S)" sheetId="27" state="hidden" r:id="rId31"/>
    <sheet name="HDFC" sheetId="3" state="hidden" r:id="rId32"/>
    <sheet name="Kotak(C)" sheetId="6" state="hidden" r:id="rId33"/>
    <sheet name="Kotak(S)" sheetId="23" state="hidden" r:id="rId34"/>
    <sheet name="Axis(S)" sheetId="4" state="hidden" r:id="rId35"/>
    <sheet name="Axis(S) (2)" sheetId="62" state="hidden" r:id="rId36"/>
    <sheet name="Axis(C)" sheetId="19" state="hidden" r:id="rId37"/>
    <sheet name="Yes" sheetId="9" state="hidden" r:id="rId38"/>
    <sheet name="indusind" sheetId="14" state="hidden" r:id="rId39"/>
    <sheet name="IDBI" sheetId="5" state="hidden" r:id="rId40"/>
    <sheet name="Bandhan" sheetId="11" state="hidden" r:id="rId41"/>
    <sheet name="Indian" sheetId="10" state="hidden" r:id="rId42"/>
    <sheet name="IDFC" sheetId="24" state="hidden" r:id="rId43"/>
    <sheet name="RBL" sheetId="22" state="hidden" r:id="rId44"/>
    <sheet name="Union" sheetId="54" state="hidden" r:id="rId45"/>
    <sheet name="SBI" sheetId="1" state="hidden" r:id="rId46"/>
    <sheet name="BOI" sheetId="16" state="hidden" r:id="rId47"/>
    <sheet name="UCO" sheetId="32" state="hidden" r:id="rId48"/>
    <sheet name="CBI" sheetId="31" state="hidden" r:id="rId49"/>
    <sheet name="BOB(C)" sheetId="7" state="hidden" r:id="rId50"/>
    <sheet name="BOB(S)" sheetId="13" state="hidden" r:id="rId51"/>
    <sheet name="PNB" sheetId="25" state="hidden" r:id="rId52"/>
    <sheet name="PNB (2)" sheetId="61" state="hidden" r:id="rId53"/>
    <sheet name="RNSBE" sheetId="20" state="hidden" r:id="rId54"/>
    <sheet name="Federal" sheetId="34" state="hidden" r:id="rId55"/>
    <sheet name="Varachha" sheetId="15" state="hidden" r:id="rId56"/>
    <sheet name="SNCB" sheetId="33" state="hidden" r:id="rId57"/>
    <sheet name="SDCB" sheetId="26" state="hidden" r:id="rId58"/>
    <sheet name="AU" sheetId="36" state="hidden" r:id="rId59"/>
    <sheet name="Prime" sheetId="29" state="hidden" r:id="rId60"/>
    <sheet name="DCB" sheetId="37" state="hidden" r:id="rId61"/>
    <sheet name="Saraswat" sheetId="38" state="hidden" r:id="rId62"/>
    <sheet name="Equitas" sheetId="64" state="hidden" r:id="rId63"/>
    <sheet name="SIB" sheetId="67" state="hidden" r:id="rId64"/>
    <sheet name="Canara" sheetId="69" state="hidden" r:id="rId65"/>
    <sheet name="Help" sheetId="30" r:id="rId66"/>
    <sheet name="Master" sheetId="8" r:id="rId67"/>
    <sheet name="Registration" sheetId="65" state="veryHidden" r:id="rId68"/>
  </sheets>
  <functionGroups builtInGroupCount="19"/>
  <definedNames>
    <definedName name="_xlnm._FilterDatabase" localSheetId="47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J3" i="76" l="1"/>
  <c r="DE3" i="76"/>
  <c r="DI3" i="76" s="1"/>
  <c r="DD3" i="76"/>
  <c r="DB3" i="76"/>
  <c r="DC3" i="76" s="1"/>
  <c r="G2" i="76"/>
  <c r="DK3" i="76"/>
  <c r="DF3" i="76"/>
  <c r="DA3" i="76"/>
  <c r="DA4" i="76" s="1"/>
  <c r="E2" i="76"/>
  <c r="DD3" i="75"/>
  <c r="DJ3" i="75"/>
  <c r="DI3" i="75"/>
  <c r="DF3" i="75"/>
  <c r="DE3" i="75"/>
  <c r="DB3" i="75"/>
  <c r="DK3" i="75"/>
  <c r="DH3" i="75"/>
  <c r="DA3" i="75"/>
  <c r="DA4" i="75" s="1"/>
  <c r="DA2" i="75"/>
  <c r="G2" i="75"/>
  <c r="F2" i="75"/>
  <c r="E2" i="75"/>
  <c r="DF3" i="74"/>
  <c r="DE3" i="74"/>
  <c r="DI3" i="74" s="1"/>
  <c r="DD3" i="74"/>
  <c r="DK3" i="74"/>
  <c r="DJ3" i="74"/>
  <c r="DH3" i="74"/>
  <c r="DG3" i="74"/>
  <c r="DB3" i="74"/>
  <c r="DA3" i="74"/>
  <c r="DA4" i="74" s="1"/>
  <c r="E2" i="74"/>
  <c r="DJ3" i="73"/>
  <c r="DH3" i="73"/>
  <c r="DB3" i="73"/>
  <c r="DK3" i="73"/>
  <c r="DI3" i="73"/>
  <c r="DF3" i="73"/>
  <c r="DE3" i="73"/>
  <c r="DD3" i="73"/>
  <c r="DA2" i="73"/>
  <c r="DA3" i="73" s="1"/>
  <c r="DA4" i="73" s="1"/>
  <c r="E2" i="73"/>
  <c r="DH3" i="72"/>
  <c r="DB3" i="72"/>
  <c r="G2" i="72"/>
  <c r="DJ3" i="72"/>
  <c r="DF3" i="72"/>
  <c r="DE3" i="72"/>
  <c r="DI3" i="72" s="1"/>
  <c r="DD3" i="72"/>
  <c r="F2" i="72"/>
  <c r="DK3" i="72"/>
  <c r="DA2" i="72"/>
  <c r="DA3" i="72" s="1"/>
  <c r="DA4" i="72" s="1"/>
  <c r="E2" i="72"/>
  <c r="DB3" i="2"/>
  <c r="DE3" i="58"/>
  <c r="DD3" i="58"/>
  <c r="DF3" i="71"/>
  <c r="G2" i="71"/>
  <c r="DJ3" i="71"/>
  <c r="DH3" i="71"/>
  <c r="DE3" i="71"/>
  <c r="DD3" i="71"/>
  <c r="DB3" i="71"/>
  <c r="DK3" i="71"/>
  <c r="DI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C3" i="70" s="1"/>
  <c r="DA3" i="70"/>
  <c r="DG3" i="76"/>
  <c r="DH3" i="76" l="1"/>
  <c r="F2" i="76"/>
  <c r="H2" i="76" s="1"/>
  <c r="I2" i="76" s="1"/>
  <c r="DC3" i="75"/>
  <c r="H2" i="75"/>
  <c r="I2" i="75"/>
  <c r="DC3" i="74"/>
  <c r="G2" i="74"/>
  <c r="F2" i="74"/>
  <c r="DC3" i="73"/>
  <c r="F2" i="73"/>
  <c r="H2" i="73" s="1"/>
  <c r="I2" i="73" s="1"/>
  <c r="G2" i="73"/>
  <c r="DC3" i="72"/>
  <c r="H2" i="72"/>
  <c r="I2" i="72" s="1"/>
  <c r="DC3" i="7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4" l="1"/>
  <c r="I2" i="74" s="1"/>
  <c r="H2" i="70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F3" i="2"/>
  <c r="DC3" i="2" s="1"/>
  <c r="DE3" i="2"/>
  <c r="DI3" i="2" s="1"/>
  <c r="DD3" i="2"/>
  <c r="G2" i="2" s="1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4"/>
  <c r="DG3" i="58"/>
  <c r="DG3" i="23"/>
  <c r="DG3" i="44"/>
  <c r="DG3" i="56"/>
  <c r="DG3" i="29"/>
  <c r="DG3" i="38"/>
  <c r="DG3" i="49"/>
  <c r="DG3" i="63"/>
  <c r="DG3" i="59"/>
  <c r="DG3" i="28"/>
  <c r="DG3" i="32"/>
  <c r="DG3" i="51"/>
  <c r="DG3" i="45"/>
  <c r="DG3" i="31"/>
  <c r="DG3" i="57"/>
  <c r="DG3" i="50"/>
  <c r="DH3" i="40"/>
  <c r="DG3" i="61"/>
  <c r="DG3" i="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<sst xmlns="http://schemas.openxmlformats.org/spreadsheetml/2006/main" count="5418" uniqueCount="1227">
  <si>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</si>
  <si>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</si>
  <si>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</si>
  <si>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</si>
  <si>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</si>
  <si>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</si>
  <si>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</si>
  <si>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</si>
  <si>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</si>
  <si>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</si>
  <si>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</si>
  <si>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</si>
  <si>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</si>
  <si>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</si>
  <si>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</si>
  <si>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</si>
  <si>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</si>
  <si>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</si>
  <si>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</si>
  <si>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</si>
  <si>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</si>
  <si>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</si>
  <si>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</si>
  <si>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</si>
  <si>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</si>
  <si>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</si>
  <si>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</si>
  <si>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</si>
  <si>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</si>
  <si>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</si>
  <si>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</si>
  <si>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</si>
  <si>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</si>
  <si>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</si>
  <si>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</si>
  <si>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</si>
  <si>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</si>
  <si>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</si>
  <si>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</si>
  <si>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</si>
  <si>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</si>
  <si>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</si>
  <si>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</si>
  <si>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</si>
  <si>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</si>
  <si>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</si>
  <si>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</si>
  <si>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</si>
  <si>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</si>
  <si>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</si>
  <si>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</si>
  <si>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</si>
  <si>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</si>
  <si>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</si>
  <si>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</si>
  <si>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</si>
  <si>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</si>
  <si>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</si>
  <si>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</si>
  <si>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</si>
  <si>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</si>
  <si>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</si>
  <si>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</si>
  <si>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</si>
  <si>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</si>
  <si>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</si>
  <si>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</si>
  <si>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</si>
  <si>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</si>
  <si>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</si>
  <si>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</si>
  <si>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</si>
  <si>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</si>
  <si>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</si>
  <si>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</si>
  <si>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</si>
  <si>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</si>
  <si>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</si>
  <si>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</si>
  <si>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</si>
  <si>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</si>
  <si>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</si>
  <si>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</si>
  <si>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</si>
  <si>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</si>
  <si>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</si>
  <si>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</si>
  <si>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</si>
  <si>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</si>
  <si>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</si>
  <si>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</si>
  <si>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</si>
  <si>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</si>
  <si>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</si>
  <si>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</si>
  <si>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</si>
  <si>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</si>
  <si>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</si>
  <si>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</si>
  <si>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</si>
  <si>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</si>
  <si>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</si>
  <si>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</si>
  <si>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</si>
  <si>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</si>
  <si>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</si>
  <si>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</si>
  <si>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</si>
  <si>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</si>
  <si>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</si>
  <si>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</si>
  <si>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</si>
  <si>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</si>
  <si>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</si>
  <si>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</si>
  <si>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</si>
  <si>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</si>
  <si>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</si>
  <si>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</si>
  <si>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</si>
  <si>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</si>
  <si>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</si>
  <si>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</si>
  <si>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</si>
  <si>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</si>
  <si>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</si>
  <si>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</si>
  <si>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</si>
  <si>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</si>
  <si>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</si>
  <si>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</si>
  <si>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</si>
  <si>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</si>
  <si>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</si>
  <si>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</si>
  <si>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</si>
  <si>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</si>
  <si>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</si>
  <si>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</si>
  <si>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</si>
  <si>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</si>
  <si>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</si>
  <si>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</si>
  <si>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</si>
  <si>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</si>
  <si>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</si>
  <si>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</si>
  <si>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</si>
  <si>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</si>
  <si>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</si>
  <si>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</si>
  <si>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</si>
  <si>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</si>
  <si>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</si>
  <si>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</si>
  <si>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</si>
  <si>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</si>
  <si>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</si>
  <si>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</si>
  <si>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</si>
  <si>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</si>
  <si>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</si>
  <si>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</si>
  <si>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</si>
  <si>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</si>
  <si>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</si>
  <si>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</si>
  <si>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</si>
  <si>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</si>
  <si>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</si>
  <si>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</si>
  <si>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</si>
  <si>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</si>
  <si>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</si>
  <si>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</si>
  <si>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</si>
  <si>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</si>
  <si>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</si>
  <si>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</si>
  <si>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</si>
  <si>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</si>
  <si>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</si>
  <si>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</si>
  <si>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</si>
  <si>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</si>
  <si>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</si>
  <si>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</si>
  <si>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</si>
  <si>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</si>
  <si>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</si>
  <si>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</si>
  <si>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</si>
  <si>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</si>
  <si>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</si>
  <si>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</si>
  <si>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</si>
  <si>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</si>
  <si>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</si>
  <si>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</si>
  <si>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</si>
  <si>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</si>
  <si>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</si>
  <si>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</si>
  <si>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</si>
  <si>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</si>
  <si>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</si>
  <si>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</si>
  <si>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</si>
  <si>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</si>
  <si>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</si>
  <si>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</si>
  <si>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</si>
  <si>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</si>
  <si>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</si>
  <si>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</si>
  <si>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</si>
  <si>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</si>
  <si>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</si>
  <si>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</si>
  <si>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</si>
  <si>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</si>
  <si>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</si>
  <si>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</si>
  <si>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</si>
  <si>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</si>
  <si>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</si>
  <si>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</si>
  <si>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</si>
  <si>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</si>
  <si>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</si>
  <si>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</si>
  <si>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</si>
  <si>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</si>
  <si>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</si>
  <si>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</si>
  <si>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</si>
  <si>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</si>
  <si>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</si>
  <si>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</si>
  <si>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</si>
  <si>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</si>
  <si>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</si>
  <si>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</si>
  <si>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</si>
  <si>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</si>
  <si>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</si>
  <si>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</si>
  <si>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</si>
  <si>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</si>
  <si>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</si>
  <si>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</si>
  <si>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</si>
  <si>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</si>
  <si>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</si>
  <si>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</si>
  <si>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</si>
  <si>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</si>
  <si>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</si>
  <si>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</si>
  <si>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</si>
  <si>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</si>
  <si>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</si>
  <si>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</si>
  <si>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</si>
  <si>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</si>
  <si>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</si>
  <si>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</si>
  <si>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</si>
  <si>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</si>
  <si>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</si>
  <si>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</si>
  <si>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</si>
  <si>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</si>
  <si>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</si>
  <si>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</si>
  <si>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</si>
  <si>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</si>
  <si>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</si>
  <si>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</si>
  <si>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</si>
  <si>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</si>
  <si>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</si>
  <si>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</si>
  <si>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</si>
  <si>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</si>
  <si>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</si>
  <si>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</si>
  <si>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</si>
  <si>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</si>
  <si>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</si>
  <si>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</si>
  <si>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</si>
  <si>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</si>
  <si>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</si>
  <si>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</si>
  <si>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</si>
  <si>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</si>
  <si>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</si>
  <si>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</si>
  <si>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</si>
  <si>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</si>
  <si>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</si>
  <si>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</si>
  <si>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</si>
  <si>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</si>
  <si>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</si>
  <si>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</si>
  <si>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</si>
  <si>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</si>
  <si>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</si>
  <si>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</si>
  <si>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</si>
  <si>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</si>
  <si>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</si>
  <si>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</si>
  <si>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</si>
  <si>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</si>
  <si>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</si>
  <si>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</si>
  <si>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</si>
  <si>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</si>
  <si>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</si>
  <si>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</si>
  <si>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</si>
  <si>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</si>
  <si>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</si>
  <si>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</si>
  <si>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</si>
  <si>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</si>
  <si>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</si>
  <si>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</si>
  <si>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</si>
  <si>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</si>
  <si>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</si>
  <si>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</si>
  <si>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</si>
  <si>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</si>
  <si>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</si>
  <si>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</si>
  <si>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</si>
  <si>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</si>
  <si>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</si>
  <si>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</si>
  <si>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</si>
  <si>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</si>
  <si>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</si>
  <si>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</si>
  <si>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</si>
  <si>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</si>
  <si>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</si>
  <si>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</si>
  <si>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</si>
  <si>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</si>
  <si>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</si>
  <si>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</si>
  <si>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</si>
  <si>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</si>
  <si>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</si>
  <si>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</si>
  <si>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</si>
  <si>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</si>
  <si>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</si>
  <si>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</si>
  <si>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</si>
  <si>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</si>
  <si>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</si>
  <si>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</si>
  <si>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</si>
  <si>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</si>
  <si>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</si>
  <si>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</si>
  <si>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</si>
  <si>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</si>
  <si>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</si>
  <si>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</si>
  <si>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</si>
  <si>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</si>
  <si>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</si>
  <si>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</si>
  <si>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</si>
  <si>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</si>
  <si>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</si>
  <si>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</si>
  <si>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</si>
  <si>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</si>
  <si>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</si>
  <si>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</si>
  <si>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</si>
  <si>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</si>
  <si>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</si>
  <si>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</si>
  <si>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</si>
  <si>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</si>
  <si>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</si>
  <si>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</si>
  <si>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</si>
  <si>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</si>
  <si>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</si>
  <si>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</si>
  <si>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</si>
  <si>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</si>
  <si>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</si>
  <si>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</si>
  <si>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</si>
  <si>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</si>
  <si>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</si>
  <si>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</si>
  <si>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</si>
  <si>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</si>
  <si>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</si>
  <si>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</si>
  <si>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</si>
  <si>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</si>
  <si>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</si>
  <si>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</si>
  <si>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</si>
  <si>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</si>
  <si>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</si>
  <si>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</si>
  <si>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</si>
  <si>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</si>
  <si>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</si>
  <si>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</si>
  <si>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</si>
  <si>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</si>
  <si>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</si>
  <si>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</si>
  <si>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</si>
  <si>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</si>
  <si>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</si>
  <si>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</si>
  <si>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</si>
  <si>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</si>
  <si>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</si>
  <si>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</si>
  <si>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</si>
  <si>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</si>
  <si>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</si>
  <si>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</si>
  <si>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</si>
  <si>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</si>
  <si>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</si>
  <si>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</si>
  <si>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</si>
  <si>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</si>
  <si>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</si>
  <si>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</si>
  <si>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</si>
  <si>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</si>
  <si>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</si>
  <si>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</si>
  <si>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</si>
  <si>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</si>
  <si>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</si>
  <si>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</si>
  <si>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</si>
  <si>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</si>
  <si>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</si>
  <si>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</si>
  <si>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</si>
  <si>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</si>
  <si>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</si>
  <si>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</si>
  <si>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</si>
  <si>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</si>
  <si>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</si>
  <si>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</si>
  <si>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</si>
  <si>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</si>
  <si>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</si>
  <si>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</si>
  <si>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</si>
  <si>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</si>
  <si>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</si>
  <si>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</si>
  <si>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</si>
  <si>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</si>
  <si>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</si>
  <si>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</si>
  <si>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</si>
  <si>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</si>
  <si>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</si>
  <si>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</si>
  <si>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</si>
  <si>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</si>
  <si>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</si>
  <si>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</si>
  <si>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</si>
  <si>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</si>
  <si>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</si>
  <si>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</si>
  <si>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</si>
  <si>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</si>
  <si>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</si>
  <si>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</si>
  <si>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</si>
  <si>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</si>
  <si>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</si>
  <si>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</si>
  <si>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</si>
  <si>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</si>
  <si>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</si>
  <si>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</si>
  <si>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</si>
  <si>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</si>
  <si>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</si>
  <si>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</si>
  <si>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</si>
  <si>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</si>
  <si>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</si>
  <si>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</si>
  <si>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</si>
  <si>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</si>
  <si>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</si>
  <si>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</si>
  <si>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</si>
  <si>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</si>
  <si>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</si>
  <si>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</si>
  <si>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</si>
  <si>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</si>
  <si>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</si>
  <si>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</si>
  <si>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</si>
  <si>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</si>
  <si>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</si>
  <si>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</si>
  <si>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</si>
  <si>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</si>
  <si>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</si>
  <si>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</si>
  <si>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</si>
  <si>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</si>
  <si>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</si>
  <si>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</si>
  <si>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</si>
  <si>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</si>
  <si>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</si>
  <si>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</si>
  <si>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</si>
  <si>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</si>
  <si>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</si>
  <si>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</si>
  <si>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</si>
  <si>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</si>
  <si>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</si>
  <si>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</si>
  <si>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</si>
  <si>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</si>
  <si>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</si>
  <si>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</si>
  <si>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</si>
  <si>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</si>
  <si>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</si>
  <si>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</si>
  <si>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</si>
  <si>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</si>
  <si>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</si>
  <si>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</si>
  <si>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</si>
  <si>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</si>
  <si>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</si>
  <si>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</si>
  <si>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</si>
  <si>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</si>
  <si>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</si>
  <si>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</si>
  <si>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</si>
  <si>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</si>
  <si>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</si>
  <si>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</si>
  <si>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</si>
  <si>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</si>
  <si>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</si>
  <si>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</si>
  <si>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</si>
  <si>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</si>
  <si>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</si>
  <si>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</si>
  <si>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</si>
  <si>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</si>
  <si>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</si>
  <si>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</si>
  <si>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</si>
  <si>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</si>
  <si>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</si>
  <si>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</si>
  <si>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</si>
  <si>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</si>
  <si>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</si>
  <si>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</si>
  <si>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</si>
  <si>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</si>
  <si>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</si>
  <si>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</si>
  <si>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</si>
  <si>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</si>
  <si>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</si>
  <si>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</si>
  <si>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</si>
  <si>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</si>
  <si>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</si>
  <si>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</si>
  <si>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</si>
  <si>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</si>
  <si>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</si>
  <si>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</si>
  <si>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</si>
  <si>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</si>
  <si>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</si>
  <si>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</si>
  <si>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</si>
  <si>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</si>
  <si>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</si>
  <si>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</si>
  <si>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</si>
  <si>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</si>
  <si>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</si>
  <si>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</si>
  <si>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</si>
  <si>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</si>
  <si>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</si>
  <si>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</si>
  <si>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</si>
  <si>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</si>
  <si>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</si>
  <si>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</si>
  <si>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</si>
  <si>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</si>
  <si>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</si>
  <si>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</si>
  <si>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</si>
  <si>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</si>
  <si>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</si>
  <si>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</si>
  <si>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</si>
  <si>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</si>
  <si>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</si>
  <si>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</si>
  <si>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</si>
  <si>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</si>
  <si>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</si>
  <si>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</si>
  <si>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</si>
  <si>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</si>
  <si>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</si>
  <si>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</si>
  <si>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</si>
  <si>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</si>
  <si>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</si>
  <si>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</si>
  <si>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</si>
  <si>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</si>
  <si>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</si>
  <si>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</si>
  <si>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</si>
  <si>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</si>
  <si>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</si>
  <si>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</si>
  <si>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</si>
  <si>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</si>
  <si>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</si>
  <si>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</si>
  <si>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</si>
  <si>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</si>
  <si>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</si>
  <si>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</si>
  <si>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</si>
  <si>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</si>
  <si>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</si>
  <si>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</si>
  <si>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</si>
  <si>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</si>
  <si>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</si>
  <si>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</si>
  <si>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</si>
  <si>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</si>
  <si>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</si>
  <si>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</si>
  <si>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</si>
  <si>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</si>
  <si>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</si>
  <si>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</si>
  <si>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</si>
  <si>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</si>
  <si>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</si>
  <si>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</si>
  <si>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</si>
  <si>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</si>
  <si>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</si>
  <si>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</si>
  <si>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</si>
  <si>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</si>
  <si>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</si>
  <si>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</si>
  <si>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</si>
  <si>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</si>
  <si>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</si>
  <si>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</si>
  <si>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</si>
  <si>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</si>
  <si>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</si>
  <si>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</si>
  <si>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</si>
  <si>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</si>
  <si>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</si>
  <si>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</si>
  <si>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</si>
  <si>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</si>
  <si>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</si>
  <si>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</si>
  <si>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</si>
  <si>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</si>
  <si>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</si>
  <si>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</si>
  <si>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</si>
  <si>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</si>
  <si>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</si>
  <si>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</si>
  <si>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</si>
  <si>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</si>
  <si>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</si>
  <si>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</si>
  <si>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</si>
  <si>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</si>
  <si>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</si>
  <si>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</si>
  <si>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</si>
  <si>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</si>
  <si>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</si>
  <si>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</si>
  <si>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</si>
  <si>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</si>
  <si>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</si>
  <si>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</si>
  <si>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</si>
  <si>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</si>
  <si>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</si>
  <si>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</si>
  <si>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</si>
  <si>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</si>
  <si>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</si>
  <si>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</si>
  <si>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</si>
  <si>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</si>
  <si>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</si>
  <si>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</si>
  <si>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</si>
  <si>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</si>
  <si>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</si>
  <si>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</si>
  <si>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</si>
  <si>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</si>
  <si>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</si>
  <si>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</si>
  <si>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</si>
  <si>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</si>
  <si>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</si>
  <si>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</si>
  <si>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</si>
  <si>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</si>
  <si>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</si>
  <si>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</si>
  <si>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</si>
  <si>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</si>
  <si>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</si>
  <si>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</si>
  <si>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</si>
  <si>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</si>
  <si>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</si>
  <si>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</si>
  <si>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</si>
  <si>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</si>
  <si>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</si>
  <si>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</si>
  <si>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</si>
  <si>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</si>
  <si>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</si>
  <si>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</si>
  <si>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</si>
  <si>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</si>
  <si>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</si>
  <si>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</si>
  <si>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</si>
  <si>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</si>
  <si>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</si>
  <si>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</si>
  <si>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</si>
  <si>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</si>
  <si>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</si>
  <si>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</si>
  <si>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</si>
  <si>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</si>
  <si>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</si>
  <si>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</si>
  <si>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</si>
  <si>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</si>
  <si>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</si>
  <si>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</si>
  <si>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</si>
  <si>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</si>
  <si>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</si>
  <si>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</si>
  <si>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</si>
  <si>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</si>
  <si>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</si>
  <si>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</si>
  <si>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</si>
  <si>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</si>
  <si>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</si>
  <si>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</si>
  <si>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</si>
  <si>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</si>
  <si>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</si>
  <si>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</si>
  <si>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</si>
  <si>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</si>
  <si>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</si>
  <si>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</si>
  <si>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</si>
  <si>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</si>
  <si>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</si>
  <si>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</si>
  <si>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</si>
  <si>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</si>
  <si>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</si>
  <si>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</si>
  <si>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</si>
  <si>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</si>
  <si>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</si>
  <si>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</si>
  <si>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</si>
  <si>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</si>
  <si>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</si>
  <si>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</si>
  <si>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</si>
  <si>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</si>
  <si>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</si>
  <si>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</si>
  <si>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</si>
  <si>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</si>
  <si>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</si>
  <si>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</si>
  <si>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</si>
  <si>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</si>
  <si>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</si>
  <si>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</si>
  <si>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</si>
  <si>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</si>
  <si>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</si>
  <si>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</si>
  <si>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</si>
  <si>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</si>
  <si>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</si>
  <si>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</si>
  <si>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</si>
  <si>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</si>
  <si>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</si>
  <si>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</si>
  <si>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</si>
  <si>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</si>
  <si>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</si>
  <si>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</si>
  <si>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</si>
  <si>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</si>
  <si>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</si>
  <si>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</si>
  <si>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</si>
  <si>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</si>
  <si>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</si>
  <si>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</si>
  <si>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</si>
  <si>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</si>
  <si>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</si>
  <si>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</si>
  <si>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</si>
  <si>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</si>
  <si>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</si>
  <si>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</si>
  <si>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</si>
  <si>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</si>
  <si>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</si>
  <si>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</si>
  <si>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</si>
  <si>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</si>
  <si>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</si>
  <si>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</si>
  <si>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</si>
  <si>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</si>
  <si>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</si>
  <si>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</si>
  <si>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</si>
  <si>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</si>
  <si>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</si>
  <si>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</si>
  <si>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</si>
  <si>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</si>
  <si>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</si>
  <si>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</si>
  <si>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</si>
  <si>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</si>
  <si>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</si>
  <si>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</si>
  <si>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</si>
  <si>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</si>
  <si>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</si>
  <si>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</si>
  <si>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</si>
  <si>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</si>
  <si>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</si>
  <si>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</si>
  <si>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</si>
  <si>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</si>
  <si>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</si>
  <si>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</si>
  <si>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</si>
  <si>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</si>
  <si>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</si>
  <si>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</si>
  <si>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</si>
  <si>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</si>
  <si>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</si>
  <si>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</si>
  <si>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</si>
  <si>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</si>
  <si>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</si>
  <si>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</si>
  <si>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</si>
  <si>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</si>
  <si>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</si>
  <si>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</si>
  <si>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</si>
  <si>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</si>
  <si>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</si>
  <si>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</si>
  <si>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</si>
  <si>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</si>
  <si>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</si>
  <si>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</si>
  <si>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</si>
  <si>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</si>
  <si>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</si>
  <si>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</si>
  <si>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</si>
  <si>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</si>
  <si>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</si>
  <si>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</si>
  <si>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</si>
  <si>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</si>
  <si>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</si>
  <si>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</si>
  <si>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</si>
  <si>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</si>
  <si>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</si>
  <si>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</si>
  <si>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</si>
  <si>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</si>
  <si>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</si>
  <si>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</si>
  <si>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</si>
  <si>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</si>
  <si>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</si>
  <si>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</si>
  <si>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</si>
  <si>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</si>
  <si>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</si>
  <si>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</si>
  <si>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</si>
  <si>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</si>
  <si>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</si>
  <si>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</si>
  <si>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</si>
  <si>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</si>
  <si>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</si>
  <si>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</si>
  <si>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</si>
  <si>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</si>
  <si>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</si>
  <si>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</si>
  <si>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</si>
  <si>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</si>
  <si>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</si>
  <si>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</si>
  <si>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</si>
  <si>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</si>
  <si>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</si>
  <si>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</si>
  <si>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</si>
  <si>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</si>
  <si>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</si>
  <si>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</si>
  <si>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</si>
  <si>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</si>
  <si>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</si>
  <si>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</si>
  <si>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</si>
  <si>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</si>
  <si>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</si>
  <si>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</si>
  <si>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</si>
  <si>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</si>
  <si>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</si>
  <si>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</si>
  <si>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</si>
  <si>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</si>
  <si>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</si>
  <si>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</si>
  <si>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</si>
  <si>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</si>
  <si>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</si>
  <si>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</si>
  <si>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</si>
  <si>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</si>
  <si>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</si>
  <si>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</si>
  <si>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</si>
  <si>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</si>
  <si>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</si>
  <si>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</si>
  <si>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</si>
  <si>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</si>
  <si>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</si>
  <si>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</si>
  <si>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</si>
  <si>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</si>
  <si>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</si>
  <si>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</si>
  <si>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</si>
  <si>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</si>
  <si>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</si>
  <si>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</si>
  <si>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</si>
  <si>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</si>
  <si>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</si>
  <si>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</si>
  <si>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</si>
  <si>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</si>
  <si>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</si>
  <si>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</si>
  <si>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</si>
  <si>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</si>
  <si>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</si>
  <si>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</si>
  <si>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</si>
  <si>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</si>
  <si>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</si>
  <si>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</si>
  <si>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</si>
  <si>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</si>
  <si>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</si>
  <si>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</si>
  <si>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</si>
  <si>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</si>
  <si>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</si>
  <si>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</si>
  <si>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</si>
  <si>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</si>
  <si>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</si>
  <si>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</si>
  <si>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</si>
  <si>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</si>
  <si>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</si>
  <si>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</si>
  <si>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</si>
  <si>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</si>
  <si>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</si>
  <si>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</si>
  <si>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</si>
  <si>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</si>
  <si>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</si>
  <si>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</si>
  <si>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</si>
  <si>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</si>
  <si>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</si>
  <si>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</si>
  <si>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</si>
  <si>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</si>
  <si>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</si>
  <si>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</si>
  <si>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</si>
  <si>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</si>
  <si>
    <t>10:E7:C6:30:87:63</t>
  </si>
  <si>
    <t>KETAN</t>
  </si>
  <si>
    <t>C:\Users\AT\Downloads\DetailedStatement(1).xlsx</t>
  </si>
  <si>
    <t>The Sutex Co-op. Bank A/c.</t>
  </si>
  <si>
    <t>295 - KETAN JOGANI</t>
  </si>
  <si>
    <t>BOI (P)</t>
  </si>
  <si>
    <t>SCOPB (P)</t>
  </si>
  <si>
    <r>
      <rPr>
        <b/>
        <sz val="11"/>
        <rFont val="Arial MT"/>
        <family val="2"/>
      </rPr>
      <t>Sr No</t>
    </r>
  </si>
  <si>
    <r>
      <rPr>
        <b/>
        <sz val="11"/>
        <rFont val="Arial MT"/>
        <family val="2"/>
      </rPr>
      <t>Date</t>
    </r>
  </si>
  <si>
    <r>
      <rPr>
        <b/>
        <sz val="11"/>
        <rFont val="Arial MT"/>
        <family val="2"/>
      </rPr>
      <t>Remarks</t>
    </r>
  </si>
  <si>
    <r>
      <rPr>
        <b/>
        <sz val="11"/>
        <rFont val="Arial MT"/>
        <family val="2"/>
      </rPr>
      <t>Debit</t>
    </r>
  </si>
  <si>
    <r>
      <rPr>
        <b/>
        <sz val="11"/>
        <rFont val="Arial MT"/>
        <family val="2"/>
      </rPr>
      <t>Credit</t>
    </r>
  </si>
  <si>
    <r>
      <rPr>
        <b/>
        <sz val="11"/>
        <rFont val="Arial MT"/>
        <family val="2"/>
      </rPr>
      <t>Balance</t>
    </r>
  </si>
  <si>
    <t xml:space="preserve">Bank of India </t>
  </si>
  <si>
    <r>
      <rPr>
        <sz val="9.5"/>
        <rFont val="Times New Roman"/>
        <family val="1"/>
      </rPr>
      <t>Tran Date</t>
    </r>
  </si>
  <si>
    <r>
      <rPr>
        <sz val="9.5"/>
        <rFont val="Times New Roman"/>
        <family val="1"/>
      </rPr>
      <t>Chq No</t>
    </r>
  </si>
  <si>
    <r>
      <rPr>
        <b/>
        <sz val="9.5"/>
        <rFont val="Times New Roman"/>
        <family val="1"/>
      </rPr>
      <t>Particulars</t>
    </r>
  </si>
  <si>
    <r>
      <rPr>
        <b/>
        <sz val="9.5"/>
        <rFont val="Times New Roman"/>
        <family val="1"/>
      </rPr>
      <t>Debit</t>
    </r>
  </si>
  <si>
    <r>
      <rPr>
        <sz val="9.5"/>
        <rFont val="Times New Roman"/>
        <family val="1"/>
      </rPr>
      <t>Credit</t>
    </r>
  </si>
  <si>
    <r>
      <rPr>
        <b/>
        <sz val="9.5"/>
        <rFont val="Times New Roman"/>
        <family val="1"/>
      </rPr>
      <t>Balance</t>
    </r>
  </si>
  <si>
    <r>
      <rPr>
        <b/>
        <sz val="9.5"/>
        <rFont val="Times New Roman"/>
        <family val="1"/>
      </rPr>
      <t xml:space="preserve">Init.
</t>
    </r>
    <r>
      <rPr>
        <sz val="9.5"/>
        <rFont val="Times New Roman"/>
        <family val="1"/>
      </rPr>
      <t>Br</t>
    </r>
  </si>
  <si>
    <t>Axis (P)</t>
  </si>
  <si>
    <t>Axis (P) : 135</t>
  </si>
  <si>
    <r>
      <rPr>
        <b/>
        <sz val="10"/>
        <color rgb="FFFFFFFF"/>
        <rFont val="Arial"/>
        <family val="2"/>
      </rPr>
      <t>TRAN DATE</t>
    </r>
  </si>
  <si>
    <r>
      <rPr>
        <b/>
        <sz val="10"/>
        <color rgb="FFFFFFFF"/>
        <rFont val="Arial"/>
        <family val="2"/>
      </rPr>
      <t>VALUE DATE</t>
    </r>
  </si>
  <si>
    <r>
      <rPr>
        <b/>
        <sz val="10"/>
        <color rgb="FFFFFFFF"/>
        <rFont val="Arial"/>
        <family val="2"/>
      </rPr>
      <t>NARRATION</t>
    </r>
  </si>
  <si>
    <r>
      <rPr>
        <b/>
        <sz val="10"/>
        <color rgb="FFFFFFFF"/>
        <rFont val="Arial"/>
        <family val="2"/>
      </rPr>
      <t>CHQ.NO.</t>
    </r>
  </si>
  <si>
    <r>
      <rPr>
        <b/>
        <sz val="10"/>
        <color rgb="FFFFFFFF"/>
        <rFont val="Arial"/>
        <family val="2"/>
      </rPr>
      <t>WITHDRAWAL(DR)</t>
    </r>
  </si>
  <si>
    <r>
      <rPr>
        <b/>
        <sz val="10"/>
        <color rgb="FFFFFFFF"/>
        <rFont val="Arial"/>
        <family val="2"/>
      </rPr>
      <t>DEPOSIT(CR)</t>
    </r>
  </si>
  <si>
    <r>
      <rPr>
        <b/>
        <sz val="10"/>
        <color rgb="FFFFFFFF"/>
        <rFont val="Arial"/>
        <family val="2"/>
      </rPr>
      <t>BALANCE(INR)</t>
    </r>
  </si>
  <si>
    <r>
      <rPr>
        <sz val="10"/>
        <rFont val="Arial MT"/>
        <family val="2"/>
      </rPr>
      <t xml:space="preserve">UPI/102373336247/19:07:21/UPI/paytmqr5
</t>
    </r>
    <r>
      <rPr>
        <sz val="10"/>
        <rFont val="Arial MT"/>
        <family val="2"/>
      </rPr>
      <t>ch4nv@ptys/</t>
    </r>
  </si>
  <si>
    <r>
      <rPr>
        <sz val="10"/>
        <rFont val="Arial MT"/>
        <family val="2"/>
      </rPr>
      <t>73,075.65Cr</t>
    </r>
  </si>
  <si>
    <r>
      <rPr>
        <sz val="10"/>
        <rFont val="Arial MT"/>
        <family val="2"/>
      </rPr>
      <t xml:space="preserve">UPI/102352383394/12:31:32/UPI/paytmqr2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</si>
  <si>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73,125.65Cr</t>
    </r>
  </si>
  <si>
    <r>
      <rPr>
        <sz val="10"/>
        <rFont val="Arial MT"/>
        <family val="2"/>
      </rPr>
      <t xml:space="preserve">UPI/102338471121/06:23:34/UPI/paytm.d1
</t>
    </r>
    <r>
      <rPr>
        <sz val="10"/>
        <rFont val="Arial MT"/>
        <family val="2"/>
      </rPr>
      <t>0860324079@</t>
    </r>
  </si>
  <si>
    <r>
      <rPr>
        <sz val="10"/>
        <rFont val="Arial MT"/>
        <family val="2"/>
      </rPr>
      <t>73,925.65Cr</t>
    </r>
  </si>
  <si>
    <r>
      <rPr>
        <sz val="10"/>
        <rFont val="Arial MT"/>
        <family val="2"/>
      </rPr>
      <t xml:space="preserve">UPI/102331944858/22:03:09/UPI/msshivsh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</si>
  <si>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74,025.65Cr</t>
    </r>
  </si>
  <si>
    <r>
      <rPr>
        <sz val="10"/>
        <rFont val="Arial MT"/>
        <family val="2"/>
      </rPr>
      <t xml:space="preserve">CHARGES FOR
</t>
    </r>
    <r>
      <rPr>
        <sz val="10"/>
        <rFont val="Arial MT"/>
        <family val="2"/>
      </rPr>
      <t>:IMPS/P2A/508819942538/XXXXXXXX</t>
    </r>
  </si>
  <si>
    <r>
      <rPr>
        <sz val="10"/>
        <rFont val="Arial MT"/>
        <family val="2"/>
      </rPr>
      <t>1,49,025.65Cr</t>
    </r>
  </si>
  <si>
    <r>
      <rPr>
        <sz val="10"/>
        <rFont val="Arial MT"/>
        <family val="2"/>
      </rPr>
      <t xml:space="preserve">IMPS/P2A/508819942538/XXXXXXXXXX0
</t>
    </r>
    <r>
      <rPr>
        <sz val="10"/>
        <rFont val="Arial MT"/>
        <family val="2"/>
      </rPr>
      <t>609/SHIVSHAKTIfa</t>
    </r>
  </si>
  <si>
    <r>
      <rPr>
        <sz val="10"/>
        <rFont val="Arial MT"/>
        <family val="2"/>
      </rPr>
      <t>1,00,000.00</t>
    </r>
  </si>
  <si>
    <r>
      <rPr>
        <sz val="10"/>
        <rFont val="Arial MT"/>
        <family val="2"/>
      </rPr>
      <t>1,49,034.50Cr</t>
    </r>
  </si>
  <si>
    <r>
      <rPr>
        <sz val="10"/>
        <rFont val="Arial MT"/>
        <family val="2"/>
      </rPr>
      <t xml:space="preserve">UPI/508803228383/19:42:02/UPI/msshivsh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</si>
  <si>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2,49,034.50Cr</t>
    </r>
  </si>
  <si>
    <r>
      <rPr>
        <sz val="10"/>
        <rFont val="Arial MT"/>
        <family val="2"/>
      </rPr>
      <t>SURANI FASHION PRIVATE LIMITED</t>
    </r>
  </si>
  <si>
    <r>
      <rPr>
        <sz val="10"/>
        <rFont val="Arial MT"/>
        <family val="2"/>
      </rPr>
      <t>2,25,000.00</t>
    </r>
  </si>
  <si>
    <r>
      <rPr>
        <sz val="10"/>
        <rFont val="Arial MT"/>
        <family val="2"/>
      </rPr>
      <t>2,99,034.50Cr</t>
    </r>
  </si>
  <si>
    <r>
      <rPr>
        <sz val="10"/>
        <rFont val="Arial MT"/>
        <family val="2"/>
      </rPr>
      <t xml:space="preserve">UPI/102249589546/16:56:11/UPI/98795955
</t>
    </r>
    <r>
      <rPr>
        <sz val="10"/>
        <rFont val="Arial MT"/>
        <family val="2"/>
      </rPr>
      <t>68@okbizaxi</t>
    </r>
  </si>
  <si>
    <r>
      <rPr>
        <sz val="10"/>
        <rFont val="Arial MT"/>
        <family val="2"/>
      </rPr>
      <t>74,034.50Cr</t>
    </r>
  </si>
  <si>
    <r>
      <rPr>
        <sz val="10"/>
        <rFont val="Arial MT"/>
        <family val="2"/>
      </rPr>
      <t xml:space="preserve">UPI/100253884590/12:30:38/UPI/gspc.billd
</t>
    </r>
    <r>
      <rPr>
        <sz val="10"/>
        <rFont val="Arial MT"/>
        <family val="2"/>
      </rPr>
      <t>esk@hdfcb</t>
    </r>
  </si>
  <si>
    <r>
      <rPr>
        <sz val="10"/>
        <rFont val="Arial MT"/>
        <family val="2"/>
      </rPr>
      <t>74,409.50Cr</t>
    </r>
  </si>
  <si>
    <r>
      <rPr>
        <sz val="10"/>
        <rFont val="Arial MT"/>
        <family val="2"/>
      </rPr>
      <t xml:space="preserve">UPI/102227262601/10:12:10/UPI/sc972787
</t>
    </r>
    <r>
      <rPr>
        <sz val="10"/>
        <rFont val="Arial MT"/>
        <family val="2"/>
      </rPr>
      <t>7851-1@okhd</t>
    </r>
  </si>
  <si>
    <r>
      <rPr>
        <sz val="10"/>
        <rFont val="Arial MT"/>
        <family val="2"/>
      </rPr>
      <t>77,124.50Cr</t>
    </r>
  </si>
  <si>
    <r>
      <rPr>
        <sz val="10"/>
        <rFont val="Arial MT"/>
        <family val="2"/>
      </rPr>
      <t xml:space="preserve">UPI/102146557555/18:15:13/UPI/kakadiya
</t>
    </r>
    <r>
      <rPr>
        <sz val="10"/>
        <rFont val="Arial MT"/>
        <family val="2"/>
      </rPr>
      <t>mayur2550-1</t>
    </r>
  </si>
  <si>
    <r>
      <rPr>
        <sz val="10"/>
        <rFont val="Arial MT"/>
        <family val="2"/>
      </rPr>
      <t>82,124.50Cr</t>
    </r>
  </si>
  <si>
    <r>
      <rPr>
        <sz val="10"/>
        <rFont val="Arial MT"/>
        <family val="2"/>
      </rPr>
      <t xml:space="preserve">UPI/074965328905/16:14:57/UPI/97642875
</t>
    </r>
    <r>
      <rPr>
        <sz val="10"/>
        <rFont val="Arial MT"/>
        <family val="2"/>
      </rPr>
      <t>28@ybl/Paym</t>
    </r>
  </si>
  <si>
    <r>
      <rPr>
        <sz val="10"/>
        <rFont val="Arial MT"/>
        <family val="2"/>
      </rPr>
      <t>1,00,124.50Cr</t>
    </r>
  </si>
  <si>
    <r>
      <rPr>
        <sz val="10"/>
        <rFont val="Arial MT"/>
        <family val="2"/>
      </rPr>
      <t xml:space="preserve">UPI/102138601794/15:45:46/UPI/sp042207
</t>
    </r>
    <r>
      <rPr>
        <sz val="10"/>
        <rFont val="Arial MT"/>
        <family val="2"/>
      </rPr>
      <t>7-1@oksbi/U</t>
    </r>
  </si>
  <si>
    <r>
      <rPr>
        <sz val="10"/>
        <rFont val="Arial MT"/>
        <family val="2"/>
      </rPr>
      <t xml:space="preserve">UPI/102093496532/18:34:41/UPI/q1961106
</t>
    </r>
    <r>
      <rPr>
        <sz val="10"/>
        <rFont val="Arial MT"/>
        <family val="2"/>
      </rPr>
      <t>46@ybl/UPI</t>
    </r>
  </si>
  <si>
    <r>
      <rPr>
        <sz val="10"/>
        <rFont val="Arial MT"/>
        <family val="2"/>
      </rPr>
      <t>82,574.50Cr</t>
    </r>
  </si>
  <si>
    <r>
      <rPr>
        <sz val="10"/>
        <rFont val="Arial MT"/>
        <family val="2"/>
      </rPr>
      <t xml:space="preserve">UPI/102079919059/14:14:09/UPI/mahavir0
</t>
    </r>
    <r>
      <rPr>
        <sz val="10"/>
        <rFont val="Arial MT"/>
        <family val="2"/>
      </rPr>
      <t>zala@okaxis</t>
    </r>
  </si>
  <si>
    <r>
      <rPr>
        <sz val="10"/>
        <rFont val="Arial MT"/>
        <family val="2"/>
      </rPr>
      <t>84,074.50Cr</t>
    </r>
  </si>
  <si>
    <r>
      <rPr>
        <sz val="10"/>
        <rFont val="Arial MT"/>
        <family val="2"/>
      </rPr>
      <t xml:space="preserve">UPI/102036964916/17:12:58/UPI/bharatbir
</t>
    </r>
    <r>
      <rPr>
        <sz val="10"/>
        <rFont val="Arial MT"/>
        <family val="2"/>
      </rPr>
      <t>ajdar1984@</t>
    </r>
  </si>
  <si>
    <r>
      <rPr>
        <sz val="10"/>
        <rFont val="Arial MT"/>
        <family val="2"/>
      </rPr>
      <t>84,724.50Cr</t>
    </r>
  </si>
  <si>
    <r>
      <rPr>
        <sz val="10"/>
        <rFont val="Arial MT"/>
        <family val="2"/>
      </rPr>
      <t xml:space="preserve">UPI/102005853851/22:48:11/UPI/q9093398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</si>
  <si>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83,724.50Cr</t>
    </r>
  </si>
  <si>
    <r>
      <rPr>
        <sz val="10"/>
        <rFont val="Arial MT"/>
        <family val="2"/>
      </rPr>
      <t xml:space="preserve">UPI/102002151557/21:27:30/UPI/paytm-
</t>
    </r>
    <r>
      <rPr>
        <sz val="10"/>
        <rFont val="Arial MT"/>
        <family val="2"/>
      </rPr>
      <t>8943346@ptys/</t>
    </r>
  </si>
  <si>
    <r>
      <rPr>
        <sz val="10"/>
        <rFont val="Arial MT"/>
        <family val="2"/>
      </rPr>
      <t>84,964.50Cr</t>
    </r>
  </si>
  <si>
    <r>
      <rPr>
        <sz val="10"/>
        <rFont val="Arial MT"/>
        <family val="2"/>
      </rPr>
      <t xml:space="preserve">UPI/101988788787/18:38:02/UPI/paytm-
</t>
    </r>
    <r>
      <rPr>
        <sz val="10"/>
        <rFont val="Arial MT"/>
        <family val="2"/>
      </rPr>
      <t>8742914@ptys/</t>
    </r>
  </si>
  <si>
    <r>
      <rPr>
        <sz val="10"/>
        <rFont val="Arial MT"/>
        <family val="2"/>
      </rPr>
      <t>85,539.50Cr</t>
    </r>
  </si>
  <si>
    <r>
      <rPr>
        <sz val="10"/>
        <rFont val="Arial MT"/>
        <family val="2"/>
      </rPr>
      <t xml:space="preserve">UPI/101971205164/12:30:46/UPI/q2418215
</t>
    </r>
    <r>
      <rPr>
        <sz val="10"/>
        <rFont val="Arial MT"/>
        <family val="2"/>
      </rPr>
      <t>33@ybl/UPI</t>
    </r>
  </si>
  <si>
    <r>
      <rPr>
        <sz val="10"/>
        <rFont val="Arial MT"/>
        <family val="2"/>
      </rPr>
      <t>86,057.50Cr</t>
    </r>
  </si>
  <si>
    <r>
      <rPr>
        <sz val="10"/>
        <rFont val="Arial MT"/>
        <family val="2"/>
      </rPr>
      <t xml:space="preserve">UPI/101962618122/09:27:31/UPI/q7671196
</t>
    </r>
    <r>
      <rPr>
        <sz val="10"/>
        <rFont val="Arial MT"/>
        <family val="2"/>
      </rPr>
      <t>96@ybl/UPI</t>
    </r>
  </si>
  <si>
    <r>
      <rPr>
        <sz val="10"/>
        <rFont val="Arial MT"/>
        <family val="2"/>
      </rPr>
      <t>87,657.50Cr</t>
    </r>
  </si>
  <si>
    <r>
      <rPr>
        <sz val="10"/>
        <rFont val="Arial MT"/>
        <family val="2"/>
      </rPr>
      <t xml:space="preserve">UPI/101962520388/09:25:07/UPI/q2024800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</si>
  <si>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88,157.50Cr</t>
    </r>
  </si>
  <si>
    <r>
      <rPr>
        <sz val="10"/>
        <rFont val="Arial MT"/>
        <family val="2"/>
      </rPr>
      <t xml:space="preserve">UPI/101959966103/08:13:27/UPI/gpayrech
</t>
    </r>
    <r>
      <rPr>
        <sz val="10"/>
        <rFont val="Arial MT"/>
        <family val="2"/>
      </rPr>
      <t>arge@okpaya</t>
    </r>
  </si>
  <si>
    <r>
      <rPr>
        <sz val="10"/>
        <rFont val="Arial MT"/>
        <family val="2"/>
      </rPr>
      <t>88,529.50Cr</t>
    </r>
  </si>
  <si>
    <r>
      <rPr>
        <sz val="10"/>
        <rFont val="Arial MT"/>
        <family val="2"/>
      </rPr>
      <t xml:space="preserve">UPI/101958409723/06:57:34/UPI/paytmqr6
</t>
    </r>
    <r>
      <rPr>
        <sz val="10"/>
        <rFont val="Arial MT"/>
        <family val="2"/>
      </rPr>
      <t>0ft6r@ptys/</t>
    </r>
  </si>
  <si>
    <r>
      <rPr>
        <sz val="10"/>
        <rFont val="Arial MT"/>
        <family val="2"/>
      </rPr>
      <t>88,830.40Cr</t>
    </r>
  </si>
  <si>
    <r>
      <rPr>
        <sz val="10"/>
        <rFont val="Arial MT"/>
        <family val="2"/>
      </rPr>
      <t xml:space="preserve">UPI/101833151918/18:46:37/UPI/paytmqr2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</si>
  <si>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89,348.40Cr</t>
    </r>
  </si>
  <si>
    <r>
      <rPr>
        <sz val="10"/>
        <rFont val="Arial MT"/>
        <family val="2"/>
      </rPr>
      <t>Loan Recovery For34670600002627</t>
    </r>
  </si>
  <si>
    <r>
      <rPr>
        <sz val="10"/>
        <rFont val="Arial MT"/>
        <family val="2"/>
      </rPr>
      <t>90,268.40Cr</t>
    </r>
  </si>
  <si>
    <t>2903/225000/8</t>
  </si>
  <si>
    <t>2703/18000/13</t>
  </si>
  <si>
    <t>2503/1000/17</t>
  </si>
  <si>
    <t>SURANI FASHION PRIVATE LIMITED</t>
  </si>
  <si>
    <t>UPI 102373336247</t>
  </si>
  <si>
    <t>19:07:21 / UPI / paytmqr5
ch4nv@ptys /</t>
  </si>
  <si>
    <t>UPI 102352383394</t>
  </si>
  <si>
    <t>12:31:32 / UPI / paytmqr2
81005050101</t>
  </si>
  <si>
    <t>UPI 102338471121</t>
  </si>
  <si>
    <t>06:23:34 / UPI / paytm.d1
0860324079@</t>
  </si>
  <si>
    <t>UPI 102331944858</t>
  </si>
  <si>
    <t>22:03:09 / UPI / msshivsh
aktitexfeb.</t>
  </si>
  <si>
    <t>IMPS 508819942538</t>
  </si>
  <si>
    <t>FOR
:IMPS / P2A / 508819942538 / XXXXXXXX</t>
  </si>
  <si>
    <t>P2A / 508819942538 / XXXXXXXXXX0
609 / SHIVSHAKTIfa</t>
  </si>
  <si>
    <t>UPI 508803228383</t>
  </si>
  <si>
    <t>19:42:02 / UPI / msshivsh
aktitexfeb.</t>
  </si>
  <si>
    <t>UPI 102249589546</t>
  </si>
  <si>
    <t>16:56:11 / UPI / 98795955
68@okbizaxi</t>
  </si>
  <si>
    <t>UPI 100253884590</t>
  </si>
  <si>
    <t>12:30:38 / UPI / gspc.billd
esk@hdfcb</t>
  </si>
  <si>
    <t>UPI 102227262601</t>
  </si>
  <si>
    <t>10:12:10 / UPI / sc972787
7851-1@okhd</t>
  </si>
  <si>
    <t>UPI 102146557555</t>
  </si>
  <si>
    <t>18:15:13 / UPI / kakadiya
mayur2550-1</t>
  </si>
  <si>
    <t>UPI 074965328905</t>
  </si>
  <si>
    <t>16:14:57 / UPI / 97642875
28@ybl / Paym</t>
  </si>
  <si>
    <t>UPI 102138601794</t>
  </si>
  <si>
    <t>15:45:46 / UPI / sp042207
7-1@oksbi / U</t>
  </si>
  <si>
    <t>UPI 102093496532</t>
  </si>
  <si>
    <t>18:34:41 / UPI / q1961106
46@ybl / UPI</t>
  </si>
  <si>
    <t>UPI 102079919059</t>
  </si>
  <si>
    <t>14:14:09 / UPI / mahavir0
zala@okaxis</t>
  </si>
  <si>
    <t>UPI 102036964916</t>
  </si>
  <si>
    <t>17:12:58 / UPI / bharatbir
ajdar1984@</t>
  </si>
  <si>
    <t>UPI 102005853851</t>
  </si>
  <si>
    <t>22:48:11 / UPI / q9093398
55@ybl / UPI</t>
  </si>
  <si>
    <t>UPI 102002151557</t>
  </si>
  <si>
    <t>21:27:30 / UPI / paytm-
8943346@ptys /</t>
  </si>
  <si>
    <t>UPI 101988788787</t>
  </si>
  <si>
    <t>18:38:02 / UPI / paytm-
8742914@ptys /</t>
  </si>
  <si>
    <t>UPI 101971205164</t>
  </si>
  <si>
    <t>12:30:46 / UPI / q2418215
33@ybl / UPI</t>
  </si>
  <si>
    <t>UPI 101962618122</t>
  </si>
  <si>
    <t>09:27:31 / UPI / q7671196
96@ybl / UPI</t>
  </si>
  <si>
    <t>UPI 101962520388</t>
  </si>
  <si>
    <t>09:25:07 / UPI / q2024800
55@ybl / UPI</t>
  </si>
  <si>
    <t>UPI 101959966103</t>
  </si>
  <si>
    <t>08:13:27 / UPI / gpayrech
arge@okpaya</t>
  </si>
  <si>
    <t>UPI 101958409723</t>
  </si>
  <si>
    <t>06:57:34 / UPI / paytmqr6
0ft6r@ptys /</t>
  </si>
  <si>
    <t>UPI 101833151918</t>
  </si>
  <si>
    <t>18:46:37 / UPI / paytmqr2
81005050101</t>
  </si>
  <si>
    <t>Loan Loan Recovery For34670600002627</t>
  </si>
  <si>
    <t>Recovery For34670600002627</t>
  </si>
  <si>
    <t>BOB(P) (2)</t>
  </si>
  <si>
    <t>Transactio n ID</t>
  </si>
  <si>
    <t>Txn Posted Date</t>
  </si>
  <si>
    <t>Transaction Amount(INR)</t>
  </si>
  <si>
    <r>
      <rPr>
        <b/>
        <sz val="12"/>
        <rFont val="Arial"/>
        <family val="2"/>
      </rPr>
      <t>Available Balance(INR
)</t>
    </r>
  </si>
  <si>
    <t>ICICI 3 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</si>
</sst>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8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b/>
      <sz val="11"/>
      <color indexed="8"/>
      <name val="Calibri"/>
      <family val="2"/>
    </font>
    <font>
      <b/>
      <sz val="11"/>
      <name val="Arial MT"/>
      <family val="2"/>
    </font>
    <font>
      <sz val="9.5"/>
      <name val="Times New Roman"/>
      <family val="1"/>
    </font>
    <font>
      <b/>
      <sz val="9.5"/>
      <name val="Times New Roman"/>
      <family val="1"/>
    </font>
    <font>
      <sz val="10"/>
      <color rgb="FF000000"/>
      <name val="Arial MT"/>
      <family val="2"/>
    </font>
    <font>
      <b/>
      <sz val="10"/>
      <color rgb="FFFFFFFF"/>
      <name val="Arial"/>
      <family val="2"/>
    </font>
    <font>
      <b/>
      <sz val="12"/>
      <name val="Arial"/>
      <family val="2"/>
    </font>
    <font>
      <sz val="8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B38C"/>
      </patternFill>
    </fill>
    <fill>
      <patternFill patternType="solid">
        <fgColor rgb="FFFFEDED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  <border>
      <left style="thin">
        <color rgb="FFDFE0E1"/>
      </left>
      <right/>
      <top style="thin">
        <color rgb="FFDFE0E1"/>
      </top>
      <bottom style="thin">
        <color rgb="FFDFE0E1"/>
      </bottom>
      <diagonal/>
    </border>
    <border>
      <left/>
      <right/>
      <top style="thin">
        <color rgb="FFDFE0E1"/>
      </top>
      <bottom style="thin">
        <color rgb="FFDFE0E1"/>
      </bottom>
      <diagonal/>
    </border>
    <border>
      <left/>
      <right style="thin">
        <color rgb="FFDFE0E1"/>
      </right>
      <top style="thin">
        <color rgb="FFDFE0E1"/>
      </top>
      <bottom style="thin">
        <color rgb="FFDFE0E1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60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4" fillId="0" borderId="0" xfId="47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  <xf numFmtId="0" fontId="34" fillId="13" borderId="1" xfId="0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31" fillId="0" borderId="1" xfId="0" applyFont="1" applyBorder="1" applyAlignment="1" applyProtection="1">
      <alignment horizontal="left" vertical="center"/>
      <protection locked="0" hidden="1"/>
    </xf>
    <xf numFmtId="0" fontId="31" fillId="0" borderId="1" xfId="0" applyFont="1" applyBorder="1" applyAlignment="1" applyProtection="1">
      <alignment horizontal="left" vertical="center" wrapText="1"/>
      <protection locked="0" hidden="1"/>
    </xf>
    <xf numFmtId="0" fontId="78" fillId="13" borderId="1" xfId="0" applyFont="1" applyFill="1" applyBorder="1" applyProtection="1">
      <protection locked="0"/>
    </xf>
    <xf numFmtId="0" fontId="1" fillId="13" borderId="1" xfId="0" applyFont="1" applyFill="1" applyBorder="1" applyProtection="1">
      <protection locked="0"/>
    </xf>
    <xf numFmtId="0" fontId="80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left" vertical="center" wrapText="1"/>
    </xf>
    <xf numFmtId="0" fontId="33" fillId="13" borderId="1" xfId="44" applyFill="1" applyBorder="1" applyAlignment="1">
      <alignment horizontal="left" vertical="center" wrapText="1"/>
    </xf>
    <xf numFmtId="0" fontId="29" fillId="54" borderId="57" xfId="44" applyFont="1" applyFill="1" applyBorder="1" applyAlignment="1">
      <alignment horizontal="right" vertical="top" wrapText="1" indent="3"/>
    </xf>
    <xf numFmtId="0" fontId="29" fillId="54" borderId="56" xfId="44" applyFont="1" applyFill="1" applyBorder="1" applyAlignment="1">
      <alignment horizontal="right" vertical="top" wrapText="1" indent="1"/>
    </xf>
    <xf numFmtId="0" fontId="29" fillId="54" borderId="57" xfId="44" applyFont="1" applyFill="1" applyBorder="1" applyAlignment="1">
      <alignment horizontal="center" vertical="top" wrapText="1"/>
    </xf>
    <xf numFmtId="0" fontId="29" fillId="54" borderId="58" xfId="44" applyFont="1" applyFill="1" applyBorder="1" applyAlignment="1">
      <alignment horizontal="right" vertical="top" wrapText="1" indent="1"/>
    </xf>
    <xf numFmtId="165" fontId="82" fillId="0" borderId="56" xfId="44" applyNumberFormat="1" applyFont="1" applyBorder="1" applyAlignment="1" applyProtection="1">
      <alignment horizontal="right" vertical="top" shrinkToFit="1"/>
      <protection locked="0"/>
    </xf>
    <xf numFmtId="165" fontId="82" fillId="0" borderId="57" xfId="44" applyNumberFormat="1" applyFont="1" applyBorder="1" applyAlignment="1" applyProtection="1">
      <alignment horizontal="center" vertical="top" shrinkToFit="1"/>
      <protection locked="0"/>
    </xf>
    <xf numFmtId="0" fontId="33" fillId="0" borderId="57" xfId="44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 vertical="center"/>
      <protection locked="0"/>
    </xf>
    <xf numFmtId="2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55" fillId="0" borderId="58" xfId="44" applyFont="1" applyBorder="1" applyAlignment="1" applyProtection="1">
      <alignment horizontal="right" vertical="top"/>
      <protection locked="0"/>
    </xf>
    <xf numFmtId="165" fontId="82" fillId="55" borderId="56" xfId="44" applyNumberFormat="1" applyFont="1" applyFill="1" applyBorder="1" applyAlignment="1" applyProtection="1">
      <alignment horizontal="right" vertical="top" shrinkToFit="1"/>
      <protection locked="0"/>
    </xf>
    <xf numFmtId="165" fontId="82" fillId="55" borderId="57" xfId="44" applyNumberFormat="1" applyFont="1" applyFill="1" applyBorder="1" applyAlignment="1" applyProtection="1">
      <alignment horizontal="center" vertical="top" shrinkToFit="1"/>
      <protection locked="0"/>
    </xf>
    <xf numFmtId="0" fontId="33" fillId="55" borderId="57" xfId="44" applyFill="1" applyBorder="1" applyAlignment="1" applyProtection="1">
      <alignment horizontal="left" vertical="top"/>
      <protection locked="0"/>
    </xf>
    <xf numFmtId="0" fontId="33" fillId="55" borderId="57" xfId="44" applyFill="1" applyBorder="1" applyAlignment="1" applyProtection="1">
      <alignment horizontal="left" vertical="center"/>
      <protection locked="0"/>
    </xf>
    <xf numFmtId="2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8" xfId="44" applyFont="1" applyFill="1" applyBorder="1" applyAlignment="1" applyProtection="1">
      <alignment horizontal="right" vertical="top"/>
      <protection locked="0"/>
    </xf>
    <xf numFmtId="4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7" xfId="44" applyFont="1" applyFill="1" applyBorder="1" applyAlignment="1" applyProtection="1">
      <alignment horizontal="left" vertical="top"/>
      <protection locked="0"/>
    </xf>
    <xf numFmtId="4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33" fillId="55" borderId="57" xfId="44" applyFill="1" applyBorder="1" applyAlignment="1" applyProtection="1">
      <alignment horizontal="left"/>
      <protection locked="0"/>
    </xf>
    <xf numFmtId="4" fontId="82" fillId="0" borderId="57" xfId="44" applyNumberFormat="1" applyFont="1" applyBorder="1" applyAlignment="1" applyProtection="1">
      <alignment horizontal="left" vertical="top" shrinkToFit="1"/>
      <protection locked="0"/>
    </xf>
    <xf numFmtId="0" fontId="55" fillId="0" borderId="57" xfId="44" applyFont="1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/>
      <protection locked="0"/>
    </xf>
    <xf numFmtId="0" fontId="84" fillId="7" borderId="30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0" fillId="13" borderId="46" xfId="0" applyFill="1" applyBorder="1" applyAlignment="1">
      <alignment horizontal="center" vertical="center"/>
    </xf>
    <xf numFmtId="0" fontId="29" fillId="54" borderId="57" xfId="44" applyFont="1" applyFill="1" applyBorder="1" applyAlignment="1">
      <alignment horizontal="left" vertical="top" wrapText="1" indent="1"/>
    </xf>
    <xf numFmtId="0" fontId="29" fillId="54" borderId="57" xfId="44" applyFont="1" applyFill="1" applyBorder="1" applyAlignment="1">
      <alignment horizontal="left" vertical="top" wrapText="1"/>
    </xf>
    <xf numFmtId="0" fontId="29" fillId="54" borderId="57" xfId="44" applyFont="1" applyFill="1" applyBorder="1" applyAlignment="1">
      <alignment horizontal="right" vertical="top" wrapText="1" indent="3"/>
    </xf>
    <xf numFmtId="0" fontId="81" fillId="13" borderId="1" xfId="44" applyFont="1" applyFill="1" applyBorder="1" applyAlignment="1">
      <alignment horizontal="left" vertical="center" wrapText="1"/>
    </xf>
    <xf numFmtId="0" fontId="80" fillId="13" borderId="1" xfId="44" applyFont="1" applyFill="1" applyBorder="1" applyAlignment="1">
      <alignment horizontal="left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checked="Checked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checked="Checked" fmlaLink="M35" lockText="1" noThreeD="1"/>
</file>

<file path=xl/ctrlProps/ctrlProp28.xml><?xml version="1.0" encoding="utf-8"?>
<formControlPr xmlns="http://schemas.microsoft.com/office/spreadsheetml/2009/9/main" objectType="CheckBox" checked="Checked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ctrlProps/ctrlProp61.xml><?xml version="1.0" encoding="utf-8"?>
<formControlPr xmlns="http://schemas.microsoft.com/office/spreadsheetml/2009/9/main" objectType="CheckBox" fmlaLink="M69" lockText="1" noThreeD="1"/>
</file>

<file path=xl/ctrlProps/ctrlProp62.xml><?xml version="1.0" encoding="utf-8"?>
<formControlPr xmlns="http://schemas.microsoft.com/office/spreadsheetml/2009/9/main" objectType="CheckBox" fmlaLink="M70" lockText="1" noThreeD="1"/>
</file>

<file path=xl/ctrlProps/ctrlProp63.xml><?xml version="1.0" encoding="utf-8"?>
<formControlPr xmlns="http://schemas.microsoft.com/office/spreadsheetml/2009/9/main" objectType="CheckBox" fmlaLink="M71" lockText="1" noThreeD="1"/>
</file>

<file path=xl/ctrlProps/ctrlProp64.xml><?xml version="1.0" encoding="utf-8"?>
<formControlPr xmlns="http://schemas.microsoft.com/office/spreadsheetml/2009/9/main" objectType="CheckBox" fmlaLink="M72" lockText="1" noThreeD="1"/>
</file>

<file path=xl/ctrlProps/ctrlProp65.xml><?xml version="1.0" encoding="utf-8"?>
<formControlPr xmlns="http://schemas.microsoft.com/office/spreadsheetml/2009/9/main" objectType="CheckBox" fmlaLink="M73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3588C9-EC29-49E9-B3F6-034F4244DB7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36A2E1-EA01-4401-B737-62F17AB979E4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6322C65-6821-4BEB-898D-EA795C9776F6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752A76-8753-4D7C-BF2D-D5B08CE5740B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150F50-853D-4ED7-A476-D328F8B20C0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08E978-DF76-4345-9E64-35A800AEAF8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1A3EB4-A26C-42CD-840F-FCFFA9DB0215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4DDDB7-9A1D-49B3-853C-CAEB51CF11D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C92EF1-248B-49A7-A6FE-BB14CE5D18EF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1DE4EA-21ED-4E39-B9E0-34DAC582B779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4FA545-C046-436F-9CF0-A5C3A449869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87087D-D8CE-445B-BAB4-A9D6C2084B39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B8B46C7-E98B-43CB-A87B-79AEB9B06B4C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68C27F4-3FF6-412C-8E00-E4C29F21E5FC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B6634F-A77D-46CA-90E7-B6020D10AB2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C424D1-F63D-4BDF-9B97-368B2E6826C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280995-AA3D-4AFC-81AE-8DED8B7C1D9A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77091" name="ICICI(C) (P)_CheckBox" hidden="1">
              <a:extLst>
                <a:ext uri="{63B3BB69-23CF-44E3-9099-C40C66FF867C}">
                  <a14:compatExt spid="_x0000_s77091"/>
                </a:ext>
                <a:ext uri="{FF2B5EF4-FFF2-40B4-BE49-F238E27FC236}">
                  <a16:creationId xmlns:a16="http://schemas.microsoft.com/office/drawing/2014/main" id="{24D16075-3024-65A3-3AB0-3A289C8FA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77092" name="ICICI(S) (P)_CheckBox" hidden="1">
              <a:extLst>
                <a:ext uri="{63B3BB69-23CF-44E3-9099-C40C66FF867C}">
                  <a14:compatExt spid="_x0000_s77092"/>
                </a:ext>
                <a:ext uri="{FF2B5EF4-FFF2-40B4-BE49-F238E27FC236}">
                  <a16:creationId xmlns:a16="http://schemas.microsoft.com/office/drawing/2014/main" id="{98951736-3EBC-8F86-4340-A1F9DD91C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77093" name="ICICI(C)2 (P)_CheckBox" hidden="1">
              <a:extLst>
                <a:ext uri="{63B3BB69-23CF-44E3-9099-C40C66FF867C}">
                  <a14:compatExt spid="_x0000_s77093"/>
                </a:ext>
                <a:ext uri="{FF2B5EF4-FFF2-40B4-BE49-F238E27FC236}">
                  <a16:creationId xmlns:a16="http://schemas.microsoft.com/office/drawing/2014/main" id="{498A172E-E6FA-5392-A1E1-83B2EDDD3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77094" name="ICICI 3 (P)_CheckBox" hidden="1">
              <a:extLst>
                <a:ext uri="{63B3BB69-23CF-44E3-9099-C40C66FF867C}">
                  <a14:compatExt spid="_x0000_s77094"/>
                </a:ext>
                <a:ext uri="{FF2B5EF4-FFF2-40B4-BE49-F238E27FC236}">
                  <a16:creationId xmlns:a16="http://schemas.microsoft.com/office/drawing/2014/main" id="{FDC5B3C5-841E-9993-E8CD-BE99297FD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 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77095" name="HDFC (P)_CheckBox" hidden="1">
              <a:extLst>
                <a:ext uri="{63B3BB69-23CF-44E3-9099-C40C66FF867C}">
                  <a14:compatExt spid="_x0000_s77095"/>
                </a:ext>
                <a:ext uri="{FF2B5EF4-FFF2-40B4-BE49-F238E27FC236}">
                  <a16:creationId xmlns:a16="http://schemas.microsoft.com/office/drawing/2014/main" id="{786D4B1B-6CCA-2915-09C5-73BB49B04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77096" name="BOB(P)_CheckBox" hidden="1">
              <a:extLst>
                <a:ext uri="{63B3BB69-23CF-44E3-9099-C40C66FF867C}">
                  <a14:compatExt spid="_x0000_s77096"/>
                </a:ext>
                <a:ext uri="{FF2B5EF4-FFF2-40B4-BE49-F238E27FC236}">
                  <a16:creationId xmlns:a16="http://schemas.microsoft.com/office/drawing/2014/main" id="{4C90E3B9-2402-5196-745F-13F9DBF47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77097" name="BOB(P) (2)_CheckBox" hidden="1">
              <a:extLst>
                <a:ext uri="{63B3BB69-23CF-44E3-9099-C40C66FF867C}">
                  <a14:compatExt spid="_x0000_s77097"/>
                </a:ext>
                <a:ext uri="{FF2B5EF4-FFF2-40B4-BE49-F238E27FC236}">
                  <a16:creationId xmlns:a16="http://schemas.microsoft.com/office/drawing/2014/main" id="{57CCC4B6-ABE6-1E8F-572F-152FFBF22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77098" name="Axis(S) (P)_CheckBox" hidden="1">
              <a:extLst>
                <a:ext uri="{63B3BB69-23CF-44E3-9099-C40C66FF867C}">
                  <a14:compatExt spid="_x0000_s77098"/>
                </a:ext>
                <a:ext uri="{FF2B5EF4-FFF2-40B4-BE49-F238E27FC236}">
                  <a16:creationId xmlns:a16="http://schemas.microsoft.com/office/drawing/2014/main" id="{2B472F0E-A577-A0F4-3E69-54D29CBFB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77099" name="Axis(C) (P)_CheckBox" hidden="1">
              <a:extLst>
                <a:ext uri="{63B3BB69-23CF-44E3-9099-C40C66FF867C}">
                  <a14:compatExt spid="_x0000_s77099"/>
                </a:ext>
                <a:ext uri="{FF2B5EF4-FFF2-40B4-BE49-F238E27FC236}">
                  <a16:creationId xmlns:a16="http://schemas.microsoft.com/office/drawing/2014/main" id="{3796F219-B728-3E54-DFDE-958D5DAA4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77100" name="Axis (P)_CheckBox" hidden="1">
              <a:extLst>
                <a:ext uri="{63B3BB69-23CF-44E3-9099-C40C66FF867C}">
                  <a14:compatExt spid="_x0000_s77100"/>
                </a:ext>
                <a:ext uri="{FF2B5EF4-FFF2-40B4-BE49-F238E27FC236}">
                  <a16:creationId xmlns:a16="http://schemas.microsoft.com/office/drawing/2014/main" id="{2AD6C142-456E-C241-9446-0367F1398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77101" name="IDBI (P)_CheckBox" hidden="1">
              <a:extLst>
                <a:ext uri="{63B3BB69-23CF-44E3-9099-C40C66FF867C}">
                  <a14:compatExt spid="_x0000_s77101"/>
                </a:ext>
                <a:ext uri="{FF2B5EF4-FFF2-40B4-BE49-F238E27FC236}">
                  <a16:creationId xmlns:a16="http://schemas.microsoft.com/office/drawing/2014/main" id="{6B3AAE65-C806-C765-0A16-20AAA7F87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77102" name="IDBI(S) (P)_CheckBox" hidden="1">
              <a:extLst>
                <a:ext uri="{63B3BB69-23CF-44E3-9099-C40C66FF867C}">
                  <a14:compatExt spid="_x0000_s77102"/>
                </a:ext>
                <a:ext uri="{FF2B5EF4-FFF2-40B4-BE49-F238E27FC236}">
                  <a16:creationId xmlns:a16="http://schemas.microsoft.com/office/drawing/2014/main" id="{2979F1F6-3D48-4135-5170-222CCCD3A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77103" name="IDFC (P)_CheckBox" hidden="1">
              <a:extLst>
                <a:ext uri="{63B3BB69-23CF-44E3-9099-C40C66FF867C}">
                  <a14:compatExt spid="_x0000_s77103"/>
                </a:ext>
                <a:ext uri="{FF2B5EF4-FFF2-40B4-BE49-F238E27FC236}">
                  <a16:creationId xmlns:a16="http://schemas.microsoft.com/office/drawing/2014/main" id="{61AF11F6-670F-BD55-90BF-F87E54AD9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77104" name="CityUni (P)_CheckBox" hidden="1">
              <a:extLst>
                <a:ext uri="{63B3BB69-23CF-44E3-9099-C40C66FF867C}">
                  <a14:compatExt spid="_x0000_s77104"/>
                </a:ext>
                <a:ext uri="{FF2B5EF4-FFF2-40B4-BE49-F238E27FC236}">
                  <a16:creationId xmlns:a16="http://schemas.microsoft.com/office/drawing/2014/main" id="{FD32878B-67CF-F95D-6BF6-1261215D2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77105" name="indusind (P)_CheckBox" hidden="1">
              <a:extLst>
                <a:ext uri="{63B3BB69-23CF-44E3-9099-C40C66FF867C}">
                  <a14:compatExt spid="_x0000_s77105"/>
                </a:ext>
                <a:ext uri="{FF2B5EF4-FFF2-40B4-BE49-F238E27FC236}">
                  <a16:creationId xmlns:a16="http://schemas.microsoft.com/office/drawing/2014/main" id="{3DE43B4D-4DCB-3692-4353-DA9FD1088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77106" name="Kalupur (P)_CheckBox" hidden="1">
              <a:extLst>
                <a:ext uri="{63B3BB69-23CF-44E3-9099-C40C66FF867C}">
                  <a14:compatExt spid="_x0000_s77106"/>
                </a:ext>
                <a:ext uri="{FF2B5EF4-FFF2-40B4-BE49-F238E27FC236}">
                  <a16:creationId xmlns:a16="http://schemas.microsoft.com/office/drawing/2014/main" id="{F2EC2469-A0C6-9900-1F9C-5476FEA32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77107" name="AU (P)_CheckBox" hidden="1">
              <a:extLst>
                <a:ext uri="{63B3BB69-23CF-44E3-9099-C40C66FF867C}">
                  <a14:compatExt spid="_x0000_s77107"/>
                </a:ext>
                <a:ext uri="{FF2B5EF4-FFF2-40B4-BE49-F238E27FC236}">
                  <a16:creationId xmlns:a16="http://schemas.microsoft.com/office/drawing/2014/main" id="{02A3B339-DA2A-548A-A591-7EA704218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77108" name="SBI (P)_CheckBox" hidden="1">
              <a:extLst>
                <a:ext uri="{63B3BB69-23CF-44E3-9099-C40C66FF867C}">
                  <a14:compatExt spid="_x0000_s77108"/>
                </a:ext>
                <a:ext uri="{FF2B5EF4-FFF2-40B4-BE49-F238E27FC236}">
                  <a16:creationId xmlns:a16="http://schemas.microsoft.com/office/drawing/2014/main" id="{DB51C5F0-C664-6005-3709-D4855E124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77109" name="Union (P)_CheckBox" hidden="1">
              <a:extLst>
                <a:ext uri="{63B3BB69-23CF-44E3-9099-C40C66FF867C}">
                  <a14:compatExt spid="_x0000_s77109"/>
                </a:ext>
                <a:ext uri="{FF2B5EF4-FFF2-40B4-BE49-F238E27FC236}">
                  <a16:creationId xmlns:a16="http://schemas.microsoft.com/office/drawing/2014/main" id="{7E5FEFB6-34B0-9445-88CC-3EBB1EFC2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77110" name="Union2 (P)_CheckBox" hidden="1">
              <a:extLst>
                <a:ext uri="{63B3BB69-23CF-44E3-9099-C40C66FF867C}">
                  <a14:compatExt spid="_x0000_s77110"/>
                </a:ext>
                <a:ext uri="{FF2B5EF4-FFF2-40B4-BE49-F238E27FC236}">
                  <a16:creationId xmlns:a16="http://schemas.microsoft.com/office/drawing/2014/main" id="{2ED95D58-368D-6C9C-661E-A22D81355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77111" name="Kotak (P)_CheckBox" hidden="1">
              <a:extLst>
                <a:ext uri="{63B3BB69-23CF-44E3-9099-C40C66FF867C}">
                  <a14:compatExt spid="_x0000_s77111"/>
                </a:ext>
                <a:ext uri="{FF2B5EF4-FFF2-40B4-BE49-F238E27FC236}">
                  <a16:creationId xmlns:a16="http://schemas.microsoft.com/office/drawing/2014/main" id="{AEFCA27A-0276-BDBB-90D7-6361DE2D7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77112" name="Kotak2 (P)_CheckBox" hidden="1">
              <a:extLst>
                <a:ext uri="{63B3BB69-23CF-44E3-9099-C40C66FF867C}">
                  <a14:compatExt spid="_x0000_s77112"/>
                </a:ext>
                <a:ext uri="{FF2B5EF4-FFF2-40B4-BE49-F238E27FC236}">
                  <a16:creationId xmlns:a16="http://schemas.microsoft.com/office/drawing/2014/main" id="{39EA24D8-8A75-DE73-821A-62576E5E5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77113" name="Kotak3 (P)_CheckBox" hidden="1">
              <a:extLst>
                <a:ext uri="{63B3BB69-23CF-44E3-9099-C40C66FF867C}">
                  <a14:compatExt spid="_x0000_s77113"/>
                </a:ext>
                <a:ext uri="{FF2B5EF4-FFF2-40B4-BE49-F238E27FC236}">
                  <a16:creationId xmlns:a16="http://schemas.microsoft.com/office/drawing/2014/main" id="{B3CE8C77-B137-14BC-B9C6-78F4B1A63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77114" name="CBI (P)_CheckBox" hidden="1">
              <a:extLst>
                <a:ext uri="{63B3BB69-23CF-44E3-9099-C40C66FF867C}">
                  <a14:compatExt spid="_x0000_s77114"/>
                </a:ext>
                <a:ext uri="{FF2B5EF4-FFF2-40B4-BE49-F238E27FC236}">
                  <a16:creationId xmlns:a16="http://schemas.microsoft.com/office/drawing/2014/main" id="{A8DA0051-4C8A-3D63-B2A5-DAD800D60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77115" name="NEWINDIA(P)_CheckBox" hidden="1">
              <a:extLst>
                <a:ext uri="{63B3BB69-23CF-44E3-9099-C40C66FF867C}">
                  <a14:compatExt spid="_x0000_s77115"/>
                </a:ext>
                <a:ext uri="{FF2B5EF4-FFF2-40B4-BE49-F238E27FC236}">
                  <a16:creationId xmlns:a16="http://schemas.microsoft.com/office/drawing/2014/main" id="{88C071FA-CB9A-9E95-81D0-588216C34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77116" name="Varachha (P)_CheckBox" hidden="1">
              <a:extLst>
                <a:ext uri="{63B3BB69-23CF-44E3-9099-C40C66FF867C}">
                  <a14:compatExt spid="_x0000_s77116"/>
                </a:ext>
                <a:ext uri="{FF2B5EF4-FFF2-40B4-BE49-F238E27FC236}">
                  <a16:creationId xmlns:a16="http://schemas.microsoft.com/office/drawing/2014/main" id="{41B28F17-2E8C-079D-AB9B-E5CE3B4B2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77117" name="BOI (P)_CheckBox" hidden="1">
              <a:extLst>
                <a:ext uri="{63B3BB69-23CF-44E3-9099-C40C66FF867C}">
                  <a14:compatExt spid="_x0000_s77117"/>
                </a:ext>
                <a:ext uri="{FF2B5EF4-FFF2-40B4-BE49-F238E27FC236}">
                  <a16:creationId xmlns:a16="http://schemas.microsoft.com/office/drawing/2014/main" id="{526FA096-EDCA-169A-8A81-A6D589480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77118" name="SCOPB (P)_CheckBox" hidden="1">
              <a:extLst>
                <a:ext uri="{63B3BB69-23CF-44E3-9099-C40C66FF867C}">
                  <a14:compatExt spid="_x0000_s77118"/>
                </a:ext>
                <a:ext uri="{FF2B5EF4-FFF2-40B4-BE49-F238E27FC236}">
                  <a16:creationId xmlns:a16="http://schemas.microsoft.com/office/drawing/2014/main" id="{021F6223-DDF0-6C7C-4DC7-7E217337B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SCOPB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77119" name="SDCB (P)_CheckBox" hidden="1">
              <a:extLst>
                <a:ext uri="{63B3BB69-23CF-44E3-9099-C40C66FF867C}">
                  <a14:compatExt spid="_x0000_s77119"/>
                </a:ext>
                <a:ext uri="{FF2B5EF4-FFF2-40B4-BE49-F238E27FC236}">
                  <a16:creationId xmlns:a16="http://schemas.microsoft.com/office/drawing/2014/main" id="{BB92B678-D1B2-CAB1-6BCE-DE3E81454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77120" name="ICICI(C)_CheckBox" hidden="1">
              <a:extLst>
                <a:ext uri="{63B3BB69-23CF-44E3-9099-C40C66FF867C}">
                  <a14:compatExt spid="_x0000_s77120"/>
                </a:ext>
                <a:ext uri="{FF2B5EF4-FFF2-40B4-BE49-F238E27FC236}">
                  <a16:creationId xmlns:a16="http://schemas.microsoft.com/office/drawing/2014/main" id="{4CBF53BE-CA4B-4E95-A501-8C5B1CEE5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77121" name="ICICI(S)_CheckBox" hidden="1">
              <a:extLst>
                <a:ext uri="{63B3BB69-23CF-44E3-9099-C40C66FF867C}">
                  <a14:compatExt spid="_x0000_s77121"/>
                </a:ext>
                <a:ext uri="{FF2B5EF4-FFF2-40B4-BE49-F238E27FC236}">
                  <a16:creationId xmlns:a16="http://schemas.microsoft.com/office/drawing/2014/main" id="{D5CD2041-1BD3-8117-0594-43756C657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77122" name="HDFC_CheckBox" hidden="1">
              <a:extLst>
                <a:ext uri="{63B3BB69-23CF-44E3-9099-C40C66FF867C}">
                  <a14:compatExt spid="_x0000_s77122"/>
                </a:ext>
                <a:ext uri="{FF2B5EF4-FFF2-40B4-BE49-F238E27FC236}">
                  <a16:creationId xmlns:a16="http://schemas.microsoft.com/office/drawing/2014/main" id="{7380A5AE-DEB9-2137-DC16-20F545259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77123" name="Kotak(C)_CheckBox" hidden="1">
              <a:extLst>
                <a:ext uri="{63B3BB69-23CF-44E3-9099-C40C66FF867C}">
                  <a14:compatExt spid="_x0000_s77123"/>
                </a:ext>
                <a:ext uri="{FF2B5EF4-FFF2-40B4-BE49-F238E27FC236}">
                  <a16:creationId xmlns:a16="http://schemas.microsoft.com/office/drawing/2014/main" id="{AC442A69-3A6D-DD77-B807-1F116D52A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77124" name="Kotak(S)_CheckBox" hidden="1">
              <a:extLst>
                <a:ext uri="{63B3BB69-23CF-44E3-9099-C40C66FF867C}">
                  <a14:compatExt spid="_x0000_s77124"/>
                </a:ext>
                <a:ext uri="{FF2B5EF4-FFF2-40B4-BE49-F238E27FC236}">
                  <a16:creationId xmlns:a16="http://schemas.microsoft.com/office/drawing/2014/main" id="{D1622471-D3A0-8B19-575A-2BFF62037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77125" name="Axis(S)_CheckBox" hidden="1">
              <a:extLst>
                <a:ext uri="{63B3BB69-23CF-44E3-9099-C40C66FF867C}">
                  <a14:compatExt spid="_x0000_s77125"/>
                </a:ext>
                <a:ext uri="{FF2B5EF4-FFF2-40B4-BE49-F238E27FC236}">
                  <a16:creationId xmlns:a16="http://schemas.microsoft.com/office/drawing/2014/main" id="{A9DDD906-D569-D855-E37C-0243C3720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77126" name="Axis(S) (2)_CheckBox" hidden="1">
              <a:extLst>
                <a:ext uri="{63B3BB69-23CF-44E3-9099-C40C66FF867C}">
                  <a14:compatExt spid="_x0000_s77126"/>
                </a:ext>
                <a:ext uri="{FF2B5EF4-FFF2-40B4-BE49-F238E27FC236}">
                  <a16:creationId xmlns:a16="http://schemas.microsoft.com/office/drawing/2014/main" id="{B298DA76-4F0C-B406-3730-B29736F57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77127" name="Axis(C)_CheckBox" hidden="1">
              <a:extLst>
                <a:ext uri="{63B3BB69-23CF-44E3-9099-C40C66FF867C}">
                  <a14:compatExt spid="_x0000_s77127"/>
                </a:ext>
                <a:ext uri="{FF2B5EF4-FFF2-40B4-BE49-F238E27FC236}">
                  <a16:creationId xmlns:a16="http://schemas.microsoft.com/office/drawing/2014/main" id="{893524F7-4C77-BB60-A24A-DBFBE657A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77128" name="Yes_CheckBox" hidden="1">
              <a:extLst>
                <a:ext uri="{63B3BB69-23CF-44E3-9099-C40C66FF867C}">
                  <a14:compatExt spid="_x0000_s77128"/>
                </a:ext>
                <a:ext uri="{FF2B5EF4-FFF2-40B4-BE49-F238E27FC236}">
                  <a16:creationId xmlns:a16="http://schemas.microsoft.com/office/drawing/2014/main" id="{1D2BB384-59CA-3220-8177-B25AD4A74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77129" name="indusind_CheckBox" hidden="1">
              <a:extLst>
                <a:ext uri="{63B3BB69-23CF-44E3-9099-C40C66FF867C}">
                  <a14:compatExt spid="_x0000_s77129"/>
                </a:ext>
                <a:ext uri="{FF2B5EF4-FFF2-40B4-BE49-F238E27FC236}">
                  <a16:creationId xmlns:a16="http://schemas.microsoft.com/office/drawing/2014/main" id="{F50BC471-F971-3339-1E44-C28FBC592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77130" name="IDBI_CheckBox" hidden="1">
              <a:extLst>
                <a:ext uri="{63B3BB69-23CF-44E3-9099-C40C66FF867C}">
                  <a14:compatExt spid="_x0000_s77130"/>
                </a:ext>
                <a:ext uri="{FF2B5EF4-FFF2-40B4-BE49-F238E27FC236}">
                  <a16:creationId xmlns:a16="http://schemas.microsoft.com/office/drawing/2014/main" id="{915322C6-ED95-1F9B-EE58-99BBFF5D9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77131" name="Bandhan_CheckBox" hidden="1">
              <a:extLst>
                <a:ext uri="{63B3BB69-23CF-44E3-9099-C40C66FF867C}">
                  <a14:compatExt spid="_x0000_s77131"/>
                </a:ext>
                <a:ext uri="{FF2B5EF4-FFF2-40B4-BE49-F238E27FC236}">
                  <a16:creationId xmlns:a16="http://schemas.microsoft.com/office/drawing/2014/main" id="{02493F1C-82A2-5A19-24E1-D96A3FA00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77132" name="Indian_CheckBox" hidden="1">
              <a:extLst>
                <a:ext uri="{63B3BB69-23CF-44E3-9099-C40C66FF867C}">
                  <a14:compatExt spid="_x0000_s77132"/>
                </a:ext>
                <a:ext uri="{FF2B5EF4-FFF2-40B4-BE49-F238E27FC236}">
                  <a16:creationId xmlns:a16="http://schemas.microsoft.com/office/drawing/2014/main" id="{8196F348-D287-7C27-43F8-596B9D4B5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77133" name="IDFC_CheckBox" hidden="1">
              <a:extLst>
                <a:ext uri="{63B3BB69-23CF-44E3-9099-C40C66FF867C}">
                  <a14:compatExt spid="_x0000_s77133"/>
                </a:ext>
                <a:ext uri="{FF2B5EF4-FFF2-40B4-BE49-F238E27FC236}">
                  <a16:creationId xmlns:a16="http://schemas.microsoft.com/office/drawing/2014/main" id="{6C1CF8A1-88A5-1E54-3519-45D794D55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77134" name="RBL_CheckBox" hidden="1">
              <a:extLst>
                <a:ext uri="{63B3BB69-23CF-44E3-9099-C40C66FF867C}">
                  <a14:compatExt spid="_x0000_s77134"/>
                </a:ext>
                <a:ext uri="{FF2B5EF4-FFF2-40B4-BE49-F238E27FC236}">
                  <a16:creationId xmlns:a16="http://schemas.microsoft.com/office/drawing/2014/main" id="{F54FA581-5B66-892A-D02B-C82956F1D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77135" name="Union_CheckBox" hidden="1">
              <a:extLst>
                <a:ext uri="{63B3BB69-23CF-44E3-9099-C40C66FF867C}">
                  <a14:compatExt spid="_x0000_s77135"/>
                </a:ext>
                <a:ext uri="{FF2B5EF4-FFF2-40B4-BE49-F238E27FC236}">
                  <a16:creationId xmlns:a16="http://schemas.microsoft.com/office/drawing/2014/main" id="{AD51B9E2-D813-1CF4-8B5C-5487D1FEF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77136" name="SBI_CheckBox" hidden="1">
              <a:extLst>
                <a:ext uri="{63B3BB69-23CF-44E3-9099-C40C66FF867C}">
                  <a14:compatExt spid="_x0000_s77136"/>
                </a:ext>
                <a:ext uri="{FF2B5EF4-FFF2-40B4-BE49-F238E27FC236}">
                  <a16:creationId xmlns:a16="http://schemas.microsoft.com/office/drawing/2014/main" id="{BE8C48A3-4D7F-F547-7B6D-C581DA9CB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77137" name="BOI_CheckBox" hidden="1">
              <a:extLst>
                <a:ext uri="{63B3BB69-23CF-44E3-9099-C40C66FF867C}">
                  <a14:compatExt spid="_x0000_s77137"/>
                </a:ext>
                <a:ext uri="{FF2B5EF4-FFF2-40B4-BE49-F238E27FC236}">
                  <a16:creationId xmlns:a16="http://schemas.microsoft.com/office/drawing/2014/main" id="{72DE1581-ADDD-1DF8-D98A-51703F127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77138" name="UCO_CheckBox" hidden="1">
              <a:extLst>
                <a:ext uri="{63B3BB69-23CF-44E3-9099-C40C66FF867C}">
                  <a14:compatExt spid="_x0000_s77138"/>
                </a:ext>
                <a:ext uri="{FF2B5EF4-FFF2-40B4-BE49-F238E27FC236}">
                  <a16:creationId xmlns:a16="http://schemas.microsoft.com/office/drawing/2014/main" id="{8F0FF551-2A8E-22CB-DF7D-5AE9509C1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77139" name="CBI_CheckBox" hidden="1">
              <a:extLst>
                <a:ext uri="{63B3BB69-23CF-44E3-9099-C40C66FF867C}">
                  <a14:compatExt spid="_x0000_s77139"/>
                </a:ext>
                <a:ext uri="{FF2B5EF4-FFF2-40B4-BE49-F238E27FC236}">
                  <a16:creationId xmlns:a16="http://schemas.microsoft.com/office/drawing/2014/main" id="{AC588EE8-98F9-DCB2-FA24-4BCF22EA2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77140" name="BOB(C)_CheckBox" hidden="1">
              <a:extLst>
                <a:ext uri="{63B3BB69-23CF-44E3-9099-C40C66FF867C}">
                  <a14:compatExt spid="_x0000_s77140"/>
                </a:ext>
                <a:ext uri="{FF2B5EF4-FFF2-40B4-BE49-F238E27FC236}">
                  <a16:creationId xmlns:a16="http://schemas.microsoft.com/office/drawing/2014/main" id="{C40B9D99-FF23-50FB-FCC7-8BBC46113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77141" name="BOB(S)_CheckBox" hidden="1">
              <a:extLst>
                <a:ext uri="{63B3BB69-23CF-44E3-9099-C40C66FF867C}">
                  <a14:compatExt spid="_x0000_s77141"/>
                </a:ext>
                <a:ext uri="{FF2B5EF4-FFF2-40B4-BE49-F238E27FC236}">
                  <a16:creationId xmlns:a16="http://schemas.microsoft.com/office/drawing/2014/main" id="{686CD21F-68C1-8F88-638B-5D63A0CB4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77142" name="PNB_CheckBox" hidden="1">
              <a:extLst>
                <a:ext uri="{63B3BB69-23CF-44E3-9099-C40C66FF867C}">
                  <a14:compatExt spid="_x0000_s77142"/>
                </a:ext>
                <a:ext uri="{FF2B5EF4-FFF2-40B4-BE49-F238E27FC236}">
                  <a16:creationId xmlns:a16="http://schemas.microsoft.com/office/drawing/2014/main" id="{3B453A35-0814-3CA7-B6B9-2CE2FC75A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77143" name="PNB (2)_CheckBox" hidden="1">
              <a:extLst>
                <a:ext uri="{63B3BB69-23CF-44E3-9099-C40C66FF867C}">
                  <a14:compatExt spid="_x0000_s77143"/>
                </a:ext>
                <a:ext uri="{FF2B5EF4-FFF2-40B4-BE49-F238E27FC236}">
                  <a16:creationId xmlns:a16="http://schemas.microsoft.com/office/drawing/2014/main" id="{6FA1F801-9477-47B3-6729-B082297D7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77144" name="RNSBE_CheckBox" hidden="1">
              <a:extLst>
                <a:ext uri="{63B3BB69-23CF-44E3-9099-C40C66FF867C}">
                  <a14:compatExt spid="_x0000_s77144"/>
                </a:ext>
                <a:ext uri="{FF2B5EF4-FFF2-40B4-BE49-F238E27FC236}">
                  <a16:creationId xmlns:a16="http://schemas.microsoft.com/office/drawing/2014/main" id="{CDADFA2E-7BE1-BFD0-A469-925799C2C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77145" name="Federal_CheckBox" hidden="1">
              <a:extLst>
                <a:ext uri="{63B3BB69-23CF-44E3-9099-C40C66FF867C}">
                  <a14:compatExt spid="_x0000_s77145"/>
                </a:ext>
                <a:ext uri="{FF2B5EF4-FFF2-40B4-BE49-F238E27FC236}">
                  <a16:creationId xmlns:a16="http://schemas.microsoft.com/office/drawing/2014/main" id="{5E77B2A7-63EA-8B4C-CD40-3947DBEA0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77146" name="Varachha_CheckBox" hidden="1">
              <a:extLst>
                <a:ext uri="{63B3BB69-23CF-44E3-9099-C40C66FF867C}">
                  <a14:compatExt spid="_x0000_s77146"/>
                </a:ext>
                <a:ext uri="{FF2B5EF4-FFF2-40B4-BE49-F238E27FC236}">
                  <a16:creationId xmlns:a16="http://schemas.microsoft.com/office/drawing/2014/main" id="{9CF46DB3-FDF0-7D63-0825-5306F184A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77147" name="SNCB_CheckBox" hidden="1">
              <a:extLst>
                <a:ext uri="{63B3BB69-23CF-44E3-9099-C40C66FF867C}">
                  <a14:compatExt spid="_x0000_s77147"/>
                </a:ext>
                <a:ext uri="{FF2B5EF4-FFF2-40B4-BE49-F238E27FC236}">
                  <a16:creationId xmlns:a16="http://schemas.microsoft.com/office/drawing/2014/main" id="{06C8C6D0-FA40-D86F-C3CE-9BC986AB4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77148" name="SDCB_CheckBox" hidden="1">
              <a:extLst>
                <a:ext uri="{63B3BB69-23CF-44E3-9099-C40C66FF867C}">
                  <a14:compatExt spid="_x0000_s77148"/>
                </a:ext>
                <a:ext uri="{FF2B5EF4-FFF2-40B4-BE49-F238E27FC236}">
                  <a16:creationId xmlns:a16="http://schemas.microsoft.com/office/drawing/2014/main" id="{B38E45FA-522F-80E6-97E0-EC34E57EB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77149" name="AU_CheckBox" hidden="1">
              <a:extLst>
                <a:ext uri="{63B3BB69-23CF-44E3-9099-C40C66FF867C}">
                  <a14:compatExt spid="_x0000_s77149"/>
                </a:ext>
                <a:ext uri="{FF2B5EF4-FFF2-40B4-BE49-F238E27FC236}">
                  <a16:creationId xmlns:a16="http://schemas.microsoft.com/office/drawing/2014/main" id="{D05FC512-A5F9-84B8-D26D-0697B4DA5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77150" name="Prime_CheckBox" hidden="1">
              <a:extLst>
                <a:ext uri="{63B3BB69-23CF-44E3-9099-C40C66FF867C}">
                  <a14:compatExt spid="_x0000_s77150"/>
                </a:ext>
                <a:ext uri="{FF2B5EF4-FFF2-40B4-BE49-F238E27FC236}">
                  <a16:creationId xmlns:a16="http://schemas.microsoft.com/office/drawing/2014/main" id="{B9A51297-92A5-0D70-7A03-2C8BA5E82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19050</xdr:rowOff>
        </xdr:to>
        <xdr:sp macro="" textlink="">
          <xdr:nvSpPr>
            <xdr:cNvPr id="77151" name="DCB_CheckBox" hidden="1">
              <a:extLst>
                <a:ext uri="{63B3BB69-23CF-44E3-9099-C40C66FF867C}">
                  <a14:compatExt spid="_x0000_s77151"/>
                </a:ext>
                <a:ext uri="{FF2B5EF4-FFF2-40B4-BE49-F238E27FC236}">
                  <a16:creationId xmlns:a16="http://schemas.microsoft.com/office/drawing/2014/main" id="{38D3C777-E539-5BBB-5814-A4AC0B658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19050</xdr:rowOff>
        </xdr:to>
        <xdr:sp macro="" textlink="">
          <xdr:nvSpPr>
            <xdr:cNvPr id="77152" name="Saraswat_CheckBox" hidden="1">
              <a:extLst>
                <a:ext uri="{63B3BB69-23CF-44E3-9099-C40C66FF867C}">
                  <a14:compatExt spid="_x0000_s77152"/>
                </a:ext>
                <a:ext uri="{FF2B5EF4-FFF2-40B4-BE49-F238E27FC236}">
                  <a16:creationId xmlns:a16="http://schemas.microsoft.com/office/drawing/2014/main" id="{26E6E738-F329-4D6B-1875-ED07CAF6A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19050</xdr:rowOff>
        </xdr:to>
        <xdr:sp macro="" textlink="">
          <xdr:nvSpPr>
            <xdr:cNvPr id="77153" name="Equitas_CheckBox" hidden="1">
              <a:extLst>
                <a:ext uri="{63B3BB69-23CF-44E3-9099-C40C66FF867C}">
                  <a14:compatExt spid="_x0000_s77153"/>
                </a:ext>
                <a:ext uri="{FF2B5EF4-FFF2-40B4-BE49-F238E27FC236}">
                  <a16:creationId xmlns:a16="http://schemas.microsoft.com/office/drawing/2014/main" id="{6D9D63B6-540A-1628-DD42-7E003B7B6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19050</xdr:rowOff>
        </xdr:to>
        <xdr:sp macro="" textlink="">
          <xdr:nvSpPr>
            <xdr:cNvPr id="77154" name="SIB_CheckBox" hidden="1">
              <a:extLst>
                <a:ext uri="{63B3BB69-23CF-44E3-9099-C40C66FF867C}">
                  <a14:compatExt spid="_x0000_s77154"/>
                </a:ext>
                <a:ext uri="{FF2B5EF4-FFF2-40B4-BE49-F238E27FC236}">
                  <a16:creationId xmlns:a16="http://schemas.microsoft.com/office/drawing/2014/main" id="{5B3BA52E-9EC2-EC3D-E7BE-180E06FB3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19050</xdr:rowOff>
        </xdr:to>
        <xdr:sp macro="" textlink="">
          <xdr:nvSpPr>
            <xdr:cNvPr id="77155" name="Canara_CheckBox" hidden="1">
              <a:extLst>
                <a:ext uri="{63B3BB69-23CF-44E3-9099-C40C66FF867C}">
                  <a14:compatExt spid="_x0000_s77155"/>
                </a:ext>
                <a:ext uri="{FF2B5EF4-FFF2-40B4-BE49-F238E27FC236}">
                  <a16:creationId xmlns:a16="http://schemas.microsoft.com/office/drawing/2014/main" id="{5106F6A5-E36E-7293-D2AB-BDB45FD9F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6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6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700" priority="10" operator="equal">
      <formula>#N/A</formula>
    </cfRule>
  </conditionalFormatting>
  <conditionalFormatting sqref="H1">
    <cfRule type="cellIs" dxfId="699" priority="9" operator="equal">
      <formula>#N/A</formula>
    </cfRule>
  </conditionalFormatting>
  <conditionalFormatting sqref="E1">
    <cfRule type="cellIs" dxfId="698" priority="8" operator="equal">
      <formula>#N/A</formula>
    </cfRule>
  </conditionalFormatting>
  <conditionalFormatting sqref="I1">
    <cfRule type="containsText" dxfId="697" priority="6" operator="containsText" text="All Data Import Successfully">
      <formula>NOT(ISERROR(SEARCH("All Data Import Successfully",I1)))</formula>
    </cfRule>
    <cfRule type="containsText" dxfId="696" priority="7" operator="containsText" text="Difference Entry">
      <formula>NOT(ISERROR(SEARCH("Difference Entry",I1)))</formula>
    </cfRule>
  </conditionalFormatting>
  <conditionalFormatting sqref="DG2">
    <cfRule type="cellIs" dxfId="695" priority="5" operator="equal">
      <formula>#N/A</formula>
    </cfRule>
  </conditionalFormatting>
  <conditionalFormatting sqref="DH2:DI2">
    <cfRule type="cellIs" dxfId="694" priority="4" operator="equal">
      <formula>#N/A</formula>
    </cfRule>
  </conditionalFormatting>
  <conditionalFormatting sqref="E2:G2">
    <cfRule type="cellIs" dxfId="693" priority="3" operator="equal">
      <formula>#N/A</formula>
    </cfRule>
  </conditionalFormatting>
  <conditionalFormatting sqref="H2">
    <cfRule type="cellIs" dxfId="692" priority="2" operator="equal">
      <formula>#N/A</formula>
    </cfRule>
  </conditionalFormatting>
  <conditionalFormatting sqref="I2">
    <cfRule type="cellIs" dxfId="69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422</v>
      </c>
      <c r="DD5" s="281">
        <v>0</v>
      </c>
      <c r="DE5" s="281" t="e">
        <v>#VALUE!</v>
      </c>
      <c r="DF5" s="281">
        <v>0</v>
      </c>
      <c r="DG5" s="282" t="s">
        <v>423</v>
      </c>
      <c r="DH5" s="283">
        <v>45504</v>
      </c>
      <c r="DI5" s="284" t="e">
        <v>#VALUE!</v>
      </c>
      <c r="DJ5" s="285" t="s">
        <v>424</v>
      </c>
      <c r="DK5" s="286">
        <v>1</v>
      </c>
    </row>
    <row r="6" spans="1:130">
      <c r="DA6" s="278" t="s">
        <v>60</v>
      </c>
      <c r="DB6" s="279">
        <v>45565</v>
      </c>
      <c r="DC6" s="280" t="s">
        <v>425</v>
      </c>
      <c r="DD6" s="281">
        <v>0</v>
      </c>
      <c r="DE6" s="281" t="e">
        <v>#VALUE!</v>
      </c>
      <c r="DF6" s="281">
        <v>0</v>
      </c>
      <c r="DG6" s="282" t="s">
        <v>426</v>
      </c>
      <c r="DH6" s="283">
        <v>45565</v>
      </c>
      <c r="DI6" s="284" t="e">
        <v>#VALUE!</v>
      </c>
      <c r="DJ6" s="285" t="s">
        <v>427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90" priority="10" operator="equal">
      <formula>#N/A</formula>
    </cfRule>
  </conditionalFormatting>
  <conditionalFormatting sqref="H1">
    <cfRule type="cellIs" dxfId="689" priority="9" operator="equal">
      <formula>#N/A</formula>
    </cfRule>
  </conditionalFormatting>
  <conditionalFormatting sqref="E1">
    <cfRule type="cellIs" dxfId="688" priority="8" operator="equal">
      <formula>#N/A</formula>
    </cfRule>
  </conditionalFormatting>
  <conditionalFormatting sqref="I1">
    <cfRule type="containsText" dxfId="687" priority="6" operator="containsText" text="All Data Import Successfully">
      <formula>NOT(ISERROR(SEARCH("All Data Import Successfully",I1)))</formula>
    </cfRule>
    <cfRule type="containsText" dxfId="686" priority="7" operator="containsText" text="Difference Entry">
      <formula>NOT(ISERROR(SEARCH("Difference Entry",I1)))</formula>
    </cfRule>
  </conditionalFormatting>
  <conditionalFormatting sqref="DG2">
    <cfRule type="cellIs" dxfId="685" priority="5" operator="equal">
      <formula>#N/A</formula>
    </cfRule>
  </conditionalFormatting>
  <conditionalFormatting sqref="DH2:DI2">
    <cfRule type="cellIs" dxfId="684" priority="4" operator="equal">
      <formula>#N/A</formula>
    </cfRule>
  </conditionalFormatting>
  <conditionalFormatting sqref="E2:G2">
    <cfRule type="cellIs" dxfId="683" priority="3" operator="equal">
      <formula>#N/A</formula>
    </cfRule>
  </conditionalFormatting>
  <conditionalFormatting sqref="H2">
    <cfRule type="cellIs" dxfId="682" priority="2" operator="equal">
      <formula>#N/A</formula>
    </cfRule>
  </conditionalFormatting>
  <conditionalFormatting sqref="I2">
    <cfRule type="cellIs" dxfId="6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80" priority="10" operator="equal">
      <formula>#N/A</formula>
    </cfRule>
  </conditionalFormatting>
  <conditionalFormatting sqref="H1">
    <cfRule type="cellIs" dxfId="679" priority="9" operator="equal">
      <formula>#N/A</formula>
    </cfRule>
  </conditionalFormatting>
  <conditionalFormatting sqref="E1">
    <cfRule type="cellIs" dxfId="678" priority="8" operator="equal">
      <formula>#N/A</formula>
    </cfRule>
  </conditionalFormatting>
  <conditionalFormatting sqref="I1">
    <cfRule type="containsText" dxfId="677" priority="6" operator="containsText" text="All Data Import Successfully">
      <formula>NOT(ISERROR(SEARCH("All Data Import Successfully",I1)))</formula>
    </cfRule>
    <cfRule type="containsText" dxfId="676" priority="7" operator="containsText" text="Difference Entry">
      <formula>NOT(ISERROR(SEARCH("Difference Entry",I1)))</formula>
    </cfRule>
  </conditionalFormatting>
  <conditionalFormatting sqref="DG2">
    <cfRule type="cellIs" dxfId="675" priority="5" operator="equal">
      <formula>#N/A</formula>
    </cfRule>
  </conditionalFormatting>
  <conditionalFormatting sqref="DH2:DI2">
    <cfRule type="cellIs" dxfId="674" priority="4" operator="equal">
      <formula>#N/A</formula>
    </cfRule>
  </conditionalFormatting>
  <conditionalFormatting sqref="E2:G2">
    <cfRule type="cellIs" dxfId="673" priority="3" operator="equal">
      <formula>#N/A</formula>
    </cfRule>
  </conditionalFormatting>
  <conditionalFormatting sqref="H2">
    <cfRule type="cellIs" dxfId="672" priority="2" operator="equal">
      <formula>#N/A</formula>
    </cfRule>
  </conditionalFormatting>
  <conditionalFormatting sqref="I2">
    <cfRule type="cellIs" dxfId="6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FF68-2B34-4744-A335-29F81A186A10}">
  <sheetPr codeName="Sheet68">
    <tabColor theme="8" tint="0.79998168889431442"/>
  </sheetPr>
  <dimension ref="A1:DZ4"/>
  <sheetViews>
    <sheetView workbookViewId="0">
      <selection activeCell="D11" sqref="D1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60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ICICI Bank A/c.</v>
      </c>
      <c r="DB3" s="165">
        <f>VALUE(C3)</f>
        <v>0</v>
      </c>
      <c r="DC3" s="166" t="e">
        <f>+CONCATENATE(TEXT(DB3,"D"),"",TEXT(DB3,"MM"),"","/",SUBSTITUTE(DF3,",",""),"/",DK3)</f>
        <v>#VALUE!</v>
      </c>
      <c r="DD3" s="131" t="e">
        <f>IF(G3="CR",VALUE("0"),VALUE(SUBSTITUTE((TRIM(H3)),",","")))</f>
        <v>#VALUE!</v>
      </c>
      <c r="DE3" s="131" t="e">
        <f>IF(G3="DR",VALUE("0"),VALUE(SUBSTITUTE((TRIM(H3)),",","")))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+F3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6.25" customHeight="1">
      <c r="A4" s="340" t="s">
        <v>104</v>
      </c>
      <c r="B4" s="340" t="s">
        <v>1222</v>
      </c>
      <c r="C4" s="340" t="s">
        <v>18</v>
      </c>
      <c r="D4" s="340" t="s">
        <v>1223</v>
      </c>
      <c r="E4" s="340" t="s">
        <v>105</v>
      </c>
      <c r="F4" s="340" t="s">
        <v>19</v>
      </c>
      <c r="G4" s="340" t="s">
        <v>106</v>
      </c>
      <c r="H4" s="340" t="s">
        <v>1224</v>
      </c>
      <c r="I4" s="341" t="s">
        <v>1225</v>
      </c>
      <c r="DA4" s="38" t="str">
        <f>+DA3</f>
        <v>ICICI Bank A/c.</v>
      </c>
    </row>
  </sheetData>
  <sheetProtection algorithmName="SHA-512" hashValue="w3Oqz2XkM1PY9Zg7bdN7IMfavQoP2gIPps25uDFdk34SxvH1tFsp50a4KoqI6bvZuOtSvstUoYzbeFSD++L6pg==" saltValue="slnV26P2wcmTnCLPVEPq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70" priority="11" operator="equal">
      <formula>#N/A</formula>
    </cfRule>
  </conditionalFormatting>
  <conditionalFormatting sqref="DG2">
    <cfRule type="cellIs" dxfId="669" priority="10" operator="equal">
      <formula>#N/A</formula>
    </cfRule>
  </conditionalFormatting>
  <conditionalFormatting sqref="DH2:DI2">
    <cfRule type="cellIs" dxfId="668" priority="9" operator="equal">
      <formula>#N/A</formula>
    </cfRule>
  </conditionalFormatting>
  <conditionalFormatting sqref="I1:I2">
    <cfRule type="cellIs" dxfId="667" priority="8" operator="equal">
      <formula>#N/A</formula>
    </cfRule>
  </conditionalFormatting>
  <conditionalFormatting sqref="H1">
    <cfRule type="cellIs" dxfId="666" priority="7" operator="equal">
      <formula>#N/A</formula>
    </cfRule>
  </conditionalFormatting>
  <conditionalFormatting sqref="E1">
    <cfRule type="cellIs" dxfId="665" priority="6" operator="equal">
      <formula>#N/A</formula>
    </cfRule>
  </conditionalFormatting>
  <conditionalFormatting sqref="I1">
    <cfRule type="containsText" dxfId="664" priority="4" operator="containsText" text="All Data Import Successfully">
      <formula>NOT(ISERROR(SEARCH("All Data Import Successfully",I1)))</formula>
    </cfRule>
    <cfRule type="containsText" dxfId="663" priority="5" operator="containsText" text="Difference Entry">
      <formula>NOT(ISERROR(SEARCH("Difference Entry",I1)))</formula>
    </cfRule>
  </conditionalFormatting>
  <conditionalFormatting sqref="E2:G2">
    <cfRule type="cellIs" dxfId="662" priority="3" operator="equal">
      <formula>#N/A</formula>
    </cfRule>
  </conditionalFormatting>
  <conditionalFormatting sqref="H2">
    <cfRule type="cellIs" dxfId="661" priority="2" operator="equal">
      <formula>#N/A</formula>
    </cfRule>
  </conditionalFormatting>
  <conditionalFormatting sqref="I2">
    <cfRule type="cellIs" dxfId="6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59" priority="11" operator="equal">
      <formula>#N/A</formula>
    </cfRule>
  </conditionalFormatting>
  <conditionalFormatting sqref="DG2">
    <cfRule type="cellIs" dxfId="658" priority="10" operator="equal">
      <formula>#N/A</formula>
    </cfRule>
  </conditionalFormatting>
  <conditionalFormatting sqref="DH2:DI2">
    <cfRule type="cellIs" dxfId="657" priority="9" operator="equal">
      <formula>#N/A</formula>
    </cfRule>
  </conditionalFormatting>
  <conditionalFormatting sqref="I1:I2">
    <cfRule type="cellIs" dxfId="656" priority="8" operator="equal">
      <formula>#N/A</formula>
    </cfRule>
  </conditionalFormatting>
  <conditionalFormatting sqref="H1">
    <cfRule type="cellIs" dxfId="655" priority="7" operator="equal">
      <formula>#N/A</formula>
    </cfRule>
  </conditionalFormatting>
  <conditionalFormatting sqref="E1">
    <cfRule type="cellIs" dxfId="654" priority="6" operator="equal">
      <formula>#N/A</formula>
    </cfRule>
  </conditionalFormatting>
  <conditionalFormatting sqref="I1">
    <cfRule type="containsText" dxfId="653" priority="4" operator="containsText" text="All Data Import Successfully">
      <formula>NOT(ISERROR(SEARCH("All Data Import Successfully",I1)))</formula>
    </cfRule>
    <cfRule type="containsText" dxfId="652" priority="5" operator="containsText" text="Difference Entry">
      <formula>NOT(ISERROR(SEARCH("Difference Entry",I1)))</formula>
    </cfRule>
  </conditionalFormatting>
  <conditionalFormatting sqref="E2:G2">
    <cfRule type="cellIs" dxfId="651" priority="3" operator="equal">
      <formula>#N/A</formula>
    </cfRule>
  </conditionalFormatting>
  <conditionalFormatting sqref="H2">
    <cfRule type="cellIs" dxfId="650" priority="2" operator="equal">
      <formula>#N/A</formula>
    </cfRule>
  </conditionalFormatting>
  <conditionalFormatting sqref="I2">
    <cfRule type="cellIs" dxfId="64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435</v>
      </c>
      <c r="B4" s="299" t="s">
        <v>436</v>
      </c>
      <c r="C4" s="299" t="s">
        <v>437</v>
      </c>
      <c r="D4" s="342" t="s">
        <v>438</v>
      </c>
      <c r="E4" s="342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48" priority="10" operator="equal">
      <formula>#N/A</formula>
    </cfRule>
  </conditionalFormatting>
  <conditionalFormatting sqref="H1">
    <cfRule type="cellIs" dxfId="647" priority="9" operator="equal">
      <formula>#N/A</formula>
    </cfRule>
  </conditionalFormatting>
  <conditionalFormatting sqref="E1">
    <cfRule type="cellIs" dxfId="646" priority="8" operator="equal">
      <formula>#N/A</formula>
    </cfRule>
  </conditionalFormatting>
  <conditionalFormatting sqref="I1">
    <cfRule type="containsText" dxfId="645" priority="6" operator="containsText" text="All Data Import Successfully">
      <formula>NOT(ISERROR(SEARCH("All Data Import Successfully",I1)))</formula>
    </cfRule>
    <cfRule type="containsText" dxfId="644" priority="7" operator="containsText" text="Difference Entry">
      <formula>NOT(ISERROR(SEARCH("Difference Entry",I1)))</formula>
    </cfRule>
  </conditionalFormatting>
  <conditionalFormatting sqref="DG2">
    <cfRule type="cellIs" dxfId="643" priority="5" operator="equal">
      <formula>#N/A</formula>
    </cfRule>
  </conditionalFormatting>
  <conditionalFormatting sqref="DH2:DI2">
    <cfRule type="cellIs" dxfId="642" priority="4" operator="equal">
      <formula>#N/A</formula>
    </cfRule>
  </conditionalFormatting>
  <conditionalFormatting sqref="E2:G2">
    <cfRule type="cellIs" dxfId="641" priority="3" operator="equal">
      <formula>#N/A</formula>
    </cfRule>
  </conditionalFormatting>
  <conditionalFormatting sqref="H2">
    <cfRule type="cellIs" dxfId="640" priority="2" operator="equal">
      <formula>#N/A</formula>
    </cfRule>
  </conditionalFormatting>
  <conditionalFormatting sqref="I2">
    <cfRule type="cellIs" dxfId="63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6E933-6FCD-44B2-8A72-DB654C4B477E}">
  <sheetPr codeName="Sheet67">
    <tabColor theme="8" tint="0.79998168889431442"/>
  </sheetPr>
  <dimension ref="A1:DZ31"/>
  <sheetViews>
    <sheetView showRuler="0" workbookViewId="0">
      <selection activeCell="E18" sqref="E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27</v>
      </c>
      <c r="F2" s="11">
        <f>+COUNTIF($DE:$DE,"&gt;"&amp;0)</f>
        <v>3</v>
      </c>
      <c r="G2" s="11">
        <f>+COUNTIF($DD:$DD,"&gt;"&amp;0)</f>
        <v>24</v>
      </c>
      <c r="H2" s="12">
        <f>+F2+G2</f>
        <v>27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IF(G3="-",VALUE("0"),VALUE(SUBSTITUTE((G3),"-","")))</f>
        <v>#VALUE!</v>
      </c>
      <c r="DE3" s="26" t="e">
        <f>IF(H3="-",VALUE("0"),VALUE(SUBSTITUTE((H3),"-","")))</f>
        <v>#VALUE!</v>
      </c>
      <c r="DF3" s="26" t="e">
        <f>IF(J3="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318" t="s">
        <v>1104</v>
      </c>
      <c r="B4" s="319" t="s">
        <v>1105</v>
      </c>
      <c r="C4" s="343" t="s">
        <v>1106</v>
      </c>
      <c r="D4" s="343"/>
      <c r="E4" s="344" t="s">
        <v>1107</v>
      </c>
      <c r="F4" s="344"/>
      <c r="G4" s="317" t="s">
        <v>1108</v>
      </c>
      <c r="H4" s="345" t="s">
        <v>1109</v>
      </c>
      <c r="I4" s="345"/>
      <c r="J4" s="320" t="s">
        <v>1110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  <row r="5" spans="1:130" ht="15" customHeight="1">
      <c r="A5" s="321">
        <v>45747</v>
      </c>
      <c r="B5" s="322">
        <v>45747</v>
      </c>
      <c r="C5" s="323" t="s">
        <v>1111</v>
      </c>
      <c r="D5" s="323"/>
      <c r="E5" s="324"/>
      <c r="F5" s="324"/>
      <c r="G5" s="325">
        <v>50</v>
      </c>
      <c r="H5" s="324"/>
      <c r="I5" s="324"/>
      <c r="J5" s="326" t="s">
        <v>1112</v>
      </c>
      <c r="DA5" s="278" t="s">
        <v>66</v>
      </c>
      <c r="DB5" s="279">
        <v>45747</v>
      </c>
      <c r="DC5" s="280" t="e">
        <v>#VALUE!</v>
      </c>
      <c r="DD5" s="281">
        <v>50</v>
      </c>
      <c r="DE5" s="281" t="e">
        <v>#VALUE!</v>
      </c>
      <c r="DF5" s="281" t="e">
        <v>#VALUE!</v>
      </c>
      <c r="DG5" s="306" t="s">
        <v>1170</v>
      </c>
      <c r="DH5" s="284">
        <v>45747</v>
      </c>
      <c r="DI5" s="284" t="e">
        <v>#VALUE!</v>
      </c>
      <c r="DJ5" s="310" t="s">
        <v>1171</v>
      </c>
      <c r="DK5" s="286">
        <v>1</v>
      </c>
    </row>
    <row r="6" spans="1:130" ht="15" customHeight="1">
      <c r="A6" s="327">
        <v>45747</v>
      </c>
      <c r="B6" s="328">
        <v>45747</v>
      </c>
      <c r="C6" s="329" t="s">
        <v>1113</v>
      </c>
      <c r="D6" s="329"/>
      <c r="E6" s="330"/>
      <c r="F6" s="330"/>
      <c r="G6" s="331">
        <v>800</v>
      </c>
      <c r="H6" s="330"/>
      <c r="I6" s="330"/>
      <c r="J6" s="332" t="s">
        <v>1114</v>
      </c>
      <c r="DA6" s="278" t="s">
        <v>66</v>
      </c>
      <c r="DB6" s="279">
        <v>45747</v>
      </c>
      <c r="DC6" s="280" t="e">
        <v>#VALUE!</v>
      </c>
      <c r="DD6" s="281">
        <v>800</v>
      </c>
      <c r="DE6" s="281" t="e">
        <v>#VALUE!</v>
      </c>
      <c r="DF6" s="281" t="e">
        <v>#VALUE!</v>
      </c>
      <c r="DG6" s="306" t="s">
        <v>1172</v>
      </c>
      <c r="DH6" s="284">
        <v>45747</v>
      </c>
      <c r="DI6" s="284" t="e">
        <v>#VALUE!</v>
      </c>
      <c r="DJ6" s="310" t="s">
        <v>1173</v>
      </c>
      <c r="DK6" s="286">
        <v>2</v>
      </c>
    </row>
    <row r="7" spans="1:130" ht="15" customHeight="1">
      <c r="A7" s="321">
        <v>45747</v>
      </c>
      <c r="B7" s="322">
        <v>45747</v>
      </c>
      <c r="C7" s="323" t="s">
        <v>1115</v>
      </c>
      <c r="D7" s="323"/>
      <c r="E7" s="324"/>
      <c r="F7" s="324"/>
      <c r="G7" s="325">
        <v>100</v>
      </c>
      <c r="H7" s="324"/>
      <c r="I7" s="324"/>
      <c r="J7" s="326" t="s">
        <v>1116</v>
      </c>
      <c r="DA7" s="278" t="s">
        <v>66</v>
      </c>
      <c r="DB7" s="279">
        <v>45747</v>
      </c>
      <c r="DC7" s="280" t="e">
        <v>#VALUE!</v>
      </c>
      <c r="DD7" s="281">
        <v>100</v>
      </c>
      <c r="DE7" s="281" t="e">
        <v>#VALUE!</v>
      </c>
      <c r="DF7" s="281" t="e">
        <v>#VALUE!</v>
      </c>
      <c r="DG7" s="306" t="s">
        <v>1174</v>
      </c>
      <c r="DH7" s="284">
        <v>45747</v>
      </c>
      <c r="DI7" s="284" t="e">
        <v>#VALUE!</v>
      </c>
      <c r="DJ7" s="310" t="s">
        <v>1175</v>
      </c>
      <c r="DK7" s="286">
        <v>3</v>
      </c>
    </row>
    <row r="8" spans="1:130" ht="15" customHeight="1">
      <c r="A8" s="327">
        <v>45746</v>
      </c>
      <c r="B8" s="328">
        <v>45746</v>
      </c>
      <c r="C8" s="329" t="s">
        <v>1117</v>
      </c>
      <c r="D8" s="329"/>
      <c r="E8" s="330"/>
      <c r="F8" s="330"/>
      <c r="G8" s="333">
        <v>75000</v>
      </c>
      <c r="H8" s="330"/>
      <c r="I8" s="330"/>
      <c r="J8" s="332" t="s">
        <v>1118</v>
      </c>
      <c r="DA8" s="278" t="s">
        <v>66</v>
      </c>
      <c r="DB8" s="279">
        <v>45746</v>
      </c>
      <c r="DC8" s="280" t="e">
        <v>#VALUE!</v>
      </c>
      <c r="DD8" s="281">
        <v>75000</v>
      </c>
      <c r="DE8" s="281" t="e">
        <v>#VALUE!</v>
      </c>
      <c r="DF8" s="281" t="e">
        <v>#VALUE!</v>
      </c>
      <c r="DG8" s="306" t="s">
        <v>1176</v>
      </c>
      <c r="DH8" s="284">
        <v>45746</v>
      </c>
      <c r="DI8" s="284" t="e">
        <v>#VALUE!</v>
      </c>
      <c r="DJ8" s="310" t="s">
        <v>1177</v>
      </c>
      <c r="DK8" s="286">
        <v>4</v>
      </c>
    </row>
    <row r="9" spans="1:130" ht="15" customHeight="1">
      <c r="A9" s="321">
        <v>45745</v>
      </c>
      <c r="B9" s="322">
        <v>45745</v>
      </c>
      <c r="C9" s="323" t="s">
        <v>1119</v>
      </c>
      <c r="D9" s="323"/>
      <c r="E9" s="324"/>
      <c r="F9" s="324"/>
      <c r="G9" s="325">
        <v>8.85</v>
      </c>
      <c r="H9" s="324"/>
      <c r="I9" s="324"/>
      <c r="J9" s="326" t="s">
        <v>1120</v>
      </c>
      <c r="DA9" s="278" t="s">
        <v>66</v>
      </c>
      <c r="DB9" s="279">
        <v>45745</v>
      </c>
      <c r="DC9" s="280" t="e">
        <v>#VALUE!</v>
      </c>
      <c r="DD9" s="281">
        <v>8.85</v>
      </c>
      <c r="DE9" s="281" t="e">
        <v>#VALUE!</v>
      </c>
      <c r="DF9" s="281" t="e">
        <v>#VALUE!</v>
      </c>
      <c r="DG9" s="306" t="s">
        <v>1178</v>
      </c>
      <c r="DH9" s="284">
        <v>45745</v>
      </c>
      <c r="DI9" s="284" t="e">
        <v>#VALUE!</v>
      </c>
      <c r="DJ9" s="310" t="s">
        <v>1179</v>
      </c>
      <c r="DK9" s="286">
        <v>5</v>
      </c>
    </row>
    <row r="10" spans="1:130" ht="15" customHeight="1">
      <c r="A10" s="327">
        <v>45745</v>
      </c>
      <c r="B10" s="328">
        <v>45745</v>
      </c>
      <c r="C10" s="329" t="s">
        <v>1121</v>
      </c>
      <c r="D10" s="329"/>
      <c r="E10" s="330"/>
      <c r="F10" s="330"/>
      <c r="G10" s="334" t="s">
        <v>1122</v>
      </c>
      <c r="H10" s="330"/>
      <c r="I10" s="330"/>
      <c r="J10" s="332" t="s">
        <v>1123</v>
      </c>
      <c r="DA10" s="278" t="s">
        <v>66</v>
      </c>
      <c r="DB10" s="279">
        <v>45745</v>
      </c>
      <c r="DC10" s="280" t="e">
        <v>#VALUE!</v>
      </c>
      <c r="DD10" s="281">
        <v>100000</v>
      </c>
      <c r="DE10" s="281" t="e">
        <v>#VALUE!</v>
      </c>
      <c r="DF10" s="281" t="e">
        <v>#VALUE!</v>
      </c>
      <c r="DG10" s="306" t="s">
        <v>1178</v>
      </c>
      <c r="DH10" s="284">
        <v>45745</v>
      </c>
      <c r="DI10" s="284" t="e">
        <v>#VALUE!</v>
      </c>
      <c r="DJ10" s="310" t="s">
        <v>1180</v>
      </c>
      <c r="DK10" s="286">
        <v>6</v>
      </c>
    </row>
    <row r="11" spans="1:130" ht="15" customHeight="1">
      <c r="A11" s="321">
        <v>45745</v>
      </c>
      <c r="B11" s="322">
        <v>45745</v>
      </c>
      <c r="C11" s="323" t="s">
        <v>1124</v>
      </c>
      <c r="D11" s="323"/>
      <c r="E11" s="324"/>
      <c r="F11" s="324"/>
      <c r="G11" s="335">
        <v>50000</v>
      </c>
      <c r="H11" s="324"/>
      <c r="I11" s="324"/>
      <c r="J11" s="326" t="s">
        <v>1125</v>
      </c>
      <c r="DA11" s="278" t="s">
        <v>66</v>
      </c>
      <c r="DB11" s="279">
        <v>45745</v>
      </c>
      <c r="DC11" s="280" t="e">
        <v>#VALUE!</v>
      </c>
      <c r="DD11" s="281">
        <v>50000</v>
      </c>
      <c r="DE11" s="281" t="e">
        <v>#VALUE!</v>
      </c>
      <c r="DF11" s="281" t="e">
        <v>#VALUE!</v>
      </c>
      <c r="DG11" s="306" t="s">
        <v>1181</v>
      </c>
      <c r="DH11" s="284">
        <v>45745</v>
      </c>
      <c r="DI11" s="284" t="e">
        <v>#VALUE!</v>
      </c>
      <c r="DJ11" s="310" t="s">
        <v>1182</v>
      </c>
      <c r="DK11" s="286">
        <v>7</v>
      </c>
    </row>
    <row r="12" spans="1:130" ht="15" customHeight="1">
      <c r="A12" s="327">
        <v>45745</v>
      </c>
      <c r="B12" s="328">
        <v>45745</v>
      </c>
      <c r="C12" s="334" t="s">
        <v>1126</v>
      </c>
      <c r="D12" s="334"/>
      <c r="E12" s="336"/>
      <c r="F12" s="336"/>
      <c r="G12" s="336"/>
      <c r="H12" s="334" t="s">
        <v>1127</v>
      </c>
      <c r="I12" s="334"/>
      <c r="J12" s="332" t="s">
        <v>1128</v>
      </c>
      <c r="DA12" s="278" t="s">
        <v>66</v>
      </c>
      <c r="DB12" s="279">
        <v>45745</v>
      </c>
      <c r="DC12" s="280" t="s">
        <v>1166</v>
      </c>
      <c r="DD12" s="281" t="e">
        <v>#VALUE!</v>
      </c>
      <c r="DE12" s="281">
        <v>225000</v>
      </c>
      <c r="DF12" s="281">
        <v>225000</v>
      </c>
      <c r="DG12" s="306"/>
      <c r="DH12" s="284">
        <v>45745</v>
      </c>
      <c r="DI12" s="284" t="s">
        <v>762</v>
      </c>
      <c r="DJ12" s="309" t="s">
        <v>1169</v>
      </c>
      <c r="DK12" s="286">
        <v>8</v>
      </c>
    </row>
    <row r="13" spans="1:130" ht="15" customHeight="1">
      <c r="A13" s="321">
        <v>45745</v>
      </c>
      <c r="B13" s="322">
        <v>45745</v>
      </c>
      <c r="C13" s="323" t="s">
        <v>1129</v>
      </c>
      <c r="D13" s="323"/>
      <c r="E13" s="324"/>
      <c r="F13" s="324"/>
      <c r="G13" s="325">
        <v>375</v>
      </c>
      <c r="H13" s="324"/>
      <c r="I13" s="324"/>
      <c r="J13" s="326" t="s">
        <v>1130</v>
      </c>
      <c r="DA13" s="278" t="s">
        <v>66</v>
      </c>
      <c r="DB13" s="279">
        <v>45745</v>
      </c>
      <c r="DC13" s="280" t="e">
        <v>#VALUE!</v>
      </c>
      <c r="DD13" s="281">
        <v>375</v>
      </c>
      <c r="DE13" s="281" t="e">
        <v>#VALUE!</v>
      </c>
      <c r="DF13" s="281" t="e">
        <v>#VALUE!</v>
      </c>
      <c r="DG13" s="306" t="s">
        <v>1183</v>
      </c>
      <c r="DH13" s="284">
        <v>45745</v>
      </c>
      <c r="DI13" s="284" t="e">
        <v>#VALUE!</v>
      </c>
      <c r="DJ13" s="310" t="s">
        <v>1184</v>
      </c>
      <c r="DK13" s="286">
        <v>9</v>
      </c>
    </row>
    <row r="14" spans="1:130" ht="15" customHeight="1">
      <c r="A14" s="327">
        <v>45745</v>
      </c>
      <c r="B14" s="328">
        <v>45745</v>
      </c>
      <c r="C14" s="329" t="s">
        <v>1131</v>
      </c>
      <c r="D14" s="329"/>
      <c r="E14" s="330"/>
      <c r="F14" s="330"/>
      <c r="G14" s="333">
        <v>2715</v>
      </c>
      <c r="H14" s="330"/>
      <c r="I14" s="330"/>
      <c r="J14" s="332" t="s">
        <v>1132</v>
      </c>
      <c r="DA14" s="278" t="s">
        <v>66</v>
      </c>
      <c r="DB14" s="279">
        <v>45745</v>
      </c>
      <c r="DC14" s="280" t="e">
        <v>#VALUE!</v>
      </c>
      <c r="DD14" s="281">
        <v>2715</v>
      </c>
      <c r="DE14" s="281" t="e">
        <v>#VALUE!</v>
      </c>
      <c r="DF14" s="281" t="e">
        <v>#VALUE!</v>
      </c>
      <c r="DG14" s="306" t="s">
        <v>1185</v>
      </c>
      <c r="DH14" s="284">
        <v>45745</v>
      </c>
      <c r="DI14" s="284" t="e">
        <v>#VALUE!</v>
      </c>
      <c r="DJ14" s="310" t="s">
        <v>1186</v>
      </c>
      <c r="DK14" s="286">
        <v>10</v>
      </c>
    </row>
    <row r="15" spans="1:130" ht="15" customHeight="1">
      <c r="A15" s="321">
        <v>45745</v>
      </c>
      <c r="B15" s="322">
        <v>45745</v>
      </c>
      <c r="C15" s="323" t="s">
        <v>1133</v>
      </c>
      <c r="D15" s="323"/>
      <c r="E15" s="324"/>
      <c r="F15" s="324"/>
      <c r="G15" s="335">
        <v>5000</v>
      </c>
      <c r="H15" s="324"/>
      <c r="I15" s="324"/>
      <c r="J15" s="326" t="s">
        <v>1134</v>
      </c>
      <c r="DA15" s="278" t="s">
        <v>66</v>
      </c>
      <c r="DB15" s="279">
        <v>45745</v>
      </c>
      <c r="DC15" s="280" t="e">
        <v>#VALUE!</v>
      </c>
      <c r="DD15" s="281">
        <v>5000</v>
      </c>
      <c r="DE15" s="281" t="e">
        <v>#VALUE!</v>
      </c>
      <c r="DF15" s="281" t="e">
        <v>#VALUE!</v>
      </c>
      <c r="DG15" s="306" t="s">
        <v>1187</v>
      </c>
      <c r="DH15" s="284">
        <v>45745</v>
      </c>
      <c r="DI15" s="284" t="e">
        <v>#VALUE!</v>
      </c>
      <c r="DJ15" s="310" t="s">
        <v>1188</v>
      </c>
      <c r="DK15" s="286">
        <v>11</v>
      </c>
    </row>
    <row r="16" spans="1:130" ht="15" customHeight="1">
      <c r="A16" s="327">
        <v>45743</v>
      </c>
      <c r="B16" s="328">
        <v>45743</v>
      </c>
      <c r="C16" s="329" t="s">
        <v>1135</v>
      </c>
      <c r="D16" s="329"/>
      <c r="E16" s="330"/>
      <c r="F16" s="330"/>
      <c r="G16" s="333">
        <v>18000</v>
      </c>
      <c r="H16" s="330"/>
      <c r="I16" s="330"/>
      <c r="J16" s="332" t="s">
        <v>1136</v>
      </c>
      <c r="DA16" s="278" t="s">
        <v>66</v>
      </c>
      <c r="DB16" s="279">
        <v>45743</v>
      </c>
      <c r="DC16" s="280" t="e">
        <v>#VALUE!</v>
      </c>
      <c r="DD16" s="281">
        <v>18000</v>
      </c>
      <c r="DE16" s="281" t="e">
        <v>#VALUE!</v>
      </c>
      <c r="DF16" s="281" t="e">
        <v>#VALUE!</v>
      </c>
      <c r="DG16" s="306" t="s">
        <v>1189</v>
      </c>
      <c r="DH16" s="284">
        <v>45743</v>
      </c>
      <c r="DI16" s="284" t="e">
        <v>#VALUE!</v>
      </c>
      <c r="DJ16" s="310" t="s">
        <v>1190</v>
      </c>
      <c r="DK16" s="286">
        <v>12</v>
      </c>
    </row>
    <row r="17" spans="1:115" ht="15" customHeight="1">
      <c r="A17" s="321">
        <v>45743</v>
      </c>
      <c r="B17" s="322">
        <v>45743</v>
      </c>
      <c r="C17" s="323" t="s">
        <v>1137</v>
      </c>
      <c r="D17" s="323"/>
      <c r="E17" s="324"/>
      <c r="F17" s="324"/>
      <c r="G17" s="324"/>
      <c r="H17" s="337">
        <v>18000</v>
      </c>
      <c r="I17" s="337"/>
      <c r="J17" s="326" t="s">
        <v>1138</v>
      </c>
      <c r="DA17" s="278" t="s">
        <v>66</v>
      </c>
      <c r="DB17" s="279">
        <v>45743</v>
      </c>
      <c r="DC17" s="280" t="s">
        <v>1167</v>
      </c>
      <c r="DD17" s="281" t="e">
        <v>#VALUE!</v>
      </c>
      <c r="DE17" s="281">
        <v>18000</v>
      </c>
      <c r="DF17" s="281">
        <v>18000</v>
      </c>
      <c r="DG17" s="306" t="s">
        <v>1191</v>
      </c>
      <c r="DH17" s="284">
        <v>45743</v>
      </c>
      <c r="DI17" s="284" t="s">
        <v>762</v>
      </c>
      <c r="DJ17" s="310" t="s">
        <v>1192</v>
      </c>
      <c r="DK17" s="286">
        <v>13</v>
      </c>
    </row>
    <row r="18" spans="1:115" ht="15" customHeight="1">
      <c r="A18" s="327">
        <v>45743</v>
      </c>
      <c r="B18" s="328">
        <v>45743</v>
      </c>
      <c r="C18" s="329" t="s">
        <v>1139</v>
      </c>
      <c r="D18" s="329"/>
      <c r="E18" s="330"/>
      <c r="F18" s="330"/>
      <c r="G18" s="331">
        <v>450</v>
      </c>
      <c r="H18" s="330"/>
      <c r="I18" s="330"/>
      <c r="J18" s="332" t="s">
        <v>1136</v>
      </c>
      <c r="DA18" s="278" t="s">
        <v>66</v>
      </c>
      <c r="DB18" s="279">
        <v>45743</v>
      </c>
      <c r="DC18" s="280" t="e">
        <v>#VALUE!</v>
      </c>
      <c r="DD18" s="281">
        <v>450</v>
      </c>
      <c r="DE18" s="281" t="e">
        <v>#VALUE!</v>
      </c>
      <c r="DF18" s="281" t="e">
        <v>#VALUE!</v>
      </c>
      <c r="DG18" s="306" t="s">
        <v>1193</v>
      </c>
      <c r="DH18" s="284">
        <v>45743</v>
      </c>
      <c r="DI18" s="284" t="e">
        <v>#VALUE!</v>
      </c>
      <c r="DJ18" s="310" t="s">
        <v>1194</v>
      </c>
      <c r="DK18" s="286">
        <v>14</v>
      </c>
    </row>
    <row r="19" spans="1:115" ht="15" customHeight="1">
      <c r="A19" s="321">
        <v>45742</v>
      </c>
      <c r="B19" s="322">
        <v>45742</v>
      </c>
      <c r="C19" s="323" t="s">
        <v>1140</v>
      </c>
      <c r="D19" s="323"/>
      <c r="E19" s="324"/>
      <c r="F19" s="324"/>
      <c r="G19" s="335">
        <v>1500</v>
      </c>
      <c r="H19" s="324"/>
      <c r="I19" s="324"/>
      <c r="J19" s="326" t="s">
        <v>1141</v>
      </c>
      <c r="DA19" s="278" t="s">
        <v>66</v>
      </c>
      <c r="DB19" s="279">
        <v>45742</v>
      </c>
      <c r="DC19" s="280" t="e">
        <v>#VALUE!</v>
      </c>
      <c r="DD19" s="281">
        <v>1500</v>
      </c>
      <c r="DE19" s="281" t="e">
        <v>#VALUE!</v>
      </c>
      <c r="DF19" s="281" t="e">
        <v>#VALUE!</v>
      </c>
      <c r="DG19" s="306" t="s">
        <v>1195</v>
      </c>
      <c r="DH19" s="284">
        <v>45742</v>
      </c>
      <c r="DI19" s="284" t="e">
        <v>#VALUE!</v>
      </c>
      <c r="DJ19" s="310" t="s">
        <v>1196</v>
      </c>
      <c r="DK19" s="286">
        <v>15</v>
      </c>
    </row>
    <row r="20" spans="1:115" ht="15" customHeight="1">
      <c r="A20" s="327">
        <v>45742</v>
      </c>
      <c r="B20" s="328">
        <v>45742</v>
      </c>
      <c r="C20" s="329" t="s">
        <v>1142</v>
      </c>
      <c r="D20" s="329"/>
      <c r="E20" s="330"/>
      <c r="F20" s="330"/>
      <c r="G20" s="331">
        <v>650</v>
      </c>
      <c r="H20" s="330"/>
      <c r="I20" s="330"/>
      <c r="J20" s="332" t="s">
        <v>1143</v>
      </c>
      <c r="DA20" s="278" t="s">
        <v>66</v>
      </c>
      <c r="DB20" s="279">
        <v>45742</v>
      </c>
      <c r="DC20" s="280" t="e">
        <v>#VALUE!</v>
      </c>
      <c r="DD20" s="281">
        <v>650</v>
      </c>
      <c r="DE20" s="281" t="e">
        <v>#VALUE!</v>
      </c>
      <c r="DF20" s="281" t="e">
        <v>#VALUE!</v>
      </c>
      <c r="DG20" s="306" t="s">
        <v>1197</v>
      </c>
      <c r="DH20" s="284">
        <v>45742</v>
      </c>
      <c r="DI20" s="284" t="e">
        <v>#VALUE!</v>
      </c>
      <c r="DJ20" s="310" t="s">
        <v>1198</v>
      </c>
      <c r="DK20" s="286">
        <v>16</v>
      </c>
    </row>
    <row r="21" spans="1:115" ht="15" customHeight="1">
      <c r="A21" s="321">
        <v>45741</v>
      </c>
      <c r="B21" s="322">
        <v>45741</v>
      </c>
      <c r="C21" s="323" t="s">
        <v>1144</v>
      </c>
      <c r="D21" s="323"/>
      <c r="E21" s="324"/>
      <c r="F21" s="324"/>
      <c r="G21" s="324"/>
      <c r="H21" s="335">
        <v>1000</v>
      </c>
      <c r="I21" s="335"/>
      <c r="J21" s="326" t="s">
        <v>1145</v>
      </c>
      <c r="DA21" s="278" t="s">
        <v>66</v>
      </c>
      <c r="DB21" s="279">
        <v>45741</v>
      </c>
      <c r="DC21" s="280" t="s">
        <v>1168</v>
      </c>
      <c r="DD21" s="281" t="e">
        <v>#VALUE!</v>
      </c>
      <c r="DE21" s="281">
        <v>1000</v>
      </c>
      <c r="DF21" s="281">
        <v>1000</v>
      </c>
      <c r="DG21" s="306" t="s">
        <v>1199</v>
      </c>
      <c r="DH21" s="284">
        <v>45741</v>
      </c>
      <c r="DI21" s="284" t="s">
        <v>762</v>
      </c>
      <c r="DJ21" s="310" t="s">
        <v>1200</v>
      </c>
      <c r="DK21" s="286">
        <v>17</v>
      </c>
    </row>
    <row r="22" spans="1:115" ht="15" customHeight="1">
      <c r="A22" s="327">
        <v>45740</v>
      </c>
      <c r="B22" s="328">
        <v>45740</v>
      </c>
      <c r="C22" s="329" t="s">
        <v>1146</v>
      </c>
      <c r="D22" s="329"/>
      <c r="E22" s="330"/>
      <c r="F22" s="330"/>
      <c r="G22" s="333">
        <v>1240</v>
      </c>
      <c r="H22" s="330"/>
      <c r="I22" s="330"/>
      <c r="J22" s="332" t="s">
        <v>1147</v>
      </c>
      <c r="DA22" s="278" t="s">
        <v>66</v>
      </c>
      <c r="DB22" s="279">
        <v>45740</v>
      </c>
      <c r="DC22" s="280" t="e">
        <v>#VALUE!</v>
      </c>
      <c r="DD22" s="281">
        <v>1240</v>
      </c>
      <c r="DE22" s="281" t="e">
        <v>#VALUE!</v>
      </c>
      <c r="DF22" s="281" t="e">
        <v>#VALUE!</v>
      </c>
      <c r="DG22" s="306" t="s">
        <v>1201</v>
      </c>
      <c r="DH22" s="284">
        <v>45740</v>
      </c>
      <c r="DI22" s="284" t="e">
        <v>#VALUE!</v>
      </c>
      <c r="DJ22" s="310" t="s">
        <v>1202</v>
      </c>
      <c r="DK22" s="286">
        <v>18</v>
      </c>
    </row>
    <row r="23" spans="1:115" ht="15" customHeight="1">
      <c r="A23" s="321">
        <v>45740</v>
      </c>
      <c r="B23" s="322">
        <v>45740</v>
      </c>
      <c r="C23" s="323" t="s">
        <v>1148</v>
      </c>
      <c r="D23" s="323"/>
      <c r="E23" s="324"/>
      <c r="F23" s="324"/>
      <c r="G23" s="325">
        <v>575</v>
      </c>
      <c r="H23" s="324"/>
      <c r="I23" s="324"/>
      <c r="J23" s="326" t="s">
        <v>1149</v>
      </c>
      <c r="DA23" s="278" t="s">
        <v>66</v>
      </c>
      <c r="DB23" s="279">
        <v>45740</v>
      </c>
      <c r="DC23" s="280" t="e">
        <v>#VALUE!</v>
      </c>
      <c r="DD23" s="281">
        <v>575</v>
      </c>
      <c r="DE23" s="281" t="e">
        <v>#VALUE!</v>
      </c>
      <c r="DF23" s="281" t="e">
        <v>#VALUE!</v>
      </c>
      <c r="DG23" s="306" t="s">
        <v>1203</v>
      </c>
      <c r="DH23" s="284">
        <v>45740</v>
      </c>
      <c r="DI23" s="284" t="e">
        <v>#VALUE!</v>
      </c>
      <c r="DJ23" s="310" t="s">
        <v>1204</v>
      </c>
      <c r="DK23" s="286">
        <v>19</v>
      </c>
    </row>
    <row r="24" spans="1:115" ht="15" customHeight="1">
      <c r="A24" s="327">
        <v>45740</v>
      </c>
      <c r="B24" s="328">
        <v>45740</v>
      </c>
      <c r="C24" s="329" t="s">
        <v>1150</v>
      </c>
      <c r="D24" s="329"/>
      <c r="E24" s="330"/>
      <c r="F24" s="330"/>
      <c r="G24" s="331">
        <v>518</v>
      </c>
      <c r="H24" s="330"/>
      <c r="I24" s="330"/>
      <c r="J24" s="332" t="s">
        <v>1151</v>
      </c>
      <c r="DA24" s="278" t="s">
        <v>66</v>
      </c>
      <c r="DB24" s="279">
        <v>45740</v>
      </c>
      <c r="DC24" s="280" t="e">
        <v>#VALUE!</v>
      </c>
      <c r="DD24" s="281">
        <v>518</v>
      </c>
      <c r="DE24" s="281" t="e">
        <v>#VALUE!</v>
      </c>
      <c r="DF24" s="281" t="e">
        <v>#VALUE!</v>
      </c>
      <c r="DG24" s="306" t="s">
        <v>1205</v>
      </c>
      <c r="DH24" s="284">
        <v>45740</v>
      </c>
      <c r="DI24" s="284" t="e">
        <v>#VALUE!</v>
      </c>
      <c r="DJ24" s="310" t="s">
        <v>1206</v>
      </c>
      <c r="DK24" s="286">
        <v>20</v>
      </c>
    </row>
    <row r="25" spans="1:115" ht="15" customHeight="1">
      <c r="A25" s="321">
        <v>45740</v>
      </c>
      <c r="B25" s="322">
        <v>45740</v>
      </c>
      <c r="C25" s="323" t="s">
        <v>1152</v>
      </c>
      <c r="D25" s="323"/>
      <c r="E25" s="324"/>
      <c r="F25" s="324"/>
      <c r="G25" s="335">
        <v>1600</v>
      </c>
      <c r="H25" s="324"/>
      <c r="I25" s="324"/>
      <c r="J25" s="326" t="s">
        <v>1153</v>
      </c>
      <c r="DA25" s="278" t="s">
        <v>66</v>
      </c>
      <c r="DB25" s="279">
        <v>45740</v>
      </c>
      <c r="DC25" s="280" t="e">
        <v>#VALUE!</v>
      </c>
      <c r="DD25" s="281">
        <v>1600</v>
      </c>
      <c r="DE25" s="281" t="e">
        <v>#VALUE!</v>
      </c>
      <c r="DF25" s="281" t="e">
        <v>#VALUE!</v>
      </c>
      <c r="DG25" s="306" t="s">
        <v>1207</v>
      </c>
      <c r="DH25" s="284">
        <v>45740</v>
      </c>
      <c r="DI25" s="284" t="e">
        <v>#VALUE!</v>
      </c>
      <c r="DJ25" s="310" t="s">
        <v>1208</v>
      </c>
      <c r="DK25" s="286">
        <v>21</v>
      </c>
    </row>
    <row r="26" spans="1:115" ht="15" customHeight="1">
      <c r="A26" s="327">
        <v>45740</v>
      </c>
      <c r="B26" s="328">
        <v>45740</v>
      </c>
      <c r="C26" s="329" t="s">
        <v>1154</v>
      </c>
      <c r="D26" s="329"/>
      <c r="E26" s="330"/>
      <c r="F26" s="330"/>
      <c r="G26" s="331">
        <v>500</v>
      </c>
      <c r="H26" s="330"/>
      <c r="I26" s="330"/>
      <c r="J26" s="332" t="s">
        <v>1155</v>
      </c>
      <c r="DA26" s="278" t="s">
        <v>66</v>
      </c>
      <c r="DB26" s="279">
        <v>45740</v>
      </c>
      <c r="DC26" s="280" t="e">
        <v>#VALUE!</v>
      </c>
      <c r="DD26" s="281">
        <v>500</v>
      </c>
      <c r="DE26" s="281" t="e">
        <v>#VALUE!</v>
      </c>
      <c r="DF26" s="281" t="e">
        <v>#VALUE!</v>
      </c>
      <c r="DG26" s="306" t="s">
        <v>1209</v>
      </c>
      <c r="DH26" s="284">
        <v>45740</v>
      </c>
      <c r="DI26" s="284" t="e">
        <v>#VALUE!</v>
      </c>
      <c r="DJ26" s="310" t="s">
        <v>1210</v>
      </c>
      <c r="DK26" s="286">
        <v>22</v>
      </c>
    </row>
    <row r="27" spans="1:115" ht="15" customHeight="1">
      <c r="A27" s="321">
        <v>45740</v>
      </c>
      <c r="B27" s="322">
        <v>45740</v>
      </c>
      <c r="C27" s="323" t="s">
        <v>1156</v>
      </c>
      <c r="D27" s="323"/>
      <c r="E27" s="324"/>
      <c r="F27" s="324"/>
      <c r="G27" s="325">
        <v>372</v>
      </c>
      <c r="H27" s="324"/>
      <c r="I27" s="324"/>
      <c r="J27" s="326" t="s">
        <v>1157</v>
      </c>
      <c r="DA27" s="278" t="s">
        <v>66</v>
      </c>
      <c r="DB27" s="279">
        <v>45740</v>
      </c>
      <c r="DC27" s="280" t="e">
        <v>#VALUE!</v>
      </c>
      <c r="DD27" s="281">
        <v>372</v>
      </c>
      <c r="DE27" s="281" t="e">
        <v>#VALUE!</v>
      </c>
      <c r="DF27" s="281" t="e">
        <v>#VALUE!</v>
      </c>
      <c r="DG27" s="306" t="s">
        <v>1211</v>
      </c>
      <c r="DH27" s="284">
        <v>45740</v>
      </c>
      <c r="DI27" s="284" t="e">
        <v>#VALUE!</v>
      </c>
      <c r="DJ27" s="310" t="s">
        <v>1212</v>
      </c>
      <c r="DK27" s="286">
        <v>23</v>
      </c>
    </row>
    <row r="28" spans="1:115" ht="15" customHeight="1">
      <c r="A28" s="327">
        <v>45740</v>
      </c>
      <c r="B28" s="328">
        <v>45740</v>
      </c>
      <c r="C28" s="329" t="s">
        <v>1158</v>
      </c>
      <c r="D28" s="329"/>
      <c r="E28" s="330"/>
      <c r="F28" s="330"/>
      <c r="G28" s="331">
        <v>300.89999999999998</v>
      </c>
      <c r="H28" s="330"/>
      <c r="I28" s="330"/>
      <c r="J28" s="332" t="s">
        <v>1159</v>
      </c>
      <c r="DA28" s="278" t="s">
        <v>66</v>
      </c>
      <c r="DB28" s="279">
        <v>45740</v>
      </c>
      <c r="DC28" s="280" t="e">
        <v>#VALUE!</v>
      </c>
      <c r="DD28" s="281">
        <v>300.89999999999998</v>
      </c>
      <c r="DE28" s="281" t="e">
        <v>#VALUE!</v>
      </c>
      <c r="DF28" s="281" t="e">
        <v>#VALUE!</v>
      </c>
      <c r="DG28" s="306" t="s">
        <v>1213</v>
      </c>
      <c r="DH28" s="284">
        <v>45740</v>
      </c>
      <c r="DI28" s="284" t="e">
        <v>#VALUE!</v>
      </c>
      <c r="DJ28" s="310" t="s">
        <v>1214</v>
      </c>
      <c r="DK28" s="286">
        <v>24</v>
      </c>
    </row>
    <row r="29" spans="1:115" ht="15" customHeight="1">
      <c r="A29" s="321">
        <v>45740</v>
      </c>
      <c r="B29" s="322">
        <v>45740</v>
      </c>
      <c r="C29" s="323" t="s">
        <v>1160</v>
      </c>
      <c r="D29" s="323"/>
      <c r="E29" s="324"/>
      <c r="F29" s="324"/>
      <c r="G29" s="325">
        <v>518</v>
      </c>
      <c r="H29" s="324"/>
      <c r="I29" s="324"/>
      <c r="J29" s="326" t="s">
        <v>1161</v>
      </c>
      <c r="DA29" s="278" t="s">
        <v>66</v>
      </c>
      <c r="DB29" s="279">
        <v>45740</v>
      </c>
      <c r="DC29" s="280" t="e">
        <v>#VALUE!</v>
      </c>
      <c r="DD29" s="281">
        <v>518</v>
      </c>
      <c r="DE29" s="281" t="e">
        <v>#VALUE!</v>
      </c>
      <c r="DF29" s="281" t="e">
        <v>#VALUE!</v>
      </c>
      <c r="DG29" s="306" t="s">
        <v>1215</v>
      </c>
      <c r="DH29" s="284">
        <v>45740</v>
      </c>
      <c r="DI29" s="284" t="e">
        <v>#VALUE!</v>
      </c>
      <c r="DJ29" s="310" t="s">
        <v>1216</v>
      </c>
      <c r="DK29" s="286">
        <v>25</v>
      </c>
    </row>
    <row r="30" spans="1:115" ht="15" customHeight="1">
      <c r="A30" s="327">
        <v>45737</v>
      </c>
      <c r="B30" s="328">
        <v>45737</v>
      </c>
      <c r="C30" s="329" t="s">
        <v>1162</v>
      </c>
      <c r="D30" s="329"/>
      <c r="E30" s="330"/>
      <c r="F30" s="330"/>
      <c r="G30" s="331">
        <v>920</v>
      </c>
      <c r="H30" s="330"/>
      <c r="I30" s="330"/>
      <c r="J30" s="332" t="s">
        <v>1163</v>
      </c>
      <c r="DA30" s="278" t="s">
        <v>66</v>
      </c>
      <c r="DB30" s="279">
        <v>45737</v>
      </c>
      <c r="DC30" s="280" t="e">
        <v>#VALUE!</v>
      </c>
      <c r="DD30" s="281">
        <v>920</v>
      </c>
      <c r="DE30" s="281" t="e">
        <v>#VALUE!</v>
      </c>
      <c r="DF30" s="281" t="e">
        <v>#VALUE!</v>
      </c>
      <c r="DG30" s="306" t="s">
        <v>1217</v>
      </c>
      <c r="DH30" s="284">
        <v>45737</v>
      </c>
      <c r="DI30" s="284" t="e">
        <v>#VALUE!</v>
      </c>
      <c r="DJ30" s="310" t="s">
        <v>1218</v>
      </c>
      <c r="DK30" s="286">
        <v>26</v>
      </c>
    </row>
    <row r="31" spans="1:115" ht="15" customHeight="1">
      <c r="A31" s="321">
        <v>45737</v>
      </c>
      <c r="B31" s="322">
        <v>45737</v>
      </c>
      <c r="C31" s="338" t="s">
        <v>1164</v>
      </c>
      <c r="D31" s="338"/>
      <c r="E31" s="339"/>
      <c r="F31" s="339"/>
      <c r="G31" s="335">
        <v>16367</v>
      </c>
      <c r="H31" s="339"/>
      <c r="I31" s="339"/>
      <c r="J31" s="326" t="s">
        <v>1165</v>
      </c>
      <c r="DA31" s="278" t="s">
        <v>66</v>
      </c>
      <c r="DB31" s="279">
        <v>45737</v>
      </c>
      <c r="DC31" s="280" t="e">
        <v>#VALUE!</v>
      </c>
      <c r="DD31" s="281">
        <v>16367</v>
      </c>
      <c r="DE31" s="281" t="e">
        <v>#VALUE!</v>
      </c>
      <c r="DF31" s="281" t="e">
        <v>#VALUE!</v>
      </c>
      <c r="DG31" s="306" t="s">
        <v>1219</v>
      </c>
      <c r="DH31" s="284">
        <v>45737</v>
      </c>
      <c r="DI31" s="284" t="e">
        <v>#VALUE!</v>
      </c>
      <c r="DJ31" s="309" t="s">
        <v>1220</v>
      </c>
      <c r="DK31" s="286">
        <v>27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 DH5:DH31 DJ5:DJ31 DA5:DB31" name="Range1_9_1"/>
    <protectedRange algorithmName="SHA-512" hashValue="FeHjunJeBmEIe1Z+x4LSLD0xeXKoeHqEB4mLNgYC3pUDxBFAiT2e1scH7F48tQXpPGOh+9Z9iw2K5jb0kUxFkQ==" saltValue="Arxg+XESKZddo6Y2q+NDbg==" spinCount="100000" sqref="DD3:DF3 DD5:DF31" name="Range1_1_6_1"/>
    <protectedRange algorithmName="SHA-512" hashValue="FeHjunJeBmEIe1Z+x4LSLD0xeXKoeHqEB4mLNgYC3pUDxBFAiT2e1scH7F48tQXpPGOh+9Z9iw2K5jb0kUxFkQ==" saltValue="Arxg+XESKZddo6Y2q+NDbg==" spinCount="100000" sqref="DI3 DI5:DI31" name="Range1_2_6_1"/>
    <protectedRange algorithmName="SHA-512" hashValue="FeHjunJeBmEIe1Z+x4LSLD0xeXKoeHqEB4mLNgYC3pUDxBFAiT2e1scH7F48tQXpPGOh+9Z9iw2K5jb0kUxFkQ==" saltValue="Arxg+XESKZddo6Y2q+NDbg==" spinCount="100000" sqref="DK3 DK5:DK31" name="Range1_3_5_1"/>
    <protectedRange algorithmName="SHA-512" hashValue="FeHjunJeBmEIe1Z+x4LSLD0xeXKoeHqEB4mLNgYC3pUDxBFAiT2e1scH7F48tQXpPGOh+9Z9iw2K5jb0kUxFkQ==" saltValue="Arxg+XESKZddo6Y2q+NDbg==" spinCount="100000" sqref="DC3 DC5:DC31" name="Range1_7_1"/>
  </protectedRanges>
  <mergeCells count="3">
    <mergeCell ref="C4:D4"/>
    <mergeCell ref="E4:F4"/>
    <mergeCell ref="H4:I4"/>
  </mergeCells>
  <conditionalFormatting sqref="E3 I1:I2">
    <cfRule type="cellIs" dxfId="638" priority="10" operator="equal">
      <formula>#N/A</formula>
    </cfRule>
  </conditionalFormatting>
  <conditionalFormatting sqref="H1">
    <cfRule type="cellIs" dxfId="637" priority="9" operator="equal">
      <formula>#N/A</formula>
    </cfRule>
  </conditionalFormatting>
  <conditionalFormatting sqref="E1">
    <cfRule type="cellIs" dxfId="636" priority="8" operator="equal">
      <formula>#N/A</formula>
    </cfRule>
  </conditionalFormatting>
  <conditionalFormatting sqref="I1">
    <cfRule type="containsText" dxfId="635" priority="6" operator="containsText" text="All Data Import Successfully">
      <formula>NOT(ISERROR(SEARCH("All Data Import Successfully",I1)))</formula>
    </cfRule>
    <cfRule type="containsText" dxfId="634" priority="7" operator="containsText" text="Difference Entry">
      <formula>NOT(ISERROR(SEARCH("Difference Entry",I1)))</formula>
    </cfRule>
  </conditionalFormatting>
  <conditionalFormatting sqref="DG2">
    <cfRule type="cellIs" dxfId="633" priority="5" operator="equal">
      <formula>#N/A</formula>
    </cfRule>
  </conditionalFormatting>
  <conditionalFormatting sqref="DH2:DI2">
    <cfRule type="cellIs" dxfId="632" priority="4" operator="equal">
      <formula>#N/A</formula>
    </cfRule>
  </conditionalFormatting>
  <conditionalFormatting sqref="E2:G2">
    <cfRule type="cellIs" dxfId="631" priority="3" operator="equal">
      <formula>#N/A</formula>
    </cfRule>
  </conditionalFormatting>
  <conditionalFormatting sqref="H2">
    <cfRule type="cellIs" dxfId="630" priority="2" operator="equal">
      <formula>#N/A</formula>
    </cfRule>
  </conditionalFormatting>
  <conditionalFormatting sqref="I2">
    <cfRule type="cellIs" dxfId="62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ogbpOy/vx4+li5+sbT1yJ/CJ/m7iVM/KlgrIXGrjaZ+eUCOZoSXZygS3JtIMVeg1IXHgJ4ccpV8W0XASpr2sQg==" saltValue="zMy0SQo34uPhw1ma6WwlL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28" priority="11" operator="equal">
      <formula>#N/A</formula>
    </cfRule>
  </conditionalFormatting>
  <conditionalFormatting sqref="DG2">
    <cfRule type="cellIs" dxfId="627" priority="10" operator="equal">
      <formula>#N/A</formula>
    </cfRule>
  </conditionalFormatting>
  <conditionalFormatting sqref="DH2:DI2">
    <cfRule type="cellIs" dxfId="626" priority="9" operator="equal">
      <formula>#N/A</formula>
    </cfRule>
  </conditionalFormatting>
  <conditionalFormatting sqref="I1:I2">
    <cfRule type="cellIs" dxfId="625" priority="8" operator="equal">
      <formula>#N/A</formula>
    </cfRule>
  </conditionalFormatting>
  <conditionalFormatting sqref="H1">
    <cfRule type="cellIs" dxfId="624" priority="7" operator="equal">
      <formula>#N/A</formula>
    </cfRule>
  </conditionalFormatting>
  <conditionalFormatting sqref="E1">
    <cfRule type="cellIs" dxfId="623" priority="6" operator="equal">
      <formula>#N/A</formula>
    </cfRule>
  </conditionalFormatting>
  <conditionalFormatting sqref="I1">
    <cfRule type="containsText" dxfId="622" priority="4" operator="containsText" text="All Data Import Successfully">
      <formula>NOT(ISERROR(SEARCH("All Data Import Successfully",I1)))</formula>
    </cfRule>
    <cfRule type="containsText" dxfId="621" priority="5" operator="containsText" text="Difference Entry">
      <formula>NOT(ISERROR(SEARCH("Difference Entry",I1)))</formula>
    </cfRule>
  </conditionalFormatting>
  <conditionalFormatting sqref="E2:G2">
    <cfRule type="cellIs" dxfId="620" priority="3" operator="equal">
      <formula>#N/A</formula>
    </cfRule>
  </conditionalFormatting>
  <conditionalFormatting sqref="H2">
    <cfRule type="cellIs" dxfId="619" priority="2" operator="equal">
      <formula>#N/A</formula>
    </cfRule>
  </conditionalFormatting>
  <conditionalFormatting sqref="I2">
    <cfRule type="cellIs" dxfId="6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17" priority="11" operator="equal">
      <formula>#N/A</formula>
    </cfRule>
  </conditionalFormatting>
  <conditionalFormatting sqref="DG2">
    <cfRule type="cellIs" dxfId="616" priority="10" operator="equal">
      <formula>#N/A</formula>
    </cfRule>
  </conditionalFormatting>
  <conditionalFormatting sqref="DH2:DI2">
    <cfRule type="cellIs" dxfId="615" priority="9" operator="equal">
      <formula>#N/A</formula>
    </cfRule>
  </conditionalFormatting>
  <conditionalFormatting sqref="I1:I2">
    <cfRule type="cellIs" dxfId="614" priority="8" operator="equal">
      <formula>#N/A</formula>
    </cfRule>
  </conditionalFormatting>
  <conditionalFormatting sqref="H1">
    <cfRule type="cellIs" dxfId="613" priority="7" operator="equal">
      <formula>#N/A</formula>
    </cfRule>
  </conditionalFormatting>
  <conditionalFormatting sqref="E1">
    <cfRule type="cellIs" dxfId="612" priority="6" operator="equal">
      <formula>#N/A</formula>
    </cfRule>
  </conditionalFormatting>
  <conditionalFormatting sqref="I1">
    <cfRule type="containsText" dxfId="611" priority="4" operator="containsText" text="All Data Import Successfully">
      <formula>NOT(ISERROR(SEARCH("All Data Import Successfully",I1)))</formula>
    </cfRule>
    <cfRule type="containsText" dxfId="610" priority="5" operator="containsText" text="Difference Entry">
      <formula>NOT(ISERROR(SEARCH("Difference Entry",I1)))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024E7-CD81-4353-B90B-4B95EC651DD7}">
  <sheetPr codeName="Sheet66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61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IF(OR(F3=" ", F3=""),VALUE("0"),VALUE(SUBSTITUTE((F3),",","")))</f>
        <v>0</v>
      </c>
      <c r="DF3" s="26" t="str">
        <f>IF(OR(H3=" ", H3=""),"",VALUE(SUBSTITUTE((H3),",","")))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5.5">
      <c r="A4" s="313" t="s">
        <v>1095</v>
      </c>
      <c r="B4" s="313" t="s">
        <v>1096</v>
      </c>
      <c r="C4" s="314" t="s">
        <v>1097</v>
      </c>
      <c r="D4" s="346" t="s">
        <v>1098</v>
      </c>
      <c r="E4" s="346"/>
      <c r="F4" s="347" t="s">
        <v>1099</v>
      </c>
      <c r="G4" s="347"/>
      <c r="H4" s="315" t="s">
        <v>1100</v>
      </c>
      <c r="I4" s="316" t="s">
        <v>1101</v>
      </c>
      <c r="DA4" s="38" t="str">
        <f>+DA3</f>
        <v>Axis Bank A/c.</v>
      </c>
    </row>
  </sheetData>
  <sheetProtection algorithmName="SHA-512" hashValue="HFobUa850lmCrzeX78rLlaco514UwH4gZcY8Y6QALbK7OmS/sKiOaDq2okDUWlDiVOooc7tzFdNK+Ul9eid7bw==" saltValue="MaGIxndr3O00VlTIlnEz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mergeCells count="2">
    <mergeCell ref="D4:E4"/>
    <mergeCell ref="F4:G4"/>
  </mergeCells>
  <conditionalFormatting sqref="E3">
    <cfRule type="cellIs" dxfId="606" priority="11" operator="equal">
      <formula>#N/A</formula>
    </cfRule>
  </conditionalFormatting>
  <conditionalFormatting sqref="DG2">
    <cfRule type="cellIs" dxfId="605" priority="10" operator="equal">
      <formula>#N/A</formula>
    </cfRule>
  </conditionalFormatting>
  <conditionalFormatting sqref="DH2:DI2">
    <cfRule type="cellIs" dxfId="604" priority="9" operator="equal">
      <formula>#N/A</formula>
    </cfRule>
  </conditionalFormatting>
  <conditionalFormatting sqref="I1:I2">
    <cfRule type="cellIs" dxfId="603" priority="8" operator="equal">
      <formula>#N/A</formula>
    </cfRule>
  </conditionalFormatting>
  <conditionalFormatting sqref="H1">
    <cfRule type="cellIs" dxfId="602" priority="7" operator="equal">
      <formula>#N/A</formula>
    </cfRule>
  </conditionalFormatting>
  <conditionalFormatting sqref="E1">
    <cfRule type="cellIs" dxfId="601" priority="6" operator="equal">
      <formula>#N/A</formula>
    </cfRule>
  </conditionalFormatting>
  <conditionalFormatting sqref="I1">
    <cfRule type="containsText" dxfId="600" priority="4" operator="containsText" text="All Data Import Successfully">
      <formula>NOT(ISERROR(SEARCH("All Data Import Successfully",I1)))</formula>
    </cfRule>
    <cfRule type="containsText" dxfId="599" priority="5" operator="containsText" text="Difference Entry">
      <formula>NOT(ISERROR(SEARCH("Difference Entry",I1)))</formula>
    </cfRule>
  </conditionalFormatting>
  <conditionalFormatting sqref="E2:G2">
    <cfRule type="cellIs" dxfId="598" priority="3" operator="equal">
      <formula>#N/A</formula>
    </cfRule>
  </conditionalFormatting>
  <conditionalFormatting sqref="H2">
    <cfRule type="cellIs" dxfId="597" priority="2" operator="equal">
      <formula>#N/A</formula>
    </cfRule>
  </conditionalFormatting>
  <conditionalFormatting sqref="I2">
    <cfRule type="cellIs" dxfId="59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95" priority="11" operator="equal">
      <formula>#N/A</formula>
    </cfRule>
  </conditionalFormatting>
  <conditionalFormatting sqref="DG2">
    <cfRule type="cellIs" dxfId="594" priority="10" operator="equal">
      <formula>#N/A</formula>
    </cfRule>
  </conditionalFormatting>
  <conditionalFormatting sqref="DH2:DI2">
    <cfRule type="cellIs" dxfId="593" priority="9" operator="equal">
      <formula>#N/A</formula>
    </cfRule>
  </conditionalFormatting>
  <conditionalFormatting sqref="I1:I2">
    <cfRule type="cellIs" dxfId="592" priority="8" operator="equal">
      <formula>#N/A</formula>
    </cfRule>
  </conditionalFormatting>
  <conditionalFormatting sqref="H1">
    <cfRule type="cellIs" dxfId="591" priority="7" operator="equal">
      <formula>#N/A</formula>
    </cfRule>
  </conditionalFormatting>
  <conditionalFormatting sqref="E1">
    <cfRule type="cellIs" dxfId="590" priority="6" operator="equal">
      <formula>#N/A</formula>
    </cfRule>
  </conditionalFormatting>
  <conditionalFormatting sqref="I1">
    <cfRule type="containsText" dxfId="589" priority="4" operator="containsText" text="All Data Import Successfully">
      <formula>NOT(ISERROR(SEARCH("All Data Import Successfully",I1)))</formula>
    </cfRule>
    <cfRule type="containsText" dxfId="588" priority="5" operator="containsText" text="Difference Entry">
      <formula>NOT(ISERROR(SEARCH("Difference Entry",I1)))</formula>
    </cfRule>
  </conditionalFormatting>
  <conditionalFormatting sqref="E2:G2">
    <cfRule type="cellIs" dxfId="587" priority="3" operator="equal">
      <formula>#N/A</formula>
    </cfRule>
  </conditionalFormatting>
  <conditionalFormatting sqref="H2">
    <cfRule type="cellIs" dxfId="586" priority="2" operator="equal">
      <formula>#N/A</formula>
    </cfRule>
  </conditionalFormatting>
  <conditionalFormatting sqref="I2">
    <cfRule type="cellIs" dxfId="58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B15" sqref="B1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348" t="s">
        <v>267</v>
      </c>
      <c r="E4" s="349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84" priority="11" operator="equal">
      <formula>#N/A</formula>
    </cfRule>
  </conditionalFormatting>
  <conditionalFormatting sqref="DG2">
    <cfRule type="cellIs" dxfId="583" priority="10" operator="equal">
      <formula>#N/A</formula>
    </cfRule>
  </conditionalFormatting>
  <conditionalFormatting sqref="DH2:DI2">
    <cfRule type="cellIs" dxfId="582" priority="9" operator="equal">
      <formula>#N/A</formula>
    </cfRule>
  </conditionalFormatting>
  <conditionalFormatting sqref="I1:I2">
    <cfRule type="cellIs" dxfId="581" priority="8" operator="equal">
      <formula>#N/A</formula>
    </cfRule>
  </conditionalFormatting>
  <conditionalFormatting sqref="H1">
    <cfRule type="cellIs" dxfId="580" priority="7" operator="equal">
      <formula>#N/A</formula>
    </cfRule>
  </conditionalFormatting>
  <conditionalFormatting sqref="E1">
    <cfRule type="cellIs" dxfId="579" priority="6" operator="equal">
      <formula>#N/A</formula>
    </cfRule>
  </conditionalFormatting>
  <conditionalFormatting sqref="I1">
    <cfRule type="containsText" dxfId="578" priority="4" operator="containsText" text="All Data Import Successfully">
      <formula>NOT(ISERROR(SEARCH("All Data Import Successfully",I1)))</formula>
    </cfRule>
    <cfRule type="containsText" dxfId="577" priority="5" operator="containsText" text="Difference Entry">
      <formula>NOT(ISERROR(SEARCH("Difference Entry",I1)))</formula>
    </cfRule>
  </conditionalFormatting>
  <conditionalFormatting sqref="E2:G2">
    <cfRule type="cellIs" dxfId="576" priority="3" operator="equal">
      <formula>#N/A</formula>
    </cfRule>
  </conditionalFormatting>
  <conditionalFormatting sqref="H2">
    <cfRule type="cellIs" dxfId="575" priority="2" operator="equal">
      <formula>#N/A</formula>
    </cfRule>
  </conditionalFormatting>
  <conditionalFormatting sqref="I2">
    <cfRule type="cellIs" dxfId="57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3" priority="11" operator="equal">
      <formula>#N/A</formula>
    </cfRule>
  </conditionalFormatting>
  <conditionalFormatting sqref="DG2">
    <cfRule type="cellIs" dxfId="572" priority="10" operator="equal">
      <formula>#N/A</formula>
    </cfRule>
  </conditionalFormatting>
  <conditionalFormatting sqref="DH2:DI2">
    <cfRule type="cellIs" dxfId="571" priority="9" operator="equal">
      <formula>#N/A</formula>
    </cfRule>
  </conditionalFormatting>
  <conditionalFormatting sqref="I1:I2">
    <cfRule type="cellIs" dxfId="570" priority="8" operator="equal">
      <formula>#N/A</formula>
    </cfRule>
  </conditionalFormatting>
  <conditionalFormatting sqref="H1">
    <cfRule type="cellIs" dxfId="569" priority="7" operator="equal">
      <formula>#N/A</formula>
    </cfRule>
  </conditionalFormatting>
  <conditionalFormatting sqref="E1">
    <cfRule type="cellIs" dxfId="568" priority="6" operator="equal">
      <formula>#N/A</formula>
    </cfRule>
  </conditionalFormatting>
  <conditionalFormatting sqref="I1">
    <cfRule type="containsText" dxfId="567" priority="4" operator="containsText" text="All Data Import Successfully">
      <formula>NOT(ISERROR(SEARCH("All Data Import Successfully",I1)))</formula>
    </cfRule>
    <cfRule type="containsText" dxfId="566" priority="5" operator="containsText" text="Difference Entry">
      <formula>NOT(ISERROR(SEARCH("Difference Entry",I1)))</formula>
    </cfRule>
  </conditionalFormatting>
  <conditionalFormatting sqref="E2:G2">
    <cfRule type="cellIs" dxfId="565" priority="3" operator="equal">
      <formula>#N/A</formula>
    </cfRule>
  </conditionalFormatting>
  <conditionalFormatting sqref="H2">
    <cfRule type="cellIs" dxfId="564" priority="2" operator="equal">
      <formula>#N/A</formula>
    </cfRule>
  </conditionalFormatting>
  <conditionalFormatting sqref="I2">
    <cfRule type="cellIs" dxfId="5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62" priority="11" operator="equal">
      <formula>#N/A</formula>
    </cfRule>
  </conditionalFormatting>
  <conditionalFormatting sqref="DG2">
    <cfRule type="cellIs" dxfId="561" priority="10" operator="equal">
      <formula>#N/A</formula>
    </cfRule>
  </conditionalFormatting>
  <conditionalFormatting sqref="DH2:DI2">
    <cfRule type="cellIs" dxfId="560" priority="9" operator="equal">
      <formula>#N/A</formula>
    </cfRule>
  </conditionalFormatting>
  <conditionalFormatting sqref="I1:I2">
    <cfRule type="cellIs" dxfId="559" priority="8" operator="equal">
      <formula>#N/A</formula>
    </cfRule>
  </conditionalFormatting>
  <conditionalFormatting sqref="H1">
    <cfRule type="cellIs" dxfId="558" priority="7" operator="equal">
      <formula>#N/A</formula>
    </cfRule>
  </conditionalFormatting>
  <conditionalFormatting sqref="E1">
    <cfRule type="cellIs" dxfId="557" priority="6" operator="equal">
      <formula>#N/A</formula>
    </cfRule>
  </conditionalFormatting>
  <conditionalFormatting sqref="I1">
    <cfRule type="containsText" dxfId="556" priority="4" operator="containsText" text="All Data Import Successfully">
      <formula>NOT(ISERROR(SEARCH("All Data Import Successfully",I1)))</formula>
    </cfRule>
    <cfRule type="containsText" dxfId="555" priority="5" operator="containsText" text="Difference Entry">
      <formula>NOT(ISERROR(SEARCH("Difference Entry",I1)))</formula>
    </cfRule>
  </conditionalFormatting>
  <conditionalFormatting sqref="E2:G2">
    <cfRule type="cellIs" dxfId="554" priority="3" operator="equal">
      <formula>#N/A</formula>
    </cfRule>
  </conditionalFormatting>
  <conditionalFormatting sqref="H2">
    <cfRule type="cellIs" dxfId="553" priority="2" operator="equal">
      <formula>#N/A</formula>
    </cfRule>
  </conditionalFormatting>
  <conditionalFormatting sqref="I2">
    <cfRule type="cellIs" dxfId="55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51" priority="26" operator="equal">
      <formula>#N/A</formula>
    </cfRule>
  </conditionalFormatting>
  <conditionalFormatting sqref="DG2">
    <cfRule type="cellIs" dxfId="550" priority="21" operator="equal">
      <formula>#N/A</formula>
    </cfRule>
  </conditionalFormatting>
  <conditionalFormatting sqref="DH2:DI2">
    <cfRule type="cellIs" dxfId="549" priority="20" operator="equal">
      <formula>#N/A</formula>
    </cfRule>
  </conditionalFormatting>
  <conditionalFormatting sqref="I1:I2">
    <cfRule type="cellIs" dxfId="548" priority="8" operator="equal">
      <formula>#N/A</formula>
    </cfRule>
  </conditionalFormatting>
  <conditionalFormatting sqref="H1">
    <cfRule type="cellIs" dxfId="547" priority="7" operator="equal">
      <formula>#N/A</formula>
    </cfRule>
  </conditionalFormatting>
  <conditionalFormatting sqref="E1">
    <cfRule type="cellIs" dxfId="546" priority="6" operator="equal">
      <formula>#N/A</formula>
    </cfRule>
  </conditionalFormatting>
  <conditionalFormatting sqref="I1">
    <cfRule type="containsText" dxfId="545" priority="4" operator="containsText" text="All Data Import Successfully">
      <formula>NOT(ISERROR(SEARCH("All Data Import Successfully",I1)))</formula>
    </cfRule>
    <cfRule type="containsText" dxfId="544" priority="5" operator="containsText" text="Difference Entry">
      <formula>NOT(ISERROR(SEARCH("Difference Entry",I1)))</formula>
    </cfRule>
  </conditionalFormatting>
  <conditionalFormatting sqref="E2:G2">
    <cfRule type="cellIs" dxfId="543" priority="3" operator="equal">
      <formula>#N/A</formula>
    </cfRule>
  </conditionalFormatting>
  <conditionalFormatting sqref="H2">
    <cfRule type="cellIs" dxfId="542" priority="2" operator="equal">
      <formula>#N/A</formula>
    </cfRule>
  </conditionalFormatting>
  <conditionalFormatting sqref="I2">
    <cfRule type="cellIs" dxfId="54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40" priority="11" operator="equal">
      <formula>#N/A</formula>
    </cfRule>
  </conditionalFormatting>
  <conditionalFormatting sqref="DG2">
    <cfRule type="cellIs" dxfId="539" priority="10" operator="equal">
      <formula>#N/A</formula>
    </cfRule>
  </conditionalFormatting>
  <conditionalFormatting sqref="DH2:DI2">
    <cfRule type="cellIs" dxfId="538" priority="9" operator="equal">
      <formula>#N/A</formula>
    </cfRule>
  </conditionalFormatting>
  <conditionalFormatting sqref="I1:I2">
    <cfRule type="cellIs" dxfId="537" priority="8" operator="equal">
      <formula>#N/A</formula>
    </cfRule>
  </conditionalFormatting>
  <conditionalFormatting sqref="H1">
    <cfRule type="cellIs" dxfId="536" priority="7" operator="equal">
      <formula>#N/A</formula>
    </cfRule>
  </conditionalFormatting>
  <conditionalFormatting sqref="E1">
    <cfRule type="cellIs" dxfId="535" priority="6" operator="equal">
      <formula>#N/A</formula>
    </cfRule>
  </conditionalFormatting>
  <conditionalFormatting sqref="I1">
    <cfRule type="containsText" dxfId="534" priority="4" operator="containsText" text="All Data Import Successfully">
      <formula>NOT(ISERROR(SEARCH("All Data Import Successfully",I1)))</formula>
    </cfRule>
    <cfRule type="containsText" dxfId="533" priority="5" operator="containsText" text="Difference Entry">
      <formula>NOT(ISERROR(SEARCH("Difference Entry",I1)))</formula>
    </cfRule>
  </conditionalFormatting>
  <conditionalFormatting sqref="E2:G2">
    <cfRule type="cellIs" dxfId="532" priority="3" operator="equal">
      <formula>#N/A</formula>
    </cfRule>
  </conditionalFormatting>
  <conditionalFormatting sqref="H2">
    <cfRule type="cellIs" dxfId="531" priority="2" operator="equal">
      <formula>#N/A</formula>
    </cfRule>
  </conditionalFormatting>
  <conditionalFormatting sqref="I2">
    <cfRule type="cellIs" dxfId="53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29" priority="22" operator="equal">
      <formula>#N/A</formula>
    </cfRule>
  </conditionalFormatting>
  <conditionalFormatting sqref="DG2">
    <cfRule type="cellIs" dxfId="528" priority="17" operator="equal">
      <formula>#N/A</formula>
    </cfRule>
  </conditionalFormatting>
  <conditionalFormatting sqref="DH2:DI2">
    <cfRule type="cellIs" dxfId="527" priority="16" operator="equal">
      <formula>#N/A</formula>
    </cfRule>
  </conditionalFormatting>
  <conditionalFormatting sqref="I1">
    <cfRule type="cellIs" dxfId="526" priority="12" operator="equal">
      <formula>#N/A</formula>
    </cfRule>
  </conditionalFormatting>
  <conditionalFormatting sqref="H1">
    <cfRule type="cellIs" dxfId="525" priority="11" operator="equal">
      <formula>#N/A</formula>
    </cfRule>
  </conditionalFormatting>
  <conditionalFormatting sqref="E1">
    <cfRule type="cellIs" dxfId="524" priority="10" operator="equal">
      <formula>#N/A</formula>
    </cfRule>
  </conditionalFormatting>
  <conditionalFormatting sqref="I1">
    <cfRule type="containsText" dxfId="523" priority="8" operator="containsText" text="All Data Import Successfully">
      <formula>NOT(ISERROR(SEARCH("All Data Import Successfully",I1)))</formula>
    </cfRule>
    <cfRule type="containsText" dxfId="522" priority="9" operator="containsText" text="Difference Entry">
      <formula>NOT(ISERROR(SEARCH("Difference Entry",I1)))</formula>
    </cfRule>
  </conditionalFormatting>
  <conditionalFormatting sqref="I2">
    <cfRule type="cellIs" dxfId="521" priority="4" operator="equal">
      <formula>#N/A</formula>
    </cfRule>
  </conditionalFormatting>
  <conditionalFormatting sqref="E2:G2">
    <cfRule type="cellIs" dxfId="520" priority="3" operator="equal">
      <formula>#N/A</formula>
    </cfRule>
  </conditionalFormatting>
  <conditionalFormatting sqref="H2">
    <cfRule type="cellIs" dxfId="519" priority="2" operator="equal">
      <formula>#N/A</formula>
    </cfRule>
  </conditionalFormatting>
  <conditionalFormatting sqref="I2">
    <cfRule type="cellIs" dxfId="51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17" priority="11" operator="equal">
      <formula>#N/A</formula>
    </cfRule>
  </conditionalFormatting>
  <conditionalFormatting sqref="DG2">
    <cfRule type="cellIs" dxfId="516" priority="10" operator="equal">
      <formula>#N/A</formula>
    </cfRule>
  </conditionalFormatting>
  <conditionalFormatting sqref="DH2:DI2">
    <cfRule type="cellIs" dxfId="515" priority="9" operator="equal">
      <formula>#N/A</formula>
    </cfRule>
  </conditionalFormatting>
  <conditionalFormatting sqref="I1:I2">
    <cfRule type="cellIs" dxfId="514" priority="8" operator="equal">
      <formula>#N/A</formula>
    </cfRule>
  </conditionalFormatting>
  <conditionalFormatting sqref="H1">
    <cfRule type="cellIs" dxfId="513" priority="7" operator="equal">
      <formula>#N/A</formula>
    </cfRule>
  </conditionalFormatting>
  <conditionalFormatting sqref="E1">
    <cfRule type="cellIs" dxfId="512" priority="6" operator="equal">
      <formula>#N/A</formula>
    </cfRule>
  </conditionalFormatting>
  <conditionalFormatting sqref="I1">
    <cfRule type="containsText" dxfId="511" priority="4" operator="containsText" text="All Data Import Successfully">
      <formula>NOT(ISERROR(SEARCH("All Data Import Successfully",I1)))</formula>
    </cfRule>
    <cfRule type="containsText" dxfId="510" priority="5" operator="containsText" text="Difference Entry">
      <formula>NOT(ISERROR(SEARCH("Difference Entry",I1)))</formula>
    </cfRule>
  </conditionalFormatting>
  <conditionalFormatting sqref="E2:G2">
    <cfRule type="cellIs" dxfId="509" priority="3" operator="equal">
      <formula>#N/A</formula>
    </cfRule>
  </conditionalFormatting>
  <conditionalFormatting sqref="H2">
    <cfRule type="cellIs" dxfId="508" priority="2" operator="equal">
      <formula>#N/A</formula>
    </cfRule>
  </conditionalFormatting>
  <conditionalFormatting sqref="I2">
    <cfRule type="cellIs" dxfId="5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6" priority="18" operator="equal">
      <formula>#N/A</formula>
    </cfRule>
  </conditionalFormatting>
  <conditionalFormatting sqref="DG2">
    <cfRule type="cellIs" dxfId="505" priority="13" operator="equal">
      <formula>#N/A</formula>
    </cfRule>
  </conditionalFormatting>
  <conditionalFormatting sqref="DH2:DI2">
    <cfRule type="cellIs" dxfId="504" priority="12" operator="equal">
      <formula>#N/A</formula>
    </cfRule>
  </conditionalFormatting>
  <conditionalFormatting sqref="I1:I2">
    <cfRule type="cellIs" dxfId="503" priority="8" operator="equal">
      <formula>#N/A</formula>
    </cfRule>
  </conditionalFormatting>
  <conditionalFormatting sqref="H1">
    <cfRule type="cellIs" dxfId="502" priority="7" operator="equal">
      <formula>#N/A</formula>
    </cfRule>
  </conditionalFormatting>
  <conditionalFormatting sqref="E1">
    <cfRule type="cellIs" dxfId="501" priority="6" operator="equal">
      <formula>#N/A</formula>
    </cfRule>
  </conditionalFormatting>
  <conditionalFormatting sqref="I1">
    <cfRule type="containsText" dxfId="500" priority="4" operator="containsText" text="All Data Import Successfully">
      <formula>NOT(ISERROR(SEARCH("All Data Import Successfully",I1)))</formula>
    </cfRule>
    <cfRule type="containsText" dxfId="499" priority="5" operator="containsText" text="Difference Entry">
      <formula>NOT(ISERROR(SEARCH("Difference Entry",I1)))</formula>
    </cfRule>
  </conditionalFormatting>
  <conditionalFormatting sqref="E2:G2">
    <cfRule type="cellIs" dxfId="498" priority="3" operator="equal">
      <formula>#N/A</formula>
    </cfRule>
  </conditionalFormatting>
  <conditionalFormatting sqref="H2">
    <cfRule type="cellIs" dxfId="497" priority="2" operator="equal">
      <formula>#N/A</formula>
    </cfRule>
  </conditionalFormatting>
  <conditionalFormatting sqref="I2">
    <cfRule type="cellIs" dxfId="49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5" priority="11" operator="equal">
      <formula>#N/A</formula>
    </cfRule>
  </conditionalFormatting>
  <conditionalFormatting sqref="DG2">
    <cfRule type="cellIs" dxfId="494" priority="10" operator="equal">
      <formula>#N/A</formula>
    </cfRule>
  </conditionalFormatting>
  <conditionalFormatting sqref="DH2:DI2">
    <cfRule type="cellIs" dxfId="493" priority="9" operator="equal">
      <formula>#N/A</formula>
    </cfRule>
  </conditionalFormatting>
  <conditionalFormatting sqref="I1:I2">
    <cfRule type="cellIs" dxfId="492" priority="8" operator="equal">
      <formula>#N/A</formula>
    </cfRule>
  </conditionalFormatting>
  <conditionalFormatting sqref="H1">
    <cfRule type="cellIs" dxfId="491" priority="7" operator="equal">
      <formula>#N/A</formula>
    </cfRule>
  </conditionalFormatting>
  <conditionalFormatting sqref="E1">
    <cfRule type="cellIs" dxfId="490" priority="6" operator="equal">
      <formula>#N/A</formula>
    </cfRule>
  </conditionalFormatting>
  <conditionalFormatting sqref="I1">
    <cfRule type="containsText" dxfId="489" priority="4" operator="containsText" text="All Data Import Successfully">
      <formula>NOT(ISERROR(SEARCH("All Data Import Successfully",I1)))</formula>
    </cfRule>
    <cfRule type="containsText" dxfId="488" priority="5" operator="containsText" text="Difference Entry">
      <formula>NOT(ISERROR(SEARCH("Difference Entry",I1)))</formula>
    </cfRule>
  </conditionalFormatting>
  <conditionalFormatting sqref="E2:G2">
    <cfRule type="cellIs" dxfId="487" priority="3" operator="equal">
      <formula>#N/A</formula>
    </cfRule>
  </conditionalFormatting>
  <conditionalFormatting sqref="H2">
    <cfRule type="cellIs" dxfId="486" priority="2" operator="equal">
      <formula>#N/A</formula>
    </cfRule>
  </conditionalFormatting>
  <conditionalFormatting sqref="I2">
    <cfRule type="cellIs" dxfId="48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84" priority="11" operator="equal">
      <formula>#N/A</formula>
    </cfRule>
  </conditionalFormatting>
  <conditionalFormatting sqref="DG2">
    <cfRule type="cellIs" dxfId="483" priority="10" operator="equal">
      <formula>#N/A</formula>
    </cfRule>
  </conditionalFormatting>
  <conditionalFormatting sqref="DH2:DI2">
    <cfRule type="cellIs" dxfId="482" priority="9" operator="equal">
      <formula>#N/A</formula>
    </cfRule>
  </conditionalFormatting>
  <conditionalFormatting sqref="I1:I2">
    <cfRule type="cellIs" dxfId="481" priority="8" operator="equal">
      <formula>#N/A</formula>
    </cfRule>
  </conditionalFormatting>
  <conditionalFormatting sqref="H1">
    <cfRule type="cellIs" dxfId="480" priority="7" operator="equal">
      <formula>#N/A</formula>
    </cfRule>
  </conditionalFormatting>
  <conditionalFormatting sqref="E1">
    <cfRule type="cellIs" dxfId="479" priority="6" operator="equal">
      <formula>#N/A</formula>
    </cfRule>
  </conditionalFormatting>
  <conditionalFormatting sqref="I1">
    <cfRule type="containsText" dxfId="478" priority="4" operator="containsText" text="All Data Import Successfully">
      <formula>NOT(ISERROR(SEARCH("All Data Import Successfully",I1)))</formula>
    </cfRule>
    <cfRule type="containsText" dxfId="477" priority="5" operator="containsText" text="Difference Entry">
      <formula>NOT(ISERROR(SEARCH("Difference Entry",I1)))</formula>
    </cfRule>
  </conditionalFormatting>
  <conditionalFormatting sqref="E2:G2">
    <cfRule type="cellIs" dxfId="476" priority="3" operator="equal">
      <formula>#N/A</formula>
    </cfRule>
  </conditionalFormatting>
  <conditionalFormatting sqref="H2">
    <cfRule type="cellIs" dxfId="475" priority="2" operator="equal">
      <formula>#N/A</formula>
    </cfRule>
  </conditionalFormatting>
  <conditionalFormatting sqref="I2">
    <cfRule type="cellIs" dxfId="4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50" t="s">
        <v>294</v>
      </c>
      <c r="D4" s="350"/>
      <c r="E4" s="351" t="s">
        <v>295</v>
      </c>
      <c r="F4" s="351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73" priority="11" operator="equal">
      <formula>#N/A</formula>
    </cfRule>
  </conditionalFormatting>
  <conditionalFormatting sqref="DG2">
    <cfRule type="cellIs" dxfId="472" priority="10" operator="equal">
      <formula>#N/A</formula>
    </cfRule>
  </conditionalFormatting>
  <conditionalFormatting sqref="DH2:DI2">
    <cfRule type="cellIs" dxfId="471" priority="9" operator="equal">
      <formula>#N/A</formula>
    </cfRule>
  </conditionalFormatting>
  <conditionalFormatting sqref="I1:I2">
    <cfRule type="cellIs" dxfId="470" priority="8" operator="equal">
      <formula>#N/A</formula>
    </cfRule>
  </conditionalFormatting>
  <conditionalFormatting sqref="H1">
    <cfRule type="cellIs" dxfId="469" priority="7" operator="equal">
      <formula>#N/A</formula>
    </cfRule>
  </conditionalFormatting>
  <conditionalFormatting sqref="E1">
    <cfRule type="cellIs" dxfId="468" priority="6" operator="equal">
      <formula>#N/A</formula>
    </cfRule>
  </conditionalFormatting>
  <conditionalFormatting sqref="I1">
    <cfRule type="containsText" dxfId="467" priority="4" operator="containsText" text="All Data Import Successfully">
      <formula>NOT(ISERROR(SEARCH("All Data Import Successfully",I1)))</formula>
    </cfRule>
    <cfRule type="containsText" dxfId="466" priority="5" operator="containsText" text="Difference Entry">
      <formula>NOT(ISERROR(SEARCH("Difference Entry",I1)))</formula>
    </cfRule>
  </conditionalFormatting>
  <conditionalFormatting sqref="E2:G2">
    <cfRule type="cellIs" dxfId="465" priority="3" operator="equal">
      <formula>#N/A</formula>
    </cfRule>
  </conditionalFormatting>
  <conditionalFormatting sqref="H2">
    <cfRule type="cellIs" dxfId="464" priority="2" operator="equal">
      <formula>#N/A</formula>
    </cfRule>
  </conditionalFormatting>
  <conditionalFormatting sqref="I2">
    <cfRule type="cellIs" dxfId="4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62" priority="11" operator="equal">
      <formula>#N/A</formula>
    </cfRule>
  </conditionalFormatting>
  <conditionalFormatting sqref="DG2">
    <cfRule type="cellIs" dxfId="461" priority="10" operator="equal">
      <formula>#N/A</formula>
    </cfRule>
  </conditionalFormatting>
  <conditionalFormatting sqref="DH2:DI2">
    <cfRule type="cellIs" dxfId="460" priority="9" operator="equal">
      <formula>#N/A</formula>
    </cfRule>
  </conditionalFormatting>
  <conditionalFormatting sqref="I1:I2">
    <cfRule type="cellIs" dxfId="459" priority="8" operator="equal">
      <formula>#N/A</formula>
    </cfRule>
  </conditionalFormatting>
  <conditionalFormatting sqref="H1">
    <cfRule type="cellIs" dxfId="458" priority="7" operator="equal">
      <formula>#N/A</formula>
    </cfRule>
  </conditionalFormatting>
  <conditionalFormatting sqref="E1">
    <cfRule type="cellIs" dxfId="457" priority="6" operator="equal">
      <formula>#N/A</formula>
    </cfRule>
  </conditionalFormatting>
  <conditionalFormatting sqref="I1">
    <cfRule type="containsText" dxfId="456" priority="4" operator="containsText" text="All Data Import Successfully">
      <formula>NOT(ISERROR(SEARCH("All Data Import Successfully",I1)))</formula>
    </cfRule>
    <cfRule type="containsText" dxfId="455" priority="5" operator="containsText" text="Difference Entry">
      <formula>NOT(ISERROR(SEARCH("Difference Entry",I1)))</formula>
    </cfRule>
  </conditionalFormatting>
  <conditionalFormatting sqref="E2:G2">
    <cfRule type="cellIs" dxfId="454" priority="3" operator="equal">
      <formula>#N/A</formula>
    </cfRule>
  </conditionalFormatting>
  <conditionalFormatting sqref="H2">
    <cfRule type="cellIs" dxfId="453" priority="2" operator="equal">
      <formula>#N/A</formula>
    </cfRule>
  </conditionalFormatting>
  <conditionalFormatting sqref="I2">
    <cfRule type="cellIs" dxfId="45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311</v>
      </c>
      <c r="DB5" s="279">
        <v>45688</v>
      </c>
      <c r="DC5" s="280" t="s">
        <v>993</v>
      </c>
      <c r="DD5" s="281">
        <v>0</v>
      </c>
      <c r="DE5" s="281">
        <v>30451</v>
      </c>
      <c r="DF5" s="281">
        <v>217889.7</v>
      </c>
      <c r="DG5" s="306" t="s">
        <v>936</v>
      </c>
      <c r="DH5" s="284">
        <v>45688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/>
      <c r="G6" s="305" t="s">
        <v>456</v>
      </c>
      <c r="H6" s="305" t="s">
        <v>457</v>
      </c>
      <c r="DA6" s="278" t="s">
        <v>311</v>
      </c>
      <c r="DB6" s="279">
        <v>45687</v>
      </c>
      <c r="DC6" s="280" t="s">
        <v>994</v>
      </c>
      <c r="DD6" s="281">
        <v>0</v>
      </c>
      <c r="DE6" s="281">
        <v>36190</v>
      </c>
      <c r="DF6" s="281">
        <v>187438.7</v>
      </c>
      <c r="DG6" s="282" t="s">
        <v>937</v>
      </c>
      <c r="DH6" s="284">
        <v>45687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311</v>
      </c>
      <c r="DB7" s="279">
        <v>45687</v>
      </c>
      <c r="DC7" s="280" t="s">
        <v>995</v>
      </c>
      <c r="DD7" s="281">
        <v>10000</v>
      </c>
      <c r="DE7" s="281">
        <v>0</v>
      </c>
      <c r="DF7" s="281">
        <v>151248.70000000001</v>
      </c>
      <c r="DG7" s="282" t="s">
        <v>938</v>
      </c>
      <c r="DH7" s="284">
        <v>45687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311</v>
      </c>
      <c r="DB8" s="279">
        <v>45687</v>
      </c>
      <c r="DC8" s="280" t="s">
        <v>996</v>
      </c>
      <c r="DD8" s="281">
        <v>1100</v>
      </c>
      <c r="DE8" s="281">
        <v>0</v>
      </c>
      <c r="DF8" s="281">
        <v>161248.70000000001</v>
      </c>
      <c r="DG8" s="282" t="s">
        <v>938</v>
      </c>
      <c r="DH8" s="284">
        <v>45687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311</v>
      </c>
      <c r="DB9" s="279">
        <v>45687</v>
      </c>
      <c r="DC9" s="280" t="s">
        <v>997</v>
      </c>
      <c r="DD9" s="281">
        <v>0</v>
      </c>
      <c r="DE9" s="281">
        <v>49710</v>
      </c>
      <c r="DF9" s="281">
        <v>162348.70000000001</v>
      </c>
      <c r="DG9" s="306" t="s">
        <v>939</v>
      </c>
      <c r="DH9" s="284">
        <v>45687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311</v>
      </c>
      <c r="DB10" s="279">
        <v>45685</v>
      </c>
      <c r="DC10" s="280" t="s">
        <v>998</v>
      </c>
      <c r="DD10" s="281">
        <v>20000</v>
      </c>
      <c r="DE10" s="281">
        <v>0</v>
      </c>
      <c r="DF10" s="281">
        <v>112638.7</v>
      </c>
      <c r="DG10" s="282" t="s">
        <v>940</v>
      </c>
      <c r="DH10" s="284">
        <v>45685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311</v>
      </c>
      <c r="DB11" s="279">
        <v>45683</v>
      </c>
      <c r="DC11" s="280" t="s">
        <v>999</v>
      </c>
      <c r="DD11" s="281">
        <v>20000</v>
      </c>
      <c r="DE11" s="281">
        <v>0</v>
      </c>
      <c r="DF11" s="281">
        <v>132638.70000000001</v>
      </c>
      <c r="DG11" s="282" t="s">
        <v>938</v>
      </c>
      <c r="DH11" s="284">
        <v>45683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311</v>
      </c>
      <c r="DB12" s="279">
        <v>45681</v>
      </c>
      <c r="DC12" s="280" t="s">
        <v>1000</v>
      </c>
      <c r="DD12" s="281">
        <v>0</v>
      </c>
      <c r="DE12" s="281">
        <v>35000</v>
      </c>
      <c r="DF12" s="281">
        <v>152638.70000000001</v>
      </c>
      <c r="DG12" s="282" t="s">
        <v>941</v>
      </c>
      <c r="DH12" s="284">
        <v>45681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311</v>
      </c>
      <c r="DB13" s="279">
        <v>45680</v>
      </c>
      <c r="DC13" s="280" t="s">
        <v>1001</v>
      </c>
      <c r="DD13" s="281">
        <v>23.6</v>
      </c>
      <c r="DE13" s="281">
        <v>0</v>
      </c>
      <c r="DF13" s="281">
        <v>117638.7</v>
      </c>
      <c r="DG13" s="282" t="s">
        <v>942</v>
      </c>
      <c r="DH13" s="284">
        <v>45680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311</v>
      </c>
      <c r="DB14" s="279">
        <v>45679</v>
      </c>
      <c r="DC14" s="280" t="s">
        <v>1002</v>
      </c>
      <c r="DD14" s="281">
        <v>0</v>
      </c>
      <c r="DE14" s="281">
        <v>50000</v>
      </c>
      <c r="DF14" s="281">
        <v>117662.3</v>
      </c>
      <c r="DG14" s="282" t="s">
        <v>943</v>
      </c>
      <c r="DH14" s="284">
        <v>45679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311</v>
      </c>
      <c r="DB15" s="279">
        <v>45679</v>
      </c>
      <c r="DC15" s="280" t="s">
        <v>1003</v>
      </c>
      <c r="DD15" s="281">
        <v>35000</v>
      </c>
      <c r="DE15" s="281">
        <v>0</v>
      </c>
      <c r="DF15" s="281">
        <v>67662.3</v>
      </c>
      <c r="DG15" s="282" t="s">
        <v>944</v>
      </c>
      <c r="DH15" s="284">
        <v>45679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311</v>
      </c>
      <c r="DB16" s="279">
        <v>45679</v>
      </c>
      <c r="DC16" s="280" t="s">
        <v>1004</v>
      </c>
      <c r="DD16" s="281">
        <v>0</v>
      </c>
      <c r="DE16" s="281">
        <v>50000</v>
      </c>
      <c r="DF16" s="281">
        <v>102662.3</v>
      </c>
      <c r="DG16" s="282" t="s">
        <v>945</v>
      </c>
      <c r="DH16" s="284">
        <v>45679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311</v>
      </c>
      <c r="DB17" s="279">
        <v>45678</v>
      </c>
      <c r="DC17" s="280" t="s">
        <v>1005</v>
      </c>
      <c r="DD17" s="281">
        <v>15000</v>
      </c>
      <c r="DE17" s="281">
        <v>0</v>
      </c>
      <c r="DF17" s="281">
        <v>52662.3</v>
      </c>
      <c r="DG17" s="282" t="s">
        <v>938</v>
      </c>
      <c r="DH17" s="284">
        <v>45678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311</v>
      </c>
      <c r="DB18" s="279">
        <v>45678</v>
      </c>
      <c r="DC18" s="280" t="s">
        <v>1006</v>
      </c>
      <c r="DD18" s="281">
        <v>0</v>
      </c>
      <c r="DE18" s="281">
        <v>50000</v>
      </c>
      <c r="DF18" s="281">
        <v>67662.3</v>
      </c>
      <c r="DG18" s="282" t="s">
        <v>946</v>
      </c>
      <c r="DH18" s="284">
        <v>45678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311</v>
      </c>
      <c r="DB19" s="279">
        <v>45673</v>
      </c>
      <c r="DC19" s="280" t="s">
        <v>1007</v>
      </c>
      <c r="DD19" s="281">
        <v>10000</v>
      </c>
      <c r="DE19" s="281">
        <v>0</v>
      </c>
      <c r="DF19" s="281">
        <v>17662.3</v>
      </c>
      <c r="DG19" s="282" t="s">
        <v>947</v>
      </c>
      <c r="DH19" s="284">
        <v>45673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311</v>
      </c>
      <c r="DB20" s="279">
        <v>45673</v>
      </c>
      <c r="DC20" s="280" t="s">
        <v>1008</v>
      </c>
      <c r="DD20" s="281">
        <v>10000</v>
      </c>
      <c r="DE20" s="281">
        <v>0</v>
      </c>
      <c r="DF20" s="281">
        <v>27662.3</v>
      </c>
      <c r="DG20" s="282" t="s">
        <v>947</v>
      </c>
      <c r="DH20" s="284">
        <v>45673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311</v>
      </c>
      <c r="DB21" s="279">
        <v>45673</v>
      </c>
      <c r="DC21" s="280" t="s">
        <v>1009</v>
      </c>
      <c r="DD21" s="281">
        <v>10000</v>
      </c>
      <c r="DE21" s="281">
        <v>0</v>
      </c>
      <c r="DF21" s="281">
        <v>37662.300000000003</v>
      </c>
      <c r="DG21" s="282" t="s">
        <v>947</v>
      </c>
      <c r="DH21" s="284">
        <v>45673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311</v>
      </c>
      <c r="DB22" s="279">
        <v>45671</v>
      </c>
      <c r="DC22" s="280" t="s">
        <v>1010</v>
      </c>
      <c r="DD22" s="281">
        <v>2000</v>
      </c>
      <c r="DE22" s="281">
        <v>0</v>
      </c>
      <c r="DF22" s="281">
        <v>47662.3</v>
      </c>
      <c r="DG22" s="282" t="s">
        <v>948</v>
      </c>
      <c r="DH22" s="284">
        <v>45671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311</v>
      </c>
      <c r="DB23" s="279">
        <v>45671</v>
      </c>
      <c r="DC23" s="280" t="s">
        <v>1011</v>
      </c>
      <c r="DD23" s="281">
        <v>72954</v>
      </c>
      <c r="DE23" s="281">
        <v>0</v>
      </c>
      <c r="DF23" s="281">
        <v>49662.3</v>
      </c>
      <c r="DG23" s="282" t="s">
        <v>949</v>
      </c>
      <c r="DH23" s="284">
        <v>45671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311</v>
      </c>
      <c r="DB24" s="279">
        <v>45670</v>
      </c>
      <c r="DC24" s="280" t="s">
        <v>1012</v>
      </c>
      <c r="DD24" s="281">
        <v>83475</v>
      </c>
      <c r="DE24" s="281">
        <v>0</v>
      </c>
      <c r="DF24" s="281">
        <v>122616.3</v>
      </c>
      <c r="DG24" s="282" t="s">
        <v>950</v>
      </c>
      <c r="DH24" s="284">
        <v>45670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311</v>
      </c>
      <c r="DB25" s="279">
        <v>45670</v>
      </c>
      <c r="DC25" s="280" t="s">
        <v>1013</v>
      </c>
      <c r="DD25" s="281">
        <v>0</v>
      </c>
      <c r="DE25" s="281">
        <v>30000</v>
      </c>
      <c r="DF25" s="281">
        <v>206091.3</v>
      </c>
      <c r="DG25" s="282" t="s">
        <v>951</v>
      </c>
      <c r="DH25" s="284">
        <v>45670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311</v>
      </c>
      <c r="DB26" s="279">
        <v>45670</v>
      </c>
      <c r="DC26" s="280" t="s">
        <v>1014</v>
      </c>
      <c r="DD26" s="281">
        <v>0</v>
      </c>
      <c r="DE26" s="281">
        <v>101850</v>
      </c>
      <c r="DF26" s="281">
        <v>176091.3</v>
      </c>
      <c r="DG26" s="306" t="s">
        <v>936</v>
      </c>
      <c r="DH26" s="284">
        <v>45670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311</v>
      </c>
      <c r="DB27" s="279">
        <v>45667</v>
      </c>
      <c r="DC27" s="280" t="s">
        <v>1015</v>
      </c>
      <c r="DD27" s="281">
        <v>30317</v>
      </c>
      <c r="DE27" s="281">
        <v>0</v>
      </c>
      <c r="DF27" s="281">
        <v>74241.3</v>
      </c>
      <c r="DG27" s="282" t="s">
        <v>952</v>
      </c>
      <c r="DH27" s="284">
        <v>45667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311</v>
      </c>
      <c r="DB28" s="279">
        <v>45663</v>
      </c>
      <c r="DC28" s="280" t="s">
        <v>1016</v>
      </c>
      <c r="DD28" s="281">
        <v>0</v>
      </c>
      <c r="DE28" s="281">
        <v>30000</v>
      </c>
      <c r="DF28" s="281">
        <v>104558.3</v>
      </c>
      <c r="DG28" s="282" t="s">
        <v>953</v>
      </c>
      <c r="DH28" s="284">
        <v>45663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311</v>
      </c>
      <c r="DB29" s="279">
        <v>45660</v>
      </c>
      <c r="DC29" s="280" t="s">
        <v>1017</v>
      </c>
      <c r="DD29" s="281">
        <v>16205</v>
      </c>
      <c r="DE29" s="281">
        <v>0</v>
      </c>
      <c r="DF29" s="281">
        <v>74558.3</v>
      </c>
      <c r="DG29" s="282" t="s">
        <v>954</v>
      </c>
      <c r="DH29" s="284">
        <v>45660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311</v>
      </c>
      <c r="DB30" s="279">
        <v>45659</v>
      </c>
      <c r="DC30" s="280" t="s">
        <v>1018</v>
      </c>
      <c r="DD30" s="281">
        <v>0</v>
      </c>
      <c r="DE30" s="281">
        <v>27641</v>
      </c>
      <c r="DF30" s="281">
        <v>90763.3</v>
      </c>
      <c r="DG30" s="282" t="s">
        <v>955</v>
      </c>
      <c r="DH30" s="284">
        <v>45659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311</v>
      </c>
      <c r="DB31" s="279">
        <v>45659</v>
      </c>
      <c r="DC31" s="280" t="s">
        <v>1019</v>
      </c>
      <c r="DD31" s="281">
        <v>60000</v>
      </c>
      <c r="DE31" s="281">
        <v>0</v>
      </c>
      <c r="DF31" s="281">
        <v>63122.3</v>
      </c>
      <c r="DG31" s="282" t="s">
        <v>944</v>
      </c>
      <c r="DH31" s="284">
        <v>45659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311</v>
      </c>
      <c r="DB32" s="279">
        <v>45658</v>
      </c>
      <c r="DC32" s="280" t="s">
        <v>1020</v>
      </c>
      <c r="DD32" s="281">
        <v>50000</v>
      </c>
      <c r="DE32" s="281">
        <v>0</v>
      </c>
      <c r="DF32" s="281">
        <v>123122.3</v>
      </c>
      <c r="DG32" s="282" t="s">
        <v>956</v>
      </c>
      <c r="DH32" s="284">
        <v>45658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311</v>
      </c>
      <c r="DB33" s="279">
        <v>45658</v>
      </c>
      <c r="DC33" s="280" t="s">
        <v>1021</v>
      </c>
      <c r="DD33" s="281">
        <v>0</v>
      </c>
      <c r="DE33" s="281">
        <v>38588</v>
      </c>
      <c r="DF33" s="281">
        <v>173122.3</v>
      </c>
      <c r="DG33" s="306" t="s">
        <v>957</v>
      </c>
      <c r="DH33" s="284">
        <v>45658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311</v>
      </c>
      <c r="DB34" s="279">
        <v>45658</v>
      </c>
      <c r="DC34" s="280" t="s">
        <v>1022</v>
      </c>
      <c r="DD34" s="281">
        <v>8269</v>
      </c>
      <c r="DE34" s="281">
        <v>0</v>
      </c>
      <c r="DF34" s="281">
        <v>134534.29999999999</v>
      </c>
      <c r="DG34" s="282" t="s">
        <v>958</v>
      </c>
      <c r="DH34" s="284">
        <v>45658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311</v>
      </c>
      <c r="DB35" s="279">
        <v>45657</v>
      </c>
      <c r="DC35" s="280" t="s">
        <v>1023</v>
      </c>
      <c r="DD35" s="281">
        <v>100000</v>
      </c>
      <c r="DE35" s="281">
        <v>0</v>
      </c>
      <c r="DF35" s="281">
        <v>142803.29999999999</v>
      </c>
      <c r="DG35" s="282" t="s">
        <v>959</v>
      </c>
      <c r="DH35" s="284">
        <v>45657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311</v>
      </c>
      <c r="DB36" s="279">
        <v>45656</v>
      </c>
      <c r="DC36" s="280" t="s">
        <v>1024</v>
      </c>
      <c r="DD36" s="281">
        <v>0</v>
      </c>
      <c r="DE36" s="281">
        <v>100000</v>
      </c>
      <c r="DF36" s="281">
        <v>242803.3</v>
      </c>
      <c r="DG36" s="282" t="s">
        <v>960</v>
      </c>
      <c r="DH36" s="284">
        <v>45656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311</v>
      </c>
      <c r="DB37" s="279">
        <v>45654</v>
      </c>
      <c r="DC37" s="280" t="s">
        <v>1025</v>
      </c>
      <c r="DD37" s="281">
        <v>7000</v>
      </c>
      <c r="DE37" s="281">
        <v>0</v>
      </c>
      <c r="DF37" s="281">
        <v>142803.29999999999</v>
      </c>
      <c r="DG37" s="282" t="s">
        <v>938</v>
      </c>
      <c r="DH37" s="284">
        <v>45654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311</v>
      </c>
      <c r="DB38" s="279">
        <v>45653</v>
      </c>
      <c r="DC38" s="280" t="s">
        <v>1026</v>
      </c>
      <c r="DD38" s="281">
        <v>23514</v>
      </c>
      <c r="DE38" s="281">
        <v>0</v>
      </c>
      <c r="DF38" s="281">
        <v>149803.29999999999</v>
      </c>
      <c r="DG38" s="282" t="s">
        <v>961</v>
      </c>
      <c r="DH38" s="284">
        <v>45653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311</v>
      </c>
      <c r="DB39" s="279">
        <v>45652</v>
      </c>
      <c r="DC39" s="280" t="s">
        <v>1027</v>
      </c>
      <c r="DD39" s="281">
        <v>0</v>
      </c>
      <c r="DE39" s="281">
        <v>71016</v>
      </c>
      <c r="DF39" s="281">
        <v>173317.3</v>
      </c>
      <c r="DG39" s="282" t="s">
        <v>962</v>
      </c>
      <c r="DH39" s="284">
        <v>45652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311</v>
      </c>
      <c r="DB40" s="279">
        <v>45650</v>
      </c>
      <c r="DC40" s="280" t="s">
        <v>1028</v>
      </c>
      <c r="DD40" s="281">
        <v>0</v>
      </c>
      <c r="DE40" s="281">
        <v>41700</v>
      </c>
      <c r="DF40" s="281">
        <v>102301.3</v>
      </c>
      <c r="DG40" s="282" t="s">
        <v>963</v>
      </c>
      <c r="DH40" s="284">
        <v>45650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311</v>
      </c>
      <c r="DB41" s="279">
        <v>45650</v>
      </c>
      <c r="DC41" s="280" t="s">
        <v>1029</v>
      </c>
      <c r="DD41" s="281">
        <v>3000</v>
      </c>
      <c r="DE41" s="281">
        <v>0</v>
      </c>
      <c r="DF41" s="281">
        <v>60601.3</v>
      </c>
      <c r="DG41" s="282" t="s">
        <v>964</v>
      </c>
      <c r="DH41" s="284">
        <v>45650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311</v>
      </c>
      <c r="DB42" s="279">
        <v>45647</v>
      </c>
      <c r="DC42" s="280" t="s">
        <v>1030</v>
      </c>
      <c r="DD42" s="281">
        <v>3000</v>
      </c>
      <c r="DE42" s="281">
        <v>0</v>
      </c>
      <c r="DF42" s="281">
        <v>63601.3</v>
      </c>
      <c r="DG42" s="282" t="s">
        <v>940</v>
      </c>
      <c r="DH42" s="284">
        <v>45647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311</v>
      </c>
      <c r="DB43" s="279">
        <v>45643</v>
      </c>
      <c r="DC43" s="280" t="s">
        <v>1031</v>
      </c>
      <c r="DD43" s="281">
        <v>9555</v>
      </c>
      <c r="DE43" s="281">
        <v>0</v>
      </c>
      <c r="DF43" s="281">
        <v>66601.3</v>
      </c>
      <c r="DG43" s="282" t="s">
        <v>965</v>
      </c>
      <c r="DH43" s="284">
        <v>45643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311</v>
      </c>
      <c r="DB44" s="279">
        <v>45643</v>
      </c>
      <c r="DC44" s="280" t="s">
        <v>1032</v>
      </c>
      <c r="DD44" s="281">
        <v>0</v>
      </c>
      <c r="DE44" s="281">
        <v>36015</v>
      </c>
      <c r="DF44" s="281">
        <v>76156.3</v>
      </c>
      <c r="DG44" s="306" t="s">
        <v>936</v>
      </c>
      <c r="DH44" s="284">
        <v>45643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311</v>
      </c>
      <c r="DB45" s="279">
        <v>45642</v>
      </c>
      <c r="DC45" s="280" t="s">
        <v>1033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311</v>
      </c>
      <c r="DB46" s="279">
        <v>45638</v>
      </c>
      <c r="DC46" s="280" t="s">
        <v>1034</v>
      </c>
      <c r="DD46" s="281">
        <v>44289</v>
      </c>
      <c r="DE46" s="281">
        <v>0</v>
      </c>
      <c r="DF46" s="281">
        <v>65220.3</v>
      </c>
      <c r="DG46" s="282" t="s">
        <v>966</v>
      </c>
      <c r="DH46" s="284">
        <v>45638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311</v>
      </c>
      <c r="DB47" s="279">
        <v>45637</v>
      </c>
      <c r="DC47" s="280" t="s">
        <v>1035</v>
      </c>
      <c r="DD47" s="281">
        <v>70000</v>
      </c>
      <c r="DE47" s="281">
        <v>0</v>
      </c>
      <c r="DF47" s="281">
        <v>109509.3</v>
      </c>
      <c r="DG47" s="282" t="s">
        <v>944</v>
      </c>
      <c r="DH47" s="284">
        <v>45637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311</v>
      </c>
      <c r="DB48" s="279">
        <v>45636</v>
      </c>
      <c r="DC48" s="280" t="s">
        <v>1036</v>
      </c>
      <c r="DD48" s="281">
        <v>54000</v>
      </c>
      <c r="DE48" s="281">
        <v>0</v>
      </c>
      <c r="DF48" s="281">
        <v>179509.3</v>
      </c>
      <c r="DG48" s="282" t="s">
        <v>944</v>
      </c>
      <c r="DH48" s="284">
        <v>45636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311</v>
      </c>
      <c r="DB49" s="279">
        <v>45636</v>
      </c>
      <c r="DC49" s="280" t="s">
        <v>1037</v>
      </c>
      <c r="DD49" s="281">
        <v>0</v>
      </c>
      <c r="DE49" s="281">
        <v>40000</v>
      </c>
      <c r="DF49" s="281">
        <v>233509.3</v>
      </c>
      <c r="DG49" s="282" t="s">
        <v>967</v>
      </c>
      <c r="DH49" s="284">
        <v>45636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311</v>
      </c>
      <c r="DB50" s="279">
        <v>45636</v>
      </c>
      <c r="DC50" s="280" t="s">
        <v>1038</v>
      </c>
      <c r="DD50" s="281">
        <v>30317</v>
      </c>
      <c r="DE50" s="281">
        <v>0</v>
      </c>
      <c r="DF50" s="281">
        <v>193509.3</v>
      </c>
      <c r="DG50" s="282" t="s">
        <v>952</v>
      </c>
      <c r="DH50" s="284">
        <v>45636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311</v>
      </c>
      <c r="DB51" s="279">
        <v>45633</v>
      </c>
      <c r="DC51" s="280" t="s">
        <v>1039</v>
      </c>
      <c r="DD51" s="281">
        <v>0</v>
      </c>
      <c r="DE51" s="281">
        <v>36855</v>
      </c>
      <c r="DF51" s="281">
        <v>223826.3</v>
      </c>
      <c r="DG51" s="306" t="s">
        <v>968</v>
      </c>
      <c r="DH51" s="284">
        <v>45633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311</v>
      </c>
      <c r="DB52" s="279">
        <v>45633</v>
      </c>
      <c r="DC52" s="280" t="s">
        <v>1040</v>
      </c>
      <c r="DD52" s="281">
        <v>0</v>
      </c>
      <c r="DE52" s="281">
        <v>43659</v>
      </c>
      <c r="DF52" s="281">
        <v>186971.3</v>
      </c>
      <c r="DG52" s="306" t="s">
        <v>969</v>
      </c>
      <c r="DH52" s="284">
        <v>45633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311</v>
      </c>
      <c r="DB53" s="279">
        <v>45633</v>
      </c>
      <c r="DC53" s="280" t="s">
        <v>1041</v>
      </c>
      <c r="DD53" s="281">
        <v>0</v>
      </c>
      <c r="DE53" s="281">
        <v>45360</v>
      </c>
      <c r="DF53" s="281">
        <v>143312.29999999999</v>
      </c>
      <c r="DG53" s="306" t="s">
        <v>968</v>
      </c>
      <c r="DH53" s="284">
        <v>45633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311</v>
      </c>
      <c r="DB54" s="279">
        <v>45631</v>
      </c>
      <c r="DC54" s="280" t="s">
        <v>1042</v>
      </c>
      <c r="DD54" s="281">
        <v>20000</v>
      </c>
      <c r="DE54" s="281">
        <v>0</v>
      </c>
      <c r="DF54" s="281">
        <v>97952.3</v>
      </c>
      <c r="DG54" s="282" t="s">
        <v>970</v>
      </c>
      <c r="DH54" s="284">
        <v>45631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311</v>
      </c>
      <c r="DB55" s="279">
        <v>45629</v>
      </c>
      <c r="DC55" s="280" t="s">
        <v>1043</v>
      </c>
      <c r="DD55" s="281">
        <v>0</v>
      </c>
      <c r="DE55" s="281">
        <v>27563</v>
      </c>
      <c r="DF55" s="281">
        <v>117952.3</v>
      </c>
      <c r="DG55" s="282" t="s">
        <v>971</v>
      </c>
      <c r="DH55" s="284">
        <v>45629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311</v>
      </c>
      <c r="DB56" s="279">
        <v>45626</v>
      </c>
      <c r="DC56" s="280" t="s">
        <v>1044</v>
      </c>
      <c r="DD56" s="281">
        <v>100000</v>
      </c>
      <c r="DE56" s="281">
        <v>0</v>
      </c>
      <c r="DF56" s="281">
        <v>90389.3</v>
      </c>
      <c r="DG56" s="282" t="s">
        <v>972</v>
      </c>
      <c r="DH56" s="284">
        <v>45626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311</v>
      </c>
      <c r="DB57" s="279">
        <v>45625</v>
      </c>
      <c r="DC57" s="280" t="s">
        <v>1045</v>
      </c>
      <c r="DD57" s="281">
        <v>10000</v>
      </c>
      <c r="DE57" s="281">
        <v>0</v>
      </c>
      <c r="DF57" s="281">
        <v>190389.3</v>
      </c>
      <c r="DG57" s="282" t="s">
        <v>944</v>
      </c>
      <c r="DH57" s="284">
        <v>45625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311</v>
      </c>
      <c r="DB58" s="279">
        <v>45625</v>
      </c>
      <c r="DC58" s="280" t="s">
        <v>1046</v>
      </c>
      <c r="DD58" s="281">
        <v>77420</v>
      </c>
      <c r="DE58" s="281">
        <v>0</v>
      </c>
      <c r="DF58" s="281">
        <v>200389.3</v>
      </c>
      <c r="DG58" s="282" t="s">
        <v>973</v>
      </c>
      <c r="DH58" s="284">
        <v>45625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311</v>
      </c>
      <c r="DB59" s="279">
        <v>45624</v>
      </c>
      <c r="DC59" s="280" t="s">
        <v>1047</v>
      </c>
      <c r="DD59" s="281">
        <v>0</v>
      </c>
      <c r="DE59" s="281">
        <v>37485</v>
      </c>
      <c r="DF59" s="281">
        <v>277809.3</v>
      </c>
      <c r="DG59" s="282" t="s">
        <v>974</v>
      </c>
      <c r="DH59" s="284">
        <v>45624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311</v>
      </c>
      <c r="DB60" s="279">
        <v>45624</v>
      </c>
      <c r="DC60" s="280" t="s">
        <v>1048</v>
      </c>
      <c r="DD60" s="281">
        <v>0</v>
      </c>
      <c r="DE60" s="281">
        <v>45560</v>
      </c>
      <c r="DF60" s="281">
        <v>240324.3</v>
      </c>
      <c r="DG60" s="282" t="s">
        <v>975</v>
      </c>
      <c r="DH60" s="284">
        <v>45624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311</v>
      </c>
      <c r="DB61" s="279">
        <v>45623</v>
      </c>
      <c r="DC61" s="280" t="s">
        <v>1049</v>
      </c>
      <c r="DD61" s="281">
        <v>0</v>
      </c>
      <c r="DE61" s="281">
        <v>12700</v>
      </c>
      <c r="DF61" s="281">
        <v>194764.3</v>
      </c>
      <c r="DG61" s="282" t="s">
        <v>976</v>
      </c>
      <c r="DH61" s="284">
        <v>45623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311</v>
      </c>
      <c r="DB62" s="279">
        <v>45622</v>
      </c>
      <c r="DC62" s="280" t="s">
        <v>1050</v>
      </c>
      <c r="DD62" s="281">
        <v>0</v>
      </c>
      <c r="DE62" s="281">
        <v>51850</v>
      </c>
      <c r="DF62" s="281">
        <v>182064.3</v>
      </c>
      <c r="DG62" s="306" t="s">
        <v>936</v>
      </c>
      <c r="DH62" s="284">
        <v>45622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311</v>
      </c>
      <c r="DB63" s="279">
        <v>45617</v>
      </c>
      <c r="DC63" s="280" t="s">
        <v>1051</v>
      </c>
      <c r="DD63" s="281">
        <v>354</v>
      </c>
      <c r="DE63" s="281">
        <v>0</v>
      </c>
      <c r="DF63" s="281">
        <v>130214.3</v>
      </c>
      <c r="DG63" s="282" t="s">
        <v>964</v>
      </c>
      <c r="DH63" s="284">
        <v>45617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311</v>
      </c>
      <c r="DB64" s="279">
        <v>45615</v>
      </c>
      <c r="DC64" s="280" t="s">
        <v>1052</v>
      </c>
      <c r="DD64" s="281">
        <v>49000</v>
      </c>
      <c r="DE64" s="281">
        <v>0</v>
      </c>
      <c r="DF64" s="281">
        <v>130568.3</v>
      </c>
      <c r="DG64" s="282" t="s">
        <v>944</v>
      </c>
      <c r="DH64" s="284">
        <v>45615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311</v>
      </c>
      <c r="DB65" s="279">
        <v>45610</v>
      </c>
      <c r="DC65" s="280" t="s">
        <v>1053</v>
      </c>
      <c r="DD65" s="281">
        <v>20000</v>
      </c>
      <c r="DE65" s="281">
        <v>0</v>
      </c>
      <c r="DF65" s="281">
        <v>179568.3</v>
      </c>
      <c r="DG65" s="282" t="s">
        <v>944</v>
      </c>
      <c r="DH65" s="284">
        <v>45610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311</v>
      </c>
      <c r="DB66" s="279">
        <v>45609</v>
      </c>
      <c r="DC66" s="280" t="s">
        <v>1054</v>
      </c>
      <c r="DD66" s="281">
        <v>0</v>
      </c>
      <c r="DE66" s="281">
        <v>50000</v>
      </c>
      <c r="DF66" s="281">
        <v>199568.3</v>
      </c>
      <c r="DG66" s="282" t="s">
        <v>977</v>
      </c>
      <c r="DH66" s="284">
        <v>45609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311</v>
      </c>
      <c r="DB67" s="279">
        <v>45608</v>
      </c>
      <c r="DC67" s="280" t="s">
        <v>1055</v>
      </c>
      <c r="DD67" s="281">
        <v>49000</v>
      </c>
      <c r="DE67" s="281">
        <v>0</v>
      </c>
      <c r="DF67" s="281">
        <v>149568.29999999999</v>
      </c>
      <c r="DG67" s="282" t="s">
        <v>944</v>
      </c>
      <c r="DH67" s="284">
        <v>45608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311</v>
      </c>
      <c r="DB68" s="279">
        <v>45608</v>
      </c>
      <c r="DC68" s="280" t="s">
        <v>1056</v>
      </c>
      <c r="DD68" s="281">
        <v>0</v>
      </c>
      <c r="DE68" s="281">
        <v>41895</v>
      </c>
      <c r="DF68" s="281">
        <v>198568.3</v>
      </c>
      <c r="DG68" s="306" t="s">
        <v>957</v>
      </c>
      <c r="DH68" s="284">
        <v>45608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311</v>
      </c>
      <c r="DB69" s="279">
        <v>45606</v>
      </c>
      <c r="DC69" s="280" t="s">
        <v>1057</v>
      </c>
      <c r="DD69" s="281">
        <v>30317</v>
      </c>
      <c r="DE69" s="281">
        <v>0</v>
      </c>
      <c r="DF69" s="281">
        <v>156673.29999999999</v>
      </c>
      <c r="DG69" s="282" t="s">
        <v>952</v>
      </c>
      <c r="DH69" s="284">
        <v>45606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311</v>
      </c>
      <c r="DB70" s="279">
        <v>45595</v>
      </c>
      <c r="DC70" s="280" t="s">
        <v>1058</v>
      </c>
      <c r="DD70" s="281">
        <v>0</v>
      </c>
      <c r="DE70" s="281">
        <v>50000</v>
      </c>
      <c r="DF70" s="281">
        <v>186990.3</v>
      </c>
      <c r="DG70" s="282" t="s">
        <v>978</v>
      </c>
      <c r="DH70" s="284">
        <v>45595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311</v>
      </c>
      <c r="DB71" s="279">
        <v>45595</v>
      </c>
      <c r="DC71" s="280" t="s">
        <v>1059</v>
      </c>
      <c r="DD71" s="281">
        <v>49000</v>
      </c>
      <c r="DE71" s="281">
        <v>0</v>
      </c>
      <c r="DF71" s="281">
        <v>136990.29999999999</v>
      </c>
      <c r="DG71" s="282" t="s">
        <v>944</v>
      </c>
      <c r="DH71" s="284">
        <v>45595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311</v>
      </c>
      <c r="DB72" s="279">
        <v>45594</v>
      </c>
      <c r="DC72" s="280" t="s">
        <v>1060</v>
      </c>
      <c r="DD72" s="281">
        <v>0</v>
      </c>
      <c r="DE72" s="281">
        <v>35000</v>
      </c>
      <c r="DF72" s="281">
        <v>185990.3</v>
      </c>
      <c r="DG72" s="282" t="s">
        <v>979</v>
      </c>
      <c r="DH72" s="284">
        <v>45594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311</v>
      </c>
      <c r="DB73" s="279">
        <v>45593</v>
      </c>
      <c r="DC73" s="280" t="s">
        <v>1061</v>
      </c>
      <c r="DD73" s="281">
        <v>0</v>
      </c>
      <c r="DE73" s="281">
        <v>30000</v>
      </c>
      <c r="DF73" s="281">
        <v>150990.29999999999</v>
      </c>
      <c r="DG73" s="282" t="s">
        <v>980</v>
      </c>
      <c r="DH73" s="284">
        <v>45593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311</v>
      </c>
      <c r="DB74" s="279">
        <v>45593</v>
      </c>
      <c r="DC74" s="280" t="s">
        <v>1062</v>
      </c>
      <c r="DD74" s="281">
        <v>0</v>
      </c>
      <c r="DE74" s="281">
        <v>12770</v>
      </c>
      <c r="DF74" s="281">
        <v>120990.3</v>
      </c>
      <c r="DG74" s="282" t="s">
        <v>981</v>
      </c>
      <c r="DH74" s="284">
        <v>45593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311</v>
      </c>
      <c r="DB75" s="279">
        <v>45593</v>
      </c>
      <c r="DC75" s="280" t="s">
        <v>1063</v>
      </c>
      <c r="DD75" s="281">
        <v>200000</v>
      </c>
      <c r="DE75" s="281">
        <v>0</v>
      </c>
      <c r="DF75" s="281">
        <v>108220.3</v>
      </c>
      <c r="DG75" s="282" t="s">
        <v>944</v>
      </c>
      <c r="DH75" s="284">
        <v>45593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311</v>
      </c>
      <c r="DB76" s="279">
        <v>45591</v>
      </c>
      <c r="DC76" s="280" t="s">
        <v>1064</v>
      </c>
      <c r="DD76" s="281">
        <v>0</v>
      </c>
      <c r="DE76" s="281">
        <v>50000</v>
      </c>
      <c r="DF76" s="281">
        <v>308220.3</v>
      </c>
      <c r="DG76" s="282" t="s">
        <v>982</v>
      </c>
      <c r="DH76" s="284">
        <v>45591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311</v>
      </c>
      <c r="DB77" s="279">
        <v>45590</v>
      </c>
      <c r="DC77" s="280" t="s">
        <v>1065</v>
      </c>
      <c r="DD77" s="281">
        <v>0</v>
      </c>
      <c r="DE77" s="281">
        <v>58354</v>
      </c>
      <c r="DF77" s="281">
        <v>258220.3</v>
      </c>
      <c r="DG77" s="306" t="s">
        <v>969</v>
      </c>
      <c r="DH77" s="284">
        <v>45590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311</v>
      </c>
      <c r="DB78" s="279">
        <v>45590</v>
      </c>
      <c r="DC78" s="280" t="s">
        <v>1066</v>
      </c>
      <c r="DD78" s="281">
        <v>0</v>
      </c>
      <c r="DE78" s="281">
        <v>36225</v>
      </c>
      <c r="DF78" s="281">
        <v>199866.3</v>
      </c>
      <c r="DG78" s="306" t="s">
        <v>969</v>
      </c>
      <c r="DH78" s="284">
        <v>45590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311</v>
      </c>
      <c r="DB79" s="279">
        <v>45589</v>
      </c>
      <c r="DC79" s="280" t="s">
        <v>1067</v>
      </c>
      <c r="DD79" s="281">
        <v>0</v>
      </c>
      <c r="DE79" s="281">
        <v>50000</v>
      </c>
      <c r="DF79" s="281">
        <v>163641.29999999999</v>
      </c>
      <c r="DG79" s="306" t="s">
        <v>936</v>
      </c>
      <c r="DH79" s="284">
        <v>45589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311</v>
      </c>
      <c r="DB80" s="279">
        <v>45587</v>
      </c>
      <c r="DC80" s="280" t="s">
        <v>1068</v>
      </c>
      <c r="DD80" s="281">
        <v>55646</v>
      </c>
      <c r="DE80" s="281">
        <v>0</v>
      </c>
      <c r="DF80" s="281">
        <v>113641.3</v>
      </c>
      <c r="DG80" s="282" t="s">
        <v>983</v>
      </c>
      <c r="DH80" s="284">
        <v>45587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311</v>
      </c>
      <c r="DB81" s="279">
        <v>45587</v>
      </c>
      <c r="DC81" s="280" t="s">
        <v>1069</v>
      </c>
      <c r="DD81" s="281">
        <v>200000</v>
      </c>
      <c r="DE81" s="281">
        <v>0</v>
      </c>
      <c r="DF81" s="281">
        <v>169287.3</v>
      </c>
      <c r="DG81" s="282" t="s">
        <v>984</v>
      </c>
      <c r="DH81" s="284">
        <v>45587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311</v>
      </c>
      <c r="DB82" s="279">
        <v>45586</v>
      </c>
      <c r="DC82" s="280" t="s">
        <v>1070</v>
      </c>
      <c r="DD82" s="281">
        <v>23.6</v>
      </c>
      <c r="DE82" s="281">
        <v>0</v>
      </c>
      <c r="DF82" s="281">
        <v>369287.3</v>
      </c>
      <c r="DG82" s="282" t="s">
        <v>985</v>
      </c>
      <c r="DH82" s="284">
        <v>45586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311</v>
      </c>
      <c r="DB83" s="279">
        <v>45584</v>
      </c>
      <c r="DC83" s="280" t="s">
        <v>1071</v>
      </c>
      <c r="DD83" s="281">
        <v>0</v>
      </c>
      <c r="DE83" s="281">
        <v>50000</v>
      </c>
      <c r="DF83" s="281">
        <v>369310.9</v>
      </c>
      <c r="DG83" s="282" t="s">
        <v>986</v>
      </c>
      <c r="DH83" s="284">
        <v>45584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311</v>
      </c>
      <c r="DB84" s="279">
        <v>45584</v>
      </c>
      <c r="DC84" s="280" t="s">
        <v>1072</v>
      </c>
      <c r="DD84" s="281">
        <v>72</v>
      </c>
      <c r="DE84" s="281">
        <v>0</v>
      </c>
      <c r="DF84" s="281">
        <v>319310.90000000002</v>
      </c>
      <c r="DG84" s="282" t="s">
        <v>731</v>
      </c>
      <c r="DH84" s="284">
        <v>45584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311</v>
      </c>
      <c r="DB85" s="279">
        <v>45584</v>
      </c>
      <c r="DC85" s="280" t="s">
        <v>1073</v>
      </c>
      <c r="DD85" s="281">
        <v>400</v>
      </c>
      <c r="DE85" s="281">
        <v>0</v>
      </c>
      <c r="DF85" s="281">
        <v>319382.90000000002</v>
      </c>
      <c r="DG85" s="282" t="s">
        <v>987</v>
      </c>
      <c r="DH85" s="284">
        <v>45584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311</v>
      </c>
      <c r="DB86" s="279">
        <v>45584</v>
      </c>
      <c r="DC86" s="280" t="s">
        <v>1074</v>
      </c>
      <c r="DD86" s="281">
        <v>40000</v>
      </c>
      <c r="DE86" s="281">
        <v>0</v>
      </c>
      <c r="DF86" s="281">
        <v>319782.90000000002</v>
      </c>
      <c r="DG86" s="282" t="s">
        <v>944</v>
      </c>
      <c r="DH86" s="284">
        <v>45584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311</v>
      </c>
      <c r="DB87" s="279">
        <v>45584</v>
      </c>
      <c r="DC87" s="280" t="s">
        <v>1075</v>
      </c>
      <c r="DD87" s="281">
        <v>4788</v>
      </c>
      <c r="DE87" s="281">
        <v>0</v>
      </c>
      <c r="DF87" s="281">
        <v>359782.9</v>
      </c>
      <c r="DG87" s="282" t="s">
        <v>988</v>
      </c>
      <c r="DH87" s="284">
        <v>45584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311</v>
      </c>
      <c r="DB88" s="279">
        <v>45582</v>
      </c>
      <c r="DC88" s="280" t="s">
        <v>1076</v>
      </c>
      <c r="DD88" s="281">
        <v>0</v>
      </c>
      <c r="DE88" s="281">
        <v>30000</v>
      </c>
      <c r="DF88" s="281">
        <v>364570.9</v>
      </c>
      <c r="DG88" s="282" t="s">
        <v>989</v>
      </c>
      <c r="DH88" s="284">
        <v>45582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311</v>
      </c>
      <c r="DB89" s="279">
        <v>45582</v>
      </c>
      <c r="DC89" s="280" t="s">
        <v>1077</v>
      </c>
      <c r="DD89" s="281">
        <v>49000</v>
      </c>
      <c r="DE89" s="281">
        <v>0</v>
      </c>
      <c r="DF89" s="281">
        <v>334570.90000000002</v>
      </c>
      <c r="DG89" s="282" t="s">
        <v>944</v>
      </c>
      <c r="DH89" s="284">
        <v>45582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311</v>
      </c>
      <c r="DB90" s="279">
        <v>45582</v>
      </c>
      <c r="DC90" s="280" t="s">
        <v>1078</v>
      </c>
      <c r="DD90" s="281">
        <v>10800</v>
      </c>
      <c r="DE90" s="281">
        <v>0</v>
      </c>
      <c r="DF90" s="281">
        <v>383570.9</v>
      </c>
      <c r="DG90" s="282" t="s">
        <v>990</v>
      </c>
      <c r="DH90" s="284">
        <v>45582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311</v>
      </c>
      <c r="DB91" s="279">
        <v>45581</v>
      </c>
      <c r="DC91" s="280" t="s">
        <v>1079</v>
      </c>
      <c r="DD91" s="281">
        <v>0</v>
      </c>
      <c r="DE91" s="281">
        <v>150000</v>
      </c>
      <c r="DF91" s="281">
        <v>394370.9</v>
      </c>
      <c r="DG91" s="306" t="s">
        <v>991</v>
      </c>
      <c r="DH91" s="284">
        <v>45581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311</v>
      </c>
      <c r="DB92" s="279">
        <v>45581</v>
      </c>
      <c r="DC92" s="280" t="s">
        <v>1080</v>
      </c>
      <c r="DD92" s="281">
        <v>100000</v>
      </c>
      <c r="DE92" s="281">
        <v>0</v>
      </c>
      <c r="DF92" s="281">
        <v>244370.9</v>
      </c>
      <c r="DG92" s="282" t="s">
        <v>992</v>
      </c>
      <c r="DH92" s="284">
        <v>45581</v>
      </c>
      <c r="DI92" s="284" t="s">
        <v>767</v>
      </c>
      <c r="DJ92" s="285" t="s">
        <v>758</v>
      </c>
      <c r="DK92" s="286">
        <v>88</v>
      </c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451" priority="11" operator="equal">
      <formula>#N/A</formula>
    </cfRule>
  </conditionalFormatting>
  <conditionalFormatting sqref="DG2">
    <cfRule type="cellIs" dxfId="450" priority="10" operator="equal">
      <formula>#N/A</formula>
    </cfRule>
  </conditionalFormatting>
  <conditionalFormatting sqref="DH2:DI2">
    <cfRule type="cellIs" dxfId="449" priority="9" operator="equal">
      <formula>#N/A</formula>
    </cfRule>
  </conditionalFormatting>
  <conditionalFormatting sqref="I1:I2">
    <cfRule type="cellIs" dxfId="448" priority="8" operator="equal">
      <formula>#N/A</formula>
    </cfRule>
  </conditionalFormatting>
  <conditionalFormatting sqref="H1">
    <cfRule type="cellIs" dxfId="447" priority="7" operator="equal">
      <formula>#N/A</formula>
    </cfRule>
  </conditionalFormatting>
  <conditionalFormatting sqref="E1">
    <cfRule type="cellIs" dxfId="446" priority="6" operator="equal">
      <formula>#N/A</formula>
    </cfRule>
  </conditionalFormatting>
  <conditionalFormatting sqref="I1">
    <cfRule type="containsText" dxfId="445" priority="4" operator="containsText" text="All Data Import Successfully">
      <formula>NOT(ISERROR(SEARCH("All Data Import Successfully",I1)))</formula>
    </cfRule>
    <cfRule type="containsText" dxfId="444" priority="5" operator="containsText" text="Difference Entry">
      <formula>NOT(ISERROR(SEARCH("Difference Entry",I1)))</formula>
    </cfRule>
  </conditionalFormatting>
  <conditionalFormatting sqref="E2:G2">
    <cfRule type="cellIs" dxfId="443" priority="3" operator="equal">
      <formula>#N/A</formula>
    </cfRule>
  </conditionalFormatting>
  <conditionalFormatting sqref="H2">
    <cfRule type="cellIs" dxfId="442" priority="2" operator="equal">
      <formula>#N/A</formula>
    </cfRule>
  </conditionalFormatting>
  <conditionalFormatting sqref="I2">
    <cfRule type="cellIs" dxfId="44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439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440</v>
      </c>
      <c r="B4" s="303" t="s">
        <v>18</v>
      </c>
      <c r="C4" s="303" t="s">
        <v>441</v>
      </c>
      <c r="D4" s="304" t="s">
        <v>442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40" priority="11" operator="equal">
      <formula>#N/A</formula>
    </cfRule>
  </conditionalFormatting>
  <conditionalFormatting sqref="DG2">
    <cfRule type="cellIs" dxfId="439" priority="10" operator="equal">
      <formula>#N/A</formula>
    </cfRule>
  </conditionalFormatting>
  <conditionalFormatting sqref="DH2:DI2">
    <cfRule type="cellIs" dxfId="438" priority="9" operator="equal">
      <formula>#N/A</formula>
    </cfRule>
  </conditionalFormatting>
  <conditionalFormatting sqref="I1:I2">
    <cfRule type="cellIs" dxfId="437" priority="8" operator="equal">
      <formula>#N/A</formula>
    </cfRule>
  </conditionalFormatting>
  <conditionalFormatting sqref="H1">
    <cfRule type="cellIs" dxfId="436" priority="7" operator="equal">
      <formula>#N/A</formula>
    </cfRule>
  </conditionalFormatting>
  <conditionalFormatting sqref="E1">
    <cfRule type="cellIs" dxfId="435" priority="6" operator="equal">
      <formula>#N/A</formula>
    </cfRule>
  </conditionalFormatting>
  <conditionalFormatting sqref="I1">
    <cfRule type="containsText" dxfId="434" priority="4" operator="containsText" text="All Data Import Successfully">
      <formula>NOT(ISERROR(SEARCH("All Data Import Successfully",I1)))</formula>
    </cfRule>
    <cfRule type="containsText" dxfId="433" priority="5" operator="containsText" text="Difference Entry">
      <formula>NOT(ISERROR(SEARCH("Difference Entry",I1)))</formula>
    </cfRule>
  </conditionalFormatting>
  <conditionalFormatting sqref="E2:G2">
    <cfRule type="cellIs" dxfId="432" priority="3" operator="equal">
      <formula>#N/A</formula>
    </cfRule>
  </conditionalFormatting>
  <conditionalFormatting sqref="H2">
    <cfRule type="cellIs" dxfId="431" priority="2" operator="equal">
      <formula>#N/A</formula>
    </cfRule>
  </conditionalFormatting>
  <conditionalFormatting sqref="I2">
    <cfRule type="cellIs" dxfId="43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29" priority="11" operator="equal">
      <formula>#N/A</formula>
    </cfRule>
  </conditionalFormatting>
  <conditionalFormatting sqref="DG2">
    <cfRule type="cellIs" dxfId="428" priority="10" operator="equal">
      <formula>#N/A</formula>
    </cfRule>
  </conditionalFormatting>
  <conditionalFormatting sqref="DH2:DI2">
    <cfRule type="cellIs" dxfId="427" priority="9" operator="equal">
      <formula>#N/A</formula>
    </cfRule>
  </conditionalFormatting>
  <conditionalFormatting sqref="I1:I2">
    <cfRule type="cellIs" dxfId="426" priority="8" operator="equal">
      <formula>#N/A</formula>
    </cfRule>
  </conditionalFormatting>
  <conditionalFormatting sqref="H1">
    <cfRule type="cellIs" dxfId="425" priority="7" operator="equal">
      <formula>#N/A</formula>
    </cfRule>
  </conditionalFormatting>
  <conditionalFormatting sqref="E1">
    <cfRule type="cellIs" dxfId="424" priority="6" operator="equal">
      <formula>#N/A</formula>
    </cfRule>
  </conditionalFormatting>
  <conditionalFormatting sqref="I1">
    <cfRule type="containsText" dxfId="423" priority="4" operator="containsText" text="All Data Import Successfully">
      <formula>NOT(ISERROR(SEARCH("All Data Import Successfully",I1)))</formula>
    </cfRule>
    <cfRule type="containsText" dxfId="422" priority="5" operator="containsText" text="Difference Entry">
      <formula>NOT(ISERROR(SEARCH("Difference Entry",I1)))</formula>
    </cfRule>
  </conditionalFormatting>
  <conditionalFormatting sqref="E2:G2">
    <cfRule type="cellIs" dxfId="421" priority="3" operator="equal">
      <formula>#N/A</formula>
    </cfRule>
  </conditionalFormatting>
  <conditionalFormatting sqref="H2">
    <cfRule type="cellIs" dxfId="420" priority="2" operator="equal">
      <formula>#N/A</formula>
    </cfRule>
  </conditionalFormatting>
  <conditionalFormatting sqref="I2">
    <cfRule type="cellIs" dxfId="41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2D79-76D2-4118-B849-720796A6EF6A}">
  <sheetPr codeName="Sheet6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 xml:space="preserve">Bank of India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1094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Bank of India </v>
      </c>
      <c r="DB3" s="24">
        <f>+VALUE(B3)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>
        <f>+VALUE(B3)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11" t="s">
        <v>1088</v>
      </c>
      <c r="B4" s="311" t="s">
        <v>1089</v>
      </c>
      <c r="C4" s="311"/>
      <c r="D4" s="311" t="s">
        <v>1090</v>
      </c>
      <c r="E4" s="311"/>
      <c r="F4" s="311" t="s">
        <v>1091</v>
      </c>
      <c r="G4" s="312" t="s">
        <v>1092</v>
      </c>
      <c r="H4" s="312" t="s">
        <v>1093</v>
      </c>
      <c r="DA4" s="38" t="str">
        <f>+DA3</f>
        <v xml:space="preserve">Bank of India </v>
      </c>
    </row>
  </sheetData>
  <sheetProtection algorithmName="SHA-512" hashValue="Kkbd1dEFKtBPaKAnKOzsWWPmYSWHzwlHUNW8ZgkVAMUDp/4DuoYC8SHHUoFk+kkp/2IkuqVdvqg17jFtPp6rBw==" saltValue="ec8Q4j+YLBAaadYuz/xE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418" priority="10" operator="equal">
      <formula>#N/A</formula>
    </cfRule>
  </conditionalFormatting>
  <conditionalFormatting sqref="H1">
    <cfRule type="cellIs" dxfId="417" priority="9" operator="equal">
      <formula>#N/A</formula>
    </cfRule>
  </conditionalFormatting>
  <conditionalFormatting sqref="E1">
    <cfRule type="cellIs" dxfId="416" priority="8" operator="equal">
      <formula>#N/A</formula>
    </cfRule>
  </conditionalFormatting>
  <conditionalFormatting sqref="I1">
    <cfRule type="containsText" dxfId="415" priority="6" operator="containsText" text="All Data Import Successfully">
      <formula>NOT(ISERROR(SEARCH("All Data Import Successfully",I1)))</formula>
    </cfRule>
    <cfRule type="containsText" dxfId="414" priority="7" operator="containsText" text="Difference Entry">
      <formula>NOT(ISERROR(SEARCH("Difference Entry",I1)))</formula>
    </cfRule>
  </conditionalFormatting>
  <conditionalFormatting sqref="DG2">
    <cfRule type="cellIs" dxfId="413" priority="5" operator="equal">
      <formula>#N/A</formula>
    </cfRule>
  </conditionalFormatting>
  <conditionalFormatting sqref="DH2:DI2">
    <cfRule type="cellIs" dxfId="412" priority="4" operator="equal">
      <formula>#N/A</formula>
    </cfRule>
  </conditionalFormatting>
  <conditionalFormatting sqref="E2:G2">
    <cfRule type="cellIs" dxfId="411" priority="3" operator="equal">
      <formula>#N/A</formula>
    </cfRule>
  </conditionalFormatting>
  <conditionalFormatting sqref="H2">
    <cfRule type="cellIs" dxfId="410" priority="2" operator="equal">
      <formula>#N/A</formula>
    </cfRule>
  </conditionalFormatting>
  <conditionalFormatting sqref="I2">
    <cfRule type="cellIs" dxfId="40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C5C-CAA9-474D-B4AB-F571C4D11743}">
  <sheetPr codeName="Sheet64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Sutex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Sutex Co-op. Bank A/c.</v>
      </c>
      <c r="DB3" s="24" t="str">
        <f>SUBSTITUTE(B3,"'","")</f>
        <v/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 t="str">
        <f>SUBSTITUTE(B3,"'","")</f>
        <v/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7" t="s">
        <v>128</v>
      </c>
      <c r="B4" s="307" t="s">
        <v>129</v>
      </c>
      <c r="C4" s="307" t="s">
        <v>130</v>
      </c>
      <c r="D4" s="307"/>
      <c r="E4" s="307" t="s">
        <v>131</v>
      </c>
      <c r="F4" s="307" t="s">
        <v>132</v>
      </c>
      <c r="G4" s="308" t="s">
        <v>133</v>
      </c>
      <c r="H4" s="308" t="s">
        <v>134</v>
      </c>
      <c r="DA4" s="38" t="str">
        <f>+DA3</f>
        <v>The Sutex Co-op. Bank A/c.</v>
      </c>
    </row>
  </sheetData>
  <sheetProtection algorithmName="SHA-512" hashValue="Xs/LuLA0N7bVfM1oadK+2Ca8xYxHciE/ctfefGI3CUSCrd9yZjTP9rLzQcfk7p56BAZ6WvkoA76TLphd0dhCsQ==" saltValue="amUOJlbjRunP8CYkvRqtl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408" priority="10" operator="equal">
      <formula>#N/A</formula>
    </cfRule>
  </conditionalFormatting>
  <conditionalFormatting sqref="H1">
    <cfRule type="cellIs" dxfId="407" priority="9" operator="equal">
      <formula>#N/A</formula>
    </cfRule>
  </conditionalFormatting>
  <conditionalFormatting sqref="E1">
    <cfRule type="cellIs" dxfId="406" priority="8" operator="equal">
      <formula>#N/A</formula>
    </cfRule>
  </conditionalFormatting>
  <conditionalFormatting sqref="I1">
    <cfRule type="containsText" dxfId="405" priority="6" operator="containsText" text="All Data Import Successfully">
      <formula>NOT(ISERROR(SEARCH("All Data Import Successfully",I1)))</formula>
    </cfRule>
    <cfRule type="containsText" dxfId="404" priority="7" operator="containsText" text="Difference Entry">
      <formula>NOT(ISERROR(SEARCH("Difference Entry",I1)))</formula>
    </cfRule>
  </conditionalFormatting>
  <conditionalFormatting sqref="DG2">
    <cfRule type="cellIs" dxfId="403" priority="5" operator="equal">
      <formula>#N/A</formula>
    </cfRule>
  </conditionalFormatting>
  <conditionalFormatting sqref="DH2:DI2">
    <cfRule type="cellIs" dxfId="402" priority="4" operator="equal">
      <formula>#N/A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98" priority="10" operator="equal">
      <formula>#N/A</formula>
    </cfRule>
  </conditionalFormatting>
  <conditionalFormatting sqref="H1">
    <cfRule type="cellIs" dxfId="397" priority="9" operator="equal">
      <formula>#N/A</formula>
    </cfRule>
  </conditionalFormatting>
  <conditionalFormatting sqref="E1">
    <cfRule type="cellIs" dxfId="396" priority="8" operator="equal">
      <formula>#N/A</formula>
    </cfRule>
  </conditionalFormatting>
  <conditionalFormatting sqref="I1">
    <cfRule type="containsText" dxfId="395" priority="6" operator="containsText" text="All Data Import Successfully">
      <formula>NOT(ISERROR(SEARCH("All Data Import Successfully",I1)))</formula>
    </cfRule>
    <cfRule type="containsText" dxfId="394" priority="7" operator="containsText" text="Difference Entry">
      <formula>NOT(ISERROR(SEARCH("Difference Entry",I1)))</formula>
    </cfRule>
  </conditionalFormatting>
  <conditionalFormatting sqref="DG2">
    <cfRule type="cellIs" dxfId="393" priority="5" operator="equal">
      <formula>#N/A</formula>
    </cfRule>
  </conditionalFormatting>
  <conditionalFormatting sqref="DH2:DI2">
    <cfRule type="cellIs" dxfId="392" priority="4" operator="equal">
      <formula>#N/A</formula>
    </cfRule>
  </conditionalFormatting>
  <conditionalFormatting sqref="E2:G2">
    <cfRule type="cellIs" dxfId="391" priority="3" operator="equal">
      <formula>#N/A</formula>
    </cfRule>
  </conditionalFormatting>
  <conditionalFormatting sqref="H2">
    <cfRule type="cellIs" dxfId="390" priority="2" operator="equal">
      <formula>#N/A</formula>
    </cfRule>
  </conditionalFormatting>
  <conditionalFormatting sqref="I2">
    <cfRule type="cellIs" dxfId="38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showRuler="0" workbookViewId="0">
      <selection activeCell="C12" sqref="C12"/>
    </sheetView>
  </sheetViews>
  <sheetFormatPr defaultRowHeight="15"/>
  <cols>
    <col min="1" max="10" width="25.7109375" style="6" customWidth="1"/>
    <col min="11" max="104" width="9.140625" style="6"/>
    <col min="105" max="110" width="24.7109375" style="6" customWidth="1"/>
    <col min="111" max="111" width="37.140625" style="6" customWidth="1"/>
    <col min="112" max="113" width="24.7109375" style="6" customWidth="1"/>
    <col min="114" max="114" width="81.42578125" style="6" customWidth="1"/>
    <col min="115" max="115" width="24.7109375" style="6" customWidth="1"/>
    <col min="116" max="116" width="103.28515625" style="6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1083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str">
        <f>+CONCATENATE(TEXT(DB3,"D"),"",TEXT(DB3,"MM"),"/",RIGHT(E3,11),"/",SUBSTITUTE(DF3,",",""))</f>
        <v>001//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302" t="s">
        <v>6</v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+X643EU6aI2MKOMAOLx6VhsH3ig4PilyS15grGuU60tN2bnSoOmO3MSvUYEpzhFgfRV/JfhxOZzbX45NhHAk6g==" saltValue="gZMeKSnLvWQ7fH+q23aSM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88" priority="10" operator="equal">
      <formula>#N/A</formula>
    </cfRule>
  </conditionalFormatting>
  <conditionalFormatting sqref="H1">
    <cfRule type="cellIs" dxfId="387" priority="9" operator="equal">
      <formula>#N/A</formula>
    </cfRule>
  </conditionalFormatting>
  <conditionalFormatting sqref="E1">
    <cfRule type="cellIs" dxfId="386" priority="8" operator="equal">
      <formula>#N/A</formula>
    </cfRule>
  </conditionalFormatting>
  <conditionalFormatting sqref="I1">
    <cfRule type="containsText" dxfId="385" priority="6" operator="containsText" text="All Data Import Successfully">
      <formula>NOT(ISERROR(SEARCH("All Data Import Successfully",I1)))</formula>
    </cfRule>
    <cfRule type="containsText" dxfId="384" priority="7" operator="containsText" text="Difference Entry">
      <formula>NOT(ISERROR(SEARCH("Difference Entry",I1)))</formula>
    </cfRule>
  </conditionalFormatting>
  <conditionalFormatting sqref="DG2">
    <cfRule type="cellIs" dxfId="383" priority="5" operator="equal">
      <formula>#N/A</formula>
    </cfRule>
  </conditionalFormatting>
  <conditionalFormatting sqref="DH2:DI2">
    <cfRule type="cellIs" dxfId="382" priority="4" operator="equal">
      <formula>#N/A</formula>
    </cfRule>
  </conditionalFormatting>
  <conditionalFormatting sqref="E2:G2">
    <cfRule type="cellIs" dxfId="381" priority="3" operator="equal">
      <formula>#N/A</formula>
    </cfRule>
  </conditionalFormatting>
  <conditionalFormatting sqref="H2">
    <cfRule type="cellIs" dxfId="380" priority="2" operator="equal">
      <formula>#N/A</formula>
    </cfRule>
  </conditionalFormatting>
  <conditionalFormatting sqref="I2">
    <cfRule type="cellIs" dxfId="3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78" priority="10" operator="equal">
      <formula>#N/A</formula>
    </cfRule>
  </conditionalFormatting>
  <conditionalFormatting sqref="H1">
    <cfRule type="cellIs" dxfId="377" priority="9" operator="equal">
      <formula>#N/A</formula>
    </cfRule>
  </conditionalFormatting>
  <conditionalFormatting sqref="E1">
    <cfRule type="cellIs" dxfId="376" priority="8" operator="equal">
      <formula>#N/A</formula>
    </cfRule>
  </conditionalFormatting>
  <conditionalFormatting sqref="I1">
    <cfRule type="containsText" dxfId="375" priority="6" operator="containsText" text="All Data Import Successfully">
      <formula>NOT(ISERROR(SEARCH("All Data Import Successfully",I1)))</formula>
    </cfRule>
    <cfRule type="containsText" dxfId="374" priority="7" operator="containsText" text="Difference Entry">
      <formula>NOT(ISERROR(SEARCH("Difference Entry",I1)))</formula>
    </cfRule>
  </conditionalFormatting>
  <conditionalFormatting sqref="DG2">
    <cfRule type="cellIs" dxfId="373" priority="5" operator="equal">
      <formula>#N/A</formula>
    </cfRule>
  </conditionalFormatting>
  <conditionalFormatting sqref="DH2:DI2">
    <cfRule type="cellIs" dxfId="372" priority="4" operator="equal">
      <formula>#N/A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46" priority="22" operator="equal">
      <formula>#N/A</formula>
    </cfRule>
  </conditionalFormatting>
  <conditionalFormatting sqref="DH2:DI2">
    <cfRule type="cellIs" dxfId="345" priority="21" operator="equal">
      <formula>#N/A</formula>
    </cfRule>
  </conditionalFormatting>
  <conditionalFormatting sqref="E3">
    <cfRule type="cellIs" dxfId="344" priority="17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1" operator="equal">
      <formula>#N/A</formula>
    </cfRule>
  </conditionalFormatting>
  <conditionalFormatting sqref="DG2">
    <cfRule type="cellIs" dxfId="323" priority="10" operator="equal">
      <formula>#N/A</formula>
    </cfRule>
  </conditionalFormatting>
  <conditionalFormatting sqref="DH2:DI2">
    <cfRule type="cellIs" dxfId="322" priority="9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D9" sqref="D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zV1GYBdFTOqD+vmPVpLE42QH4GhIrxhhLiasDrQqauM1rzGw4gg3a1EWJyc7yoMnS1QiV4w8+tzDlWjZlcNr2w==" saltValue="eke1A5fxjX7bs4CHNK8s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/LEsNG1mQcxjtzFe8700xcyeuPzZUQm6ZSEZ4A5wbIy9ccqVQ4V2uBtZNsK3XZ1NI0At5k/3X4Cn0AWIepZDiA==" saltValue="gbTHe3OTnLaX0QUNMkCI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91" priority="10" operator="equal">
      <formula>#N/A</formula>
    </cfRule>
  </conditionalFormatting>
  <conditionalFormatting sqref="H1">
    <cfRule type="cellIs" dxfId="290" priority="9" operator="equal">
      <formula>#N/A</formula>
    </cfRule>
  </conditionalFormatting>
  <conditionalFormatting sqref="E1">
    <cfRule type="cellIs" dxfId="289" priority="8" operator="equal">
      <formula>#N/A</formula>
    </cfRule>
  </conditionalFormatting>
  <conditionalFormatting sqref="I1">
    <cfRule type="containsText" dxfId="288" priority="6" operator="containsText" text="All Data Import Successfully">
      <formula>NOT(ISERROR(SEARCH("All Data Import Successfully",I1)))</formula>
    </cfRule>
    <cfRule type="containsText" dxfId="287" priority="7" operator="containsText" text="Difference Entry">
      <formula>NOT(ISERROR(SEARCH("Difference Entry",I1)))</formula>
    </cfRule>
  </conditionalFormatting>
  <conditionalFormatting sqref="DG2">
    <cfRule type="cellIs" dxfId="286" priority="5" operator="equal">
      <formula>#N/A</formula>
    </cfRule>
  </conditionalFormatting>
  <conditionalFormatting sqref="DH2:DI2">
    <cfRule type="cellIs" dxfId="285" priority="4" operator="equal">
      <formula>#N/A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81" priority="18" operator="equal">
      <formula>#N/A</formula>
    </cfRule>
  </conditionalFormatting>
  <conditionalFormatting sqref="DG2">
    <cfRule type="cellIs" dxfId="280" priority="13" operator="equal">
      <formula>#N/A</formula>
    </cfRule>
  </conditionalFormatting>
  <conditionalFormatting sqref="DH2:DI2">
    <cfRule type="cellIs" dxfId="279" priority="12" operator="equal">
      <formula>#N/A</formula>
    </cfRule>
  </conditionalFormatting>
  <conditionalFormatting sqref="I1:I2">
    <cfRule type="cellIs" dxfId="278" priority="8" operator="equal">
      <formula>#N/A</formula>
    </cfRule>
  </conditionalFormatting>
  <conditionalFormatting sqref="H1">
    <cfRule type="cellIs" dxfId="277" priority="7" operator="equal">
      <formula>#N/A</formula>
    </cfRule>
  </conditionalFormatting>
  <conditionalFormatting sqref="E1">
    <cfRule type="cellIs" dxfId="276" priority="6" operator="equal">
      <formula>#N/A</formula>
    </cfRule>
  </conditionalFormatting>
  <conditionalFormatting sqref="I1">
    <cfRule type="containsText" dxfId="275" priority="4" operator="containsText" text="All Data Import Successfully">
      <formula>NOT(ISERROR(SEARCH("All Data Import Successfully",I1)))</formula>
    </cfRule>
    <cfRule type="containsText" dxfId="274" priority="5" operator="containsText" text="Difference Entry">
      <formula>NOT(ISERROR(SEARCH("Difference Entry",I1)))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70" priority="10" operator="equal">
      <formula>#N/A</formula>
    </cfRule>
  </conditionalFormatting>
  <conditionalFormatting sqref="H1">
    <cfRule type="cellIs" dxfId="269" priority="9" operator="equal">
      <formula>#N/A</formula>
    </cfRule>
  </conditionalFormatting>
  <conditionalFormatting sqref="E1">
    <cfRule type="cellIs" dxfId="268" priority="8" operator="equal">
      <formula>#N/A</formula>
    </cfRule>
  </conditionalFormatting>
  <conditionalFormatting sqref="I1">
    <cfRule type="containsText" dxfId="267" priority="6" operator="containsText" text="All Data Import Successfully">
      <formula>NOT(ISERROR(SEARCH("All Data Import Successfully",I1)))</formula>
    </cfRule>
    <cfRule type="containsText" dxfId="266" priority="7" operator="containsText" text="Difference Entry">
      <formula>NOT(ISERROR(SEARCH("Difference Entry",I1)))</formula>
    </cfRule>
  </conditionalFormatting>
  <conditionalFormatting sqref="DG2">
    <cfRule type="cellIs" dxfId="265" priority="5" operator="equal">
      <formula>#N/A</formula>
    </cfRule>
  </conditionalFormatting>
  <conditionalFormatting sqref="DH2:DI2">
    <cfRule type="cellIs" dxfId="264" priority="4" operator="equal">
      <formula>#N/A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52" t="s">
        <v>117</v>
      </c>
      <c r="C4" s="352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53" t="s">
        <v>125</v>
      </c>
      <c r="D4" s="354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27" priority="11" operator="equal">
      <formula>#N/A</formula>
    </cfRule>
  </conditionalFormatting>
  <conditionalFormatting sqref="DH2:DI2">
    <cfRule type="cellIs" dxfId="226" priority="10" operator="equal">
      <formula>#N/A</formula>
    </cfRule>
  </conditionalFormatting>
  <conditionalFormatting sqref="I1:I2">
    <cfRule type="cellIs" dxfId="225" priority="9" operator="equal">
      <formula>#N/A</formula>
    </cfRule>
  </conditionalFormatting>
  <conditionalFormatting sqref="H1">
    <cfRule type="cellIs" dxfId="224" priority="8" operator="equal">
      <formula>#N/A</formula>
    </cfRule>
  </conditionalFormatting>
  <conditionalFormatting sqref="E1">
    <cfRule type="cellIs" dxfId="223" priority="7" operator="equal">
      <formula>#N/A</formula>
    </cfRule>
  </conditionalFormatting>
  <conditionalFormatting sqref="I1">
    <cfRule type="containsText" dxfId="222" priority="5" operator="containsText" text="All Data Import Successfully">
      <formula>NOT(ISERROR(SEARCH("All Data Import Successfully",I1)))</formula>
    </cfRule>
    <cfRule type="containsText" dxfId="221" priority="6" operator="containsText" text="Difference Entry">
      <formula>NOT(ISERROR(SEARCH("Difference Entry",I1)))</formula>
    </cfRule>
  </conditionalFormatting>
  <conditionalFormatting sqref="E2:G2">
    <cfRule type="cellIs" dxfId="220" priority="4" operator="equal">
      <formula>#N/A</formula>
    </cfRule>
  </conditionalFormatting>
  <conditionalFormatting sqref="H2">
    <cfRule type="cellIs" dxfId="219" priority="3" operator="equal">
      <formula>#N/A</formula>
    </cfRule>
  </conditionalFormatting>
  <conditionalFormatting sqref="I2">
    <cfRule type="cellIs" dxfId="218" priority="2" operator="equal">
      <formula>0</formula>
    </cfRule>
  </conditionalFormatting>
  <conditionalFormatting sqref="E3">
    <cfRule type="cellIs" dxfId="21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144</v>
      </c>
      <c r="DB5" s="279" t="s">
        <v>445</v>
      </c>
      <c r="DC5" s="280" t="s">
        <v>760</v>
      </c>
      <c r="DD5" s="281">
        <v>0</v>
      </c>
      <c r="DE5" s="281">
        <v>30451</v>
      </c>
      <c r="DF5" s="281" t="s">
        <v>761</v>
      </c>
      <c r="DG5" s="306" t="s">
        <v>936</v>
      </c>
      <c r="DH5" s="283" t="s">
        <v>445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 t="s">
        <v>449</v>
      </c>
      <c r="G6" s="305" t="s">
        <v>456</v>
      </c>
      <c r="H6" s="305" t="s">
        <v>457</v>
      </c>
      <c r="DA6" s="278" t="s">
        <v>144</v>
      </c>
      <c r="DB6" s="279" t="s">
        <v>452</v>
      </c>
      <c r="DC6" s="280" t="s">
        <v>763</v>
      </c>
      <c r="DD6" s="281">
        <v>0</v>
      </c>
      <c r="DE6" s="281">
        <v>36190</v>
      </c>
      <c r="DF6" s="281" t="s">
        <v>764</v>
      </c>
      <c r="DG6" s="282" t="s">
        <v>937</v>
      </c>
      <c r="DH6" s="283" t="s">
        <v>452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144</v>
      </c>
      <c r="DB7" s="279" t="s">
        <v>452</v>
      </c>
      <c r="DC7" s="280" t="s">
        <v>765</v>
      </c>
      <c r="DD7" s="281">
        <v>10000</v>
      </c>
      <c r="DE7" s="281">
        <v>0</v>
      </c>
      <c r="DF7" s="281" t="s">
        <v>766</v>
      </c>
      <c r="DG7" s="282" t="s">
        <v>938</v>
      </c>
      <c r="DH7" s="283" t="s">
        <v>452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144</v>
      </c>
      <c r="DB8" s="279" t="s">
        <v>452</v>
      </c>
      <c r="DC8" s="280" t="s">
        <v>768</v>
      </c>
      <c r="DD8" s="281">
        <v>1100</v>
      </c>
      <c r="DE8" s="281">
        <v>0</v>
      </c>
      <c r="DF8" s="281" t="s">
        <v>769</v>
      </c>
      <c r="DG8" s="282" t="s">
        <v>938</v>
      </c>
      <c r="DH8" s="283" t="s">
        <v>452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144</v>
      </c>
      <c r="DB9" s="279" t="s">
        <v>452</v>
      </c>
      <c r="DC9" s="280" t="s">
        <v>770</v>
      </c>
      <c r="DD9" s="281">
        <v>0</v>
      </c>
      <c r="DE9" s="281">
        <v>49710</v>
      </c>
      <c r="DF9" s="281" t="s">
        <v>771</v>
      </c>
      <c r="DG9" s="306" t="s">
        <v>939</v>
      </c>
      <c r="DH9" s="283" t="s">
        <v>452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144</v>
      </c>
      <c r="DB10" s="279" t="s">
        <v>468</v>
      </c>
      <c r="DC10" s="280" t="s">
        <v>772</v>
      </c>
      <c r="DD10" s="281">
        <v>20000</v>
      </c>
      <c r="DE10" s="281">
        <v>0</v>
      </c>
      <c r="DF10" s="281" t="s">
        <v>773</v>
      </c>
      <c r="DG10" s="282" t="s">
        <v>940</v>
      </c>
      <c r="DH10" s="283" t="s">
        <v>468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144</v>
      </c>
      <c r="DB11" s="279" t="s">
        <v>473</v>
      </c>
      <c r="DC11" s="280" t="s">
        <v>774</v>
      </c>
      <c r="DD11" s="281">
        <v>20000</v>
      </c>
      <c r="DE11" s="281">
        <v>0</v>
      </c>
      <c r="DF11" s="281" t="s">
        <v>775</v>
      </c>
      <c r="DG11" s="282" t="s">
        <v>938</v>
      </c>
      <c r="DH11" s="283" t="s">
        <v>473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144</v>
      </c>
      <c r="DB12" s="279" t="s">
        <v>475</v>
      </c>
      <c r="DC12" s="280" t="s">
        <v>776</v>
      </c>
      <c r="DD12" s="281">
        <v>0</v>
      </c>
      <c r="DE12" s="281">
        <v>35000</v>
      </c>
      <c r="DF12" s="281" t="s">
        <v>777</v>
      </c>
      <c r="DG12" s="282" t="s">
        <v>941</v>
      </c>
      <c r="DH12" s="283" t="s">
        <v>475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144</v>
      </c>
      <c r="DB13" s="279" t="s">
        <v>479</v>
      </c>
      <c r="DC13" s="280" t="s">
        <v>778</v>
      </c>
      <c r="DD13" s="281">
        <v>23.6</v>
      </c>
      <c r="DE13" s="281">
        <v>0</v>
      </c>
      <c r="DF13" s="281" t="s">
        <v>779</v>
      </c>
      <c r="DG13" s="282" t="s">
        <v>942</v>
      </c>
      <c r="DH13" s="283" t="s">
        <v>479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144</v>
      </c>
      <c r="DB14" s="279" t="s">
        <v>483</v>
      </c>
      <c r="DC14" s="280" t="s">
        <v>780</v>
      </c>
      <c r="DD14" s="281">
        <v>0</v>
      </c>
      <c r="DE14" s="281">
        <v>50000</v>
      </c>
      <c r="DF14" s="281" t="s">
        <v>781</v>
      </c>
      <c r="DG14" s="282" t="s">
        <v>943</v>
      </c>
      <c r="DH14" s="283" t="s">
        <v>483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144</v>
      </c>
      <c r="DB15" s="279" t="s">
        <v>483</v>
      </c>
      <c r="DC15" s="280" t="s">
        <v>782</v>
      </c>
      <c r="DD15" s="281">
        <v>35000</v>
      </c>
      <c r="DE15" s="281">
        <v>0</v>
      </c>
      <c r="DF15" s="281" t="s">
        <v>783</v>
      </c>
      <c r="DG15" s="282" t="s">
        <v>944</v>
      </c>
      <c r="DH15" s="283" t="s">
        <v>483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144</v>
      </c>
      <c r="DB16" s="279" t="s">
        <v>483</v>
      </c>
      <c r="DC16" s="280" t="s">
        <v>784</v>
      </c>
      <c r="DD16" s="281">
        <v>0</v>
      </c>
      <c r="DE16" s="281">
        <v>50000</v>
      </c>
      <c r="DF16" s="281" t="s">
        <v>785</v>
      </c>
      <c r="DG16" s="282" t="s">
        <v>945</v>
      </c>
      <c r="DH16" s="283" t="s">
        <v>483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144</v>
      </c>
      <c r="DB17" s="279" t="s">
        <v>492</v>
      </c>
      <c r="DC17" s="280" t="s">
        <v>786</v>
      </c>
      <c r="DD17" s="281">
        <v>15000</v>
      </c>
      <c r="DE17" s="281">
        <v>0</v>
      </c>
      <c r="DF17" s="281" t="s">
        <v>787</v>
      </c>
      <c r="DG17" s="282" t="s">
        <v>938</v>
      </c>
      <c r="DH17" s="283" t="s">
        <v>492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144</v>
      </c>
      <c r="DB18" s="279" t="s">
        <v>492</v>
      </c>
      <c r="DC18" s="280" t="s">
        <v>788</v>
      </c>
      <c r="DD18" s="281">
        <v>0</v>
      </c>
      <c r="DE18" s="281">
        <v>50000</v>
      </c>
      <c r="DF18" s="281" t="s">
        <v>783</v>
      </c>
      <c r="DG18" s="282" t="s">
        <v>946</v>
      </c>
      <c r="DH18" s="283" t="s">
        <v>492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144</v>
      </c>
      <c r="DB19" s="279" t="s">
        <v>496</v>
      </c>
      <c r="DC19" s="280" t="s">
        <v>789</v>
      </c>
      <c r="DD19" s="281">
        <v>10000</v>
      </c>
      <c r="DE19" s="281">
        <v>0</v>
      </c>
      <c r="DF19" s="281" t="s">
        <v>790</v>
      </c>
      <c r="DG19" s="282" t="s">
        <v>947</v>
      </c>
      <c r="DH19" s="283" t="s">
        <v>496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144</v>
      </c>
      <c r="DB20" s="279" t="s">
        <v>496</v>
      </c>
      <c r="DC20" s="280" t="s">
        <v>791</v>
      </c>
      <c r="DD20" s="281">
        <v>10000</v>
      </c>
      <c r="DE20" s="281">
        <v>0</v>
      </c>
      <c r="DF20" s="281" t="s">
        <v>792</v>
      </c>
      <c r="DG20" s="282" t="s">
        <v>947</v>
      </c>
      <c r="DH20" s="283" t="s">
        <v>496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144</v>
      </c>
      <c r="DB21" s="279" t="s">
        <v>496</v>
      </c>
      <c r="DC21" s="280" t="s">
        <v>793</v>
      </c>
      <c r="DD21" s="281">
        <v>10000</v>
      </c>
      <c r="DE21" s="281">
        <v>0</v>
      </c>
      <c r="DF21" s="281" t="s">
        <v>794</v>
      </c>
      <c r="DG21" s="282" t="s">
        <v>947</v>
      </c>
      <c r="DH21" s="283" t="s">
        <v>496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144</v>
      </c>
      <c r="DB22" s="279" t="s">
        <v>502</v>
      </c>
      <c r="DC22" s="280" t="s">
        <v>795</v>
      </c>
      <c r="DD22" s="281">
        <v>2000</v>
      </c>
      <c r="DE22" s="281">
        <v>0</v>
      </c>
      <c r="DF22" s="281" t="s">
        <v>796</v>
      </c>
      <c r="DG22" s="282" t="s">
        <v>948</v>
      </c>
      <c r="DH22" s="283" t="s">
        <v>502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144</v>
      </c>
      <c r="DB23" s="279" t="s">
        <v>502</v>
      </c>
      <c r="DC23" s="280" t="s">
        <v>797</v>
      </c>
      <c r="DD23" s="281">
        <v>72954</v>
      </c>
      <c r="DE23" s="281">
        <v>0</v>
      </c>
      <c r="DF23" s="281" t="s">
        <v>798</v>
      </c>
      <c r="DG23" s="282" t="s">
        <v>949</v>
      </c>
      <c r="DH23" s="283" t="s">
        <v>502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144</v>
      </c>
      <c r="DB24" s="279" t="s">
        <v>510</v>
      </c>
      <c r="DC24" s="280" t="s">
        <v>799</v>
      </c>
      <c r="DD24" s="281">
        <v>83475</v>
      </c>
      <c r="DE24" s="281">
        <v>0</v>
      </c>
      <c r="DF24" s="281" t="s">
        <v>800</v>
      </c>
      <c r="DG24" s="282" t="s">
        <v>950</v>
      </c>
      <c r="DH24" s="283" t="s">
        <v>510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144</v>
      </c>
      <c r="DB25" s="279" t="s">
        <v>510</v>
      </c>
      <c r="DC25" s="280" t="s">
        <v>801</v>
      </c>
      <c r="DD25" s="281">
        <v>0</v>
      </c>
      <c r="DE25" s="281">
        <v>30000</v>
      </c>
      <c r="DF25" s="281" t="s">
        <v>802</v>
      </c>
      <c r="DG25" s="282" t="s">
        <v>951</v>
      </c>
      <c r="DH25" s="283" t="s">
        <v>510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144</v>
      </c>
      <c r="DB26" s="279" t="s">
        <v>510</v>
      </c>
      <c r="DC26" s="280" t="s">
        <v>803</v>
      </c>
      <c r="DD26" s="281">
        <v>0</v>
      </c>
      <c r="DE26" s="281">
        <v>101850</v>
      </c>
      <c r="DF26" s="281" t="s">
        <v>804</v>
      </c>
      <c r="DG26" s="306" t="s">
        <v>936</v>
      </c>
      <c r="DH26" s="283" t="s">
        <v>510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144</v>
      </c>
      <c r="DB27" s="279" t="s">
        <v>521</v>
      </c>
      <c r="DC27" s="280" t="s">
        <v>805</v>
      </c>
      <c r="DD27" s="281">
        <v>30317</v>
      </c>
      <c r="DE27" s="281">
        <v>0</v>
      </c>
      <c r="DF27" s="281" t="s">
        <v>806</v>
      </c>
      <c r="DG27" s="282" t="s">
        <v>952</v>
      </c>
      <c r="DH27" s="283" t="s">
        <v>521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144</v>
      </c>
      <c r="DB28" s="279" t="s">
        <v>525</v>
      </c>
      <c r="DC28" s="280" t="s">
        <v>807</v>
      </c>
      <c r="DD28" s="281">
        <v>0</v>
      </c>
      <c r="DE28" s="281">
        <v>30000</v>
      </c>
      <c r="DF28" s="281" t="s">
        <v>808</v>
      </c>
      <c r="DG28" s="282" t="s">
        <v>953</v>
      </c>
      <c r="DH28" s="283" t="s">
        <v>525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144</v>
      </c>
      <c r="DB29" s="279" t="s">
        <v>529</v>
      </c>
      <c r="DC29" s="280" t="s">
        <v>809</v>
      </c>
      <c r="DD29" s="281">
        <v>16205</v>
      </c>
      <c r="DE29" s="281">
        <v>0</v>
      </c>
      <c r="DF29" s="281" t="s">
        <v>810</v>
      </c>
      <c r="DG29" s="282" t="s">
        <v>954</v>
      </c>
      <c r="DH29" s="283" t="s">
        <v>529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144</v>
      </c>
      <c r="DB30" s="279" t="s">
        <v>534</v>
      </c>
      <c r="DC30" s="280" t="s">
        <v>811</v>
      </c>
      <c r="DD30" s="281">
        <v>0</v>
      </c>
      <c r="DE30" s="281">
        <v>27641</v>
      </c>
      <c r="DF30" s="281" t="s">
        <v>812</v>
      </c>
      <c r="DG30" s="282" t="s">
        <v>955</v>
      </c>
      <c r="DH30" s="283" t="s">
        <v>534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144</v>
      </c>
      <c r="DB31" s="279" t="s">
        <v>534</v>
      </c>
      <c r="DC31" s="280" t="s">
        <v>813</v>
      </c>
      <c r="DD31" s="281">
        <v>60000</v>
      </c>
      <c r="DE31" s="281">
        <v>0</v>
      </c>
      <c r="DF31" s="281" t="s">
        <v>814</v>
      </c>
      <c r="DG31" s="282" t="s">
        <v>944</v>
      </c>
      <c r="DH31" s="283" t="s">
        <v>534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144</v>
      </c>
      <c r="DB32" s="279" t="s">
        <v>542</v>
      </c>
      <c r="DC32" s="280" t="s">
        <v>815</v>
      </c>
      <c r="DD32" s="281">
        <v>50000</v>
      </c>
      <c r="DE32" s="281">
        <v>0</v>
      </c>
      <c r="DF32" s="281" t="s">
        <v>816</v>
      </c>
      <c r="DG32" s="282" t="s">
        <v>956</v>
      </c>
      <c r="DH32" s="283" t="s">
        <v>542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144</v>
      </c>
      <c r="DB33" s="279" t="s">
        <v>542</v>
      </c>
      <c r="DC33" s="280" t="s">
        <v>817</v>
      </c>
      <c r="DD33" s="281">
        <v>0</v>
      </c>
      <c r="DE33" s="281">
        <v>38588</v>
      </c>
      <c r="DF33" s="281" t="s">
        <v>818</v>
      </c>
      <c r="DG33" s="306" t="s">
        <v>957</v>
      </c>
      <c r="DH33" s="283" t="s">
        <v>542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144</v>
      </c>
      <c r="DB34" s="279" t="s">
        <v>542</v>
      </c>
      <c r="DC34" s="280" t="s">
        <v>819</v>
      </c>
      <c r="DD34" s="281">
        <v>8269</v>
      </c>
      <c r="DE34" s="281">
        <v>0</v>
      </c>
      <c r="DF34" s="281" t="s">
        <v>820</v>
      </c>
      <c r="DG34" s="282" t="s">
        <v>958</v>
      </c>
      <c r="DH34" s="283" t="s">
        <v>542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144</v>
      </c>
      <c r="DB35" s="279" t="s">
        <v>554</v>
      </c>
      <c r="DC35" s="280" t="s">
        <v>821</v>
      </c>
      <c r="DD35" s="281">
        <v>100000</v>
      </c>
      <c r="DE35" s="281">
        <v>0</v>
      </c>
      <c r="DF35" s="281" t="s">
        <v>822</v>
      </c>
      <c r="DG35" s="282" t="s">
        <v>959</v>
      </c>
      <c r="DH35" s="283" t="s">
        <v>554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144</v>
      </c>
      <c r="DB36" s="279" t="s">
        <v>559</v>
      </c>
      <c r="DC36" s="280" t="s">
        <v>823</v>
      </c>
      <c r="DD36" s="281">
        <v>0</v>
      </c>
      <c r="DE36" s="281">
        <v>100000</v>
      </c>
      <c r="DF36" s="281" t="s">
        <v>824</v>
      </c>
      <c r="DG36" s="282" t="s">
        <v>960</v>
      </c>
      <c r="DH36" s="283" t="s">
        <v>559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144</v>
      </c>
      <c r="DB37" s="279" t="s">
        <v>562</v>
      </c>
      <c r="DC37" s="280" t="s">
        <v>825</v>
      </c>
      <c r="DD37" s="281">
        <v>7000</v>
      </c>
      <c r="DE37" s="281">
        <v>0</v>
      </c>
      <c r="DF37" s="281" t="s">
        <v>822</v>
      </c>
      <c r="DG37" s="282" t="s">
        <v>938</v>
      </c>
      <c r="DH37" s="283" t="s">
        <v>562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144</v>
      </c>
      <c r="DB38" s="279" t="s">
        <v>564</v>
      </c>
      <c r="DC38" s="280" t="s">
        <v>826</v>
      </c>
      <c r="DD38" s="281">
        <v>23514</v>
      </c>
      <c r="DE38" s="281">
        <v>0</v>
      </c>
      <c r="DF38" s="281" t="s">
        <v>827</v>
      </c>
      <c r="DG38" s="282" t="s">
        <v>961</v>
      </c>
      <c r="DH38" s="283" t="s">
        <v>564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144</v>
      </c>
      <c r="DB39" s="279" t="s">
        <v>569</v>
      </c>
      <c r="DC39" s="280" t="s">
        <v>828</v>
      </c>
      <c r="DD39" s="281">
        <v>0</v>
      </c>
      <c r="DE39" s="281">
        <v>71016</v>
      </c>
      <c r="DF39" s="281" t="s">
        <v>829</v>
      </c>
      <c r="DG39" s="282" t="s">
        <v>962</v>
      </c>
      <c r="DH39" s="283" t="s">
        <v>569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144</v>
      </c>
      <c r="DB40" s="279" t="s">
        <v>573</v>
      </c>
      <c r="DC40" s="280" t="s">
        <v>830</v>
      </c>
      <c r="DD40" s="281">
        <v>0</v>
      </c>
      <c r="DE40" s="281">
        <v>41700</v>
      </c>
      <c r="DF40" s="281" t="s">
        <v>831</v>
      </c>
      <c r="DG40" s="282" t="s">
        <v>963</v>
      </c>
      <c r="DH40" s="283" t="s">
        <v>573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144</v>
      </c>
      <c r="DB41" s="279" t="s">
        <v>573</v>
      </c>
      <c r="DC41" s="280" t="s">
        <v>832</v>
      </c>
      <c r="DD41" s="281">
        <v>3000</v>
      </c>
      <c r="DE41" s="281">
        <v>0</v>
      </c>
      <c r="DF41" s="281" t="s">
        <v>833</v>
      </c>
      <c r="DG41" s="282" t="s">
        <v>964</v>
      </c>
      <c r="DH41" s="283" t="s">
        <v>573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144</v>
      </c>
      <c r="DB42" s="279" t="s">
        <v>580</v>
      </c>
      <c r="DC42" s="280" t="s">
        <v>834</v>
      </c>
      <c r="DD42" s="281">
        <v>3000</v>
      </c>
      <c r="DE42" s="281">
        <v>0</v>
      </c>
      <c r="DF42" s="281" t="s">
        <v>835</v>
      </c>
      <c r="DG42" s="282" t="s">
        <v>940</v>
      </c>
      <c r="DH42" s="283" t="s">
        <v>580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144</v>
      </c>
      <c r="DB43" s="279" t="s">
        <v>582</v>
      </c>
      <c r="DC43" s="280" t="s">
        <v>836</v>
      </c>
      <c r="DD43" s="281">
        <v>9555</v>
      </c>
      <c r="DE43" s="281">
        <v>0</v>
      </c>
      <c r="DF43" s="281" t="s">
        <v>837</v>
      </c>
      <c r="DG43" s="282" t="s">
        <v>965</v>
      </c>
      <c r="DH43" s="283" t="s">
        <v>582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144</v>
      </c>
      <c r="DB44" s="279" t="s">
        <v>582</v>
      </c>
      <c r="DC44" s="280" t="s">
        <v>838</v>
      </c>
      <c r="DD44" s="281">
        <v>0</v>
      </c>
      <c r="DE44" s="281">
        <v>36015</v>
      </c>
      <c r="DF44" s="281" t="s">
        <v>839</v>
      </c>
      <c r="DG44" s="306" t="s">
        <v>936</v>
      </c>
      <c r="DH44" s="283" t="s">
        <v>582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144</v>
      </c>
      <c r="DB45" s="279" t="s">
        <v>591</v>
      </c>
      <c r="DC45" s="280" t="s">
        <v>840</v>
      </c>
      <c r="DD45" s="281">
        <v>25079</v>
      </c>
      <c r="DE45" s="281">
        <v>0</v>
      </c>
      <c r="DF45" s="281" t="s">
        <v>841</v>
      </c>
      <c r="DG45" s="282"/>
      <c r="DH45" s="283" t="s">
        <v>591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144</v>
      </c>
      <c r="DB46" s="279" t="s">
        <v>596</v>
      </c>
      <c r="DC46" s="280" t="s">
        <v>842</v>
      </c>
      <c r="DD46" s="281">
        <v>44289</v>
      </c>
      <c r="DE46" s="281">
        <v>0</v>
      </c>
      <c r="DF46" s="281" t="s">
        <v>843</v>
      </c>
      <c r="DG46" s="282" t="s">
        <v>966</v>
      </c>
      <c r="DH46" s="283" t="s">
        <v>596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144</v>
      </c>
      <c r="DB47" s="279" t="s">
        <v>601</v>
      </c>
      <c r="DC47" s="280" t="s">
        <v>844</v>
      </c>
      <c r="DD47" s="281">
        <v>70000</v>
      </c>
      <c r="DE47" s="281">
        <v>0</v>
      </c>
      <c r="DF47" s="281" t="s">
        <v>845</v>
      </c>
      <c r="DG47" s="282" t="s">
        <v>944</v>
      </c>
      <c r="DH47" s="283" t="s">
        <v>601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144</v>
      </c>
      <c r="DB48" s="279" t="s">
        <v>605</v>
      </c>
      <c r="DC48" s="280" t="s">
        <v>846</v>
      </c>
      <c r="DD48" s="281">
        <v>54000</v>
      </c>
      <c r="DE48" s="281">
        <v>0</v>
      </c>
      <c r="DF48" s="281" t="s">
        <v>847</v>
      </c>
      <c r="DG48" s="282" t="s">
        <v>944</v>
      </c>
      <c r="DH48" s="283" t="s">
        <v>605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144</v>
      </c>
      <c r="DB49" s="279" t="s">
        <v>605</v>
      </c>
      <c r="DC49" s="280" t="s">
        <v>848</v>
      </c>
      <c r="DD49" s="281">
        <v>0</v>
      </c>
      <c r="DE49" s="281">
        <v>40000</v>
      </c>
      <c r="DF49" s="281" t="s">
        <v>849</v>
      </c>
      <c r="DG49" s="282" t="s">
        <v>967</v>
      </c>
      <c r="DH49" s="283" t="s">
        <v>605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144</v>
      </c>
      <c r="DB50" s="279" t="s">
        <v>605</v>
      </c>
      <c r="DC50" s="280" t="s">
        <v>850</v>
      </c>
      <c r="DD50" s="281">
        <v>30317</v>
      </c>
      <c r="DE50" s="281">
        <v>0</v>
      </c>
      <c r="DF50" s="281" t="s">
        <v>851</v>
      </c>
      <c r="DG50" s="282" t="s">
        <v>952</v>
      </c>
      <c r="DH50" s="283" t="s">
        <v>605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144</v>
      </c>
      <c r="DB51" s="279" t="s">
        <v>613</v>
      </c>
      <c r="DC51" s="280" t="s">
        <v>852</v>
      </c>
      <c r="DD51" s="281">
        <v>0</v>
      </c>
      <c r="DE51" s="281">
        <v>36855</v>
      </c>
      <c r="DF51" s="281" t="s">
        <v>853</v>
      </c>
      <c r="DG51" s="306" t="s">
        <v>968</v>
      </c>
      <c r="DH51" s="283" t="s">
        <v>613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144</v>
      </c>
      <c r="DB52" s="279" t="s">
        <v>613</v>
      </c>
      <c r="DC52" s="280" t="s">
        <v>854</v>
      </c>
      <c r="DD52" s="281">
        <v>0</v>
      </c>
      <c r="DE52" s="281">
        <v>43659</v>
      </c>
      <c r="DF52" s="281" t="s">
        <v>855</v>
      </c>
      <c r="DG52" s="306" t="s">
        <v>969</v>
      </c>
      <c r="DH52" s="283" t="s">
        <v>613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144</v>
      </c>
      <c r="DB53" s="279" t="s">
        <v>613</v>
      </c>
      <c r="DC53" s="280" t="s">
        <v>856</v>
      </c>
      <c r="DD53" s="281">
        <v>0</v>
      </c>
      <c r="DE53" s="281">
        <v>45360</v>
      </c>
      <c r="DF53" s="281" t="s">
        <v>857</v>
      </c>
      <c r="DG53" s="306" t="s">
        <v>968</v>
      </c>
      <c r="DH53" s="283" t="s">
        <v>613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144</v>
      </c>
      <c r="DB54" s="279" t="s">
        <v>625</v>
      </c>
      <c r="DC54" s="280" t="s">
        <v>858</v>
      </c>
      <c r="DD54" s="281">
        <v>20000</v>
      </c>
      <c r="DE54" s="281">
        <v>0</v>
      </c>
      <c r="DF54" s="281" t="s">
        <v>859</v>
      </c>
      <c r="DG54" s="282" t="s">
        <v>970</v>
      </c>
      <c r="DH54" s="283" t="s">
        <v>625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144</v>
      </c>
      <c r="DB55" s="279" t="s">
        <v>629</v>
      </c>
      <c r="DC55" s="280" t="s">
        <v>860</v>
      </c>
      <c r="DD55" s="281">
        <v>0</v>
      </c>
      <c r="DE55" s="281">
        <v>27563</v>
      </c>
      <c r="DF55" s="281" t="s">
        <v>861</v>
      </c>
      <c r="DG55" s="282" t="s">
        <v>971</v>
      </c>
      <c r="DH55" s="283" t="s">
        <v>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144</v>
      </c>
      <c r="DB56" s="279" t="s">
        <v>633</v>
      </c>
      <c r="DC56" s="280" t="s">
        <v>862</v>
      </c>
      <c r="DD56" s="281">
        <v>100000</v>
      </c>
      <c r="DE56" s="281">
        <v>0</v>
      </c>
      <c r="DF56" s="281" t="s">
        <v>863</v>
      </c>
      <c r="DG56" s="282" t="s">
        <v>972</v>
      </c>
      <c r="DH56" s="283" t="s">
        <v>633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144</v>
      </c>
      <c r="DB57" s="279" t="s">
        <v>637</v>
      </c>
      <c r="DC57" s="280" t="s">
        <v>864</v>
      </c>
      <c r="DD57" s="281">
        <v>10000</v>
      </c>
      <c r="DE57" s="281">
        <v>0</v>
      </c>
      <c r="DF57" s="281" t="s">
        <v>865</v>
      </c>
      <c r="DG57" s="282" t="s">
        <v>944</v>
      </c>
      <c r="DH57" s="283" t="s">
        <v>637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144</v>
      </c>
      <c r="DB58" s="279" t="s">
        <v>637</v>
      </c>
      <c r="DC58" s="280" t="s">
        <v>866</v>
      </c>
      <c r="DD58" s="281">
        <v>77420</v>
      </c>
      <c r="DE58" s="281">
        <v>0</v>
      </c>
      <c r="DF58" s="281" t="s">
        <v>867</v>
      </c>
      <c r="DG58" s="282" t="s">
        <v>973</v>
      </c>
      <c r="DH58" s="283" t="s">
        <v>637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144</v>
      </c>
      <c r="DB59" s="279" t="s">
        <v>644</v>
      </c>
      <c r="DC59" s="280" t="s">
        <v>868</v>
      </c>
      <c r="DD59" s="281">
        <v>0</v>
      </c>
      <c r="DE59" s="281">
        <v>37485</v>
      </c>
      <c r="DF59" s="281" t="s">
        <v>869</v>
      </c>
      <c r="DG59" s="282" t="s">
        <v>974</v>
      </c>
      <c r="DH59" s="283" t="s">
        <v>644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144</v>
      </c>
      <c r="DB60" s="279" t="s">
        <v>644</v>
      </c>
      <c r="DC60" s="280" t="s">
        <v>870</v>
      </c>
      <c r="DD60" s="281">
        <v>0</v>
      </c>
      <c r="DE60" s="281">
        <v>45560</v>
      </c>
      <c r="DF60" s="281" t="s">
        <v>871</v>
      </c>
      <c r="DG60" s="282" t="s">
        <v>975</v>
      </c>
      <c r="DH60" s="283" t="s">
        <v>644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144</v>
      </c>
      <c r="DB61" s="279" t="s">
        <v>651</v>
      </c>
      <c r="DC61" s="280" t="s">
        <v>872</v>
      </c>
      <c r="DD61" s="281">
        <v>0</v>
      </c>
      <c r="DE61" s="281">
        <v>12700</v>
      </c>
      <c r="DF61" s="281" t="s">
        <v>873</v>
      </c>
      <c r="DG61" s="282" t="s">
        <v>976</v>
      </c>
      <c r="DH61" s="283" t="s">
        <v>651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144</v>
      </c>
      <c r="DB62" s="279" t="s">
        <v>655</v>
      </c>
      <c r="DC62" s="280" t="s">
        <v>874</v>
      </c>
      <c r="DD62" s="281">
        <v>0</v>
      </c>
      <c r="DE62" s="281">
        <v>51850</v>
      </c>
      <c r="DF62" s="281" t="s">
        <v>875</v>
      </c>
      <c r="DG62" s="306" t="s">
        <v>936</v>
      </c>
      <c r="DH62" s="283" t="s">
        <v>655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144</v>
      </c>
      <c r="DB63" s="279" t="s">
        <v>659</v>
      </c>
      <c r="DC63" s="280" t="s">
        <v>876</v>
      </c>
      <c r="DD63" s="281">
        <v>354</v>
      </c>
      <c r="DE63" s="281">
        <v>0</v>
      </c>
      <c r="DF63" s="281" t="s">
        <v>877</v>
      </c>
      <c r="DG63" s="282" t="s">
        <v>964</v>
      </c>
      <c r="DH63" s="283" t="s">
        <v>659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144</v>
      </c>
      <c r="DB64" s="279" t="s">
        <v>663</v>
      </c>
      <c r="DC64" s="280" t="s">
        <v>878</v>
      </c>
      <c r="DD64" s="281">
        <v>49000</v>
      </c>
      <c r="DE64" s="281">
        <v>0</v>
      </c>
      <c r="DF64" s="281" t="s">
        <v>879</v>
      </c>
      <c r="DG64" s="282" t="s">
        <v>944</v>
      </c>
      <c r="DH64" s="283" t="s">
        <v>663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144</v>
      </c>
      <c r="DB65" s="279" t="s">
        <v>667</v>
      </c>
      <c r="DC65" s="280" t="s">
        <v>880</v>
      </c>
      <c r="DD65" s="281">
        <v>20000</v>
      </c>
      <c r="DE65" s="281">
        <v>0</v>
      </c>
      <c r="DF65" s="281" t="s">
        <v>881</v>
      </c>
      <c r="DG65" s="282" t="s">
        <v>944</v>
      </c>
      <c r="DH65" s="283" t="s">
        <v>667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144</v>
      </c>
      <c r="DB66" s="279" t="s">
        <v>671</v>
      </c>
      <c r="DC66" s="280" t="s">
        <v>882</v>
      </c>
      <c r="DD66" s="281">
        <v>0</v>
      </c>
      <c r="DE66" s="281">
        <v>50000</v>
      </c>
      <c r="DF66" s="281" t="s">
        <v>883</v>
      </c>
      <c r="DG66" s="282" t="s">
        <v>977</v>
      </c>
      <c r="DH66" s="283" t="s">
        <v>671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144</v>
      </c>
      <c r="DB67" s="279" t="s">
        <v>674</v>
      </c>
      <c r="DC67" s="280" t="s">
        <v>884</v>
      </c>
      <c r="DD67" s="281">
        <v>49000</v>
      </c>
      <c r="DE67" s="281">
        <v>0</v>
      </c>
      <c r="DF67" s="281" t="s">
        <v>885</v>
      </c>
      <c r="DG67" s="282" t="s">
        <v>944</v>
      </c>
      <c r="DH67" s="283" t="s">
        <v>674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144</v>
      </c>
      <c r="DB68" s="279" t="s">
        <v>674</v>
      </c>
      <c r="DC68" s="280" t="s">
        <v>886</v>
      </c>
      <c r="DD68" s="281">
        <v>0</v>
      </c>
      <c r="DE68" s="281">
        <v>41895</v>
      </c>
      <c r="DF68" s="281" t="s">
        <v>887</v>
      </c>
      <c r="DG68" s="306" t="s">
        <v>957</v>
      </c>
      <c r="DH68" s="283" t="s">
        <v>674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144</v>
      </c>
      <c r="DB69" s="279" t="s">
        <v>681</v>
      </c>
      <c r="DC69" s="280" t="s">
        <v>888</v>
      </c>
      <c r="DD69" s="281">
        <v>30317</v>
      </c>
      <c r="DE69" s="281">
        <v>0</v>
      </c>
      <c r="DF69" s="281" t="s">
        <v>889</v>
      </c>
      <c r="DG69" s="282" t="s">
        <v>952</v>
      </c>
      <c r="DH69" s="283" t="s">
        <v>681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144</v>
      </c>
      <c r="DB70" s="279" t="s">
        <v>683</v>
      </c>
      <c r="DC70" s="280" t="s">
        <v>890</v>
      </c>
      <c r="DD70" s="281">
        <v>0</v>
      </c>
      <c r="DE70" s="281">
        <v>50000</v>
      </c>
      <c r="DF70" s="281" t="s">
        <v>891</v>
      </c>
      <c r="DG70" s="282" t="s">
        <v>978</v>
      </c>
      <c r="DH70" s="283" t="s">
        <v>683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144</v>
      </c>
      <c r="DB71" s="279" t="s">
        <v>683</v>
      </c>
      <c r="DC71" s="280" t="s">
        <v>892</v>
      </c>
      <c r="DD71" s="281">
        <v>49000</v>
      </c>
      <c r="DE71" s="281">
        <v>0</v>
      </c>
      <c r="DF71" s="281" t="s">
        <v>893</v>
      </c>
      <c r="DG71" s="282" t="s">
        <v>944</v>
      </c>
      <c r="DH71" s="283" t="s">
        <v>683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144</v>
      </c>
      <c r="DB72" s="279" t="s">
        <v>688</v>
      </c>
      <c r="DC72" s="280" t="s">
        <v>894</v>
      </c>
      <c r="DD72" s="281">
        <v>0</v>
      </c>
      <c r="DE72" s="281">
        <v>35000</v>
      </c>
      <c r="DF72" s="281" t="s">
        <v>895</v>
      </c>
      <c r="DG72" s="282" t="s">
        <v>979</v>
      </c>
      <c r="DH72" s="283" t="s">
        <v>688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144</v>
      </c>
      <c r="DB73" s="279" t="s">
        <v>688</v>
      </c>
      <c r="DC73" s="280" t="s">
        <v>896</v>
      </c>
      <c r="DD73" s="281">
        <v>0</v>
      </c>
      <c r="DE73" s="281">
        <v>30000</v>
      </c>
      <c r="DF73" s="281" t="s">
        <v>897</v>
      </c>
      <c r="DG73" s="282" t="s">
        <v>980</v>
      </c>
      <c r="DH73" s="283" t="s">
        <v>688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144</v>
      </c>
      <c r="DB74" s="279" t="s">
        <v>688</v>
      </c>
      <c r="DC74" s="280" t="s">
        <v>898</v>
      </c>
      <c r="DD74" s="281">
        <v>0</v>
      </c>
      <c r="DE74" s="281">
        <v>12770</v>
      </c>
      <c r="DF74" s="281" t="s">
        <v>899</v>
      </c>
      <c r="DG74" s="282" t="s">
        <v>981</v>
      </c>
      <c r="DH74" s="283" t="s">
        <v>688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144</v>
      </c>
      <c r="DB75" s="279" t="s">
        <v>691</v>
      </c>
      <c r="DC75" s="280" t="s">
        <v>900</v>
      </c>
      <c r="DD75" s="281">
        <v>200000</v>
      </c>
      <c r="DE75" s="281">
        <v>0</v>
      </c>
      <c r="DF75" s="281" t="s">
        <v>901</v>
      </c>
      <c r="DG75" s="282" t="s">
        <v>944</v>
      </c>
      <c r="DH75" s="283" t="s">
        <v>691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144</v>
      </c>
      <c r="DB76" s="279" t="s">
        <v>702</v>
      </c>
      <c r="DC76" s="280" t="s">
        <v>902</v>
      </c>
      <c r="DD76" s="281">
        <v>0</v>
      </c>
      <c r="DE76" s="281">
        <v>50000</v>
      </c>
      <c r="DF76" s="281" t="s">
        <v>903</v>
      </c>
      <c r="DG76" s="282" t="s">
        <v>982</v>
      </c>
      <c r="DH76" s="283" t="s">
        <v>702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144</v>
      </c>
      <c r="DB77" s="279" t="s">
        <v>705</v>
      </c>
      <c r="DC77" s="280" t="s">
        <v>904</v>
      </c>
      <c r="DD77" s="281">
        <v>0</v>
      </c>
      <c r="DE77" s="281">
        <v>58354</v>
      </c>
      <c r="DF77" s="281" t="s">
        <v>905</v>
      </c>
      <c r="DG77" s="306" t="s">
        <v>969</v>
      </c>
      <c r="DH77" s="283" t="s">
        <v>705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144</v>
      </c>
      <c r="DB78" s="279" t="s">
        <v>705</v>
      </c>
      <c r="DC78" s="280" t="s">
        <v>906</v>
      </c>
      <c r="DD78" s="281">
        <v>0</v>
      </c>
      <c r="DE78" s="281">
        <v>36225</v>
      </c>
      <c r="DF78" s="281" t="s">
        <v>907</v>
      </c>
      <c r="DG78" s="306" t="s">
        <v>969</v>
      </c>
      <c r="DH78" s="283" t="s">
        <v>705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144</v>
      </c>
      <c r="DB79" s="279" t="s">
        <v>713</v>
      </c>
      <c r="DC79" s="280" t="s">
        <v>908</v>
      </c>
      <c r="DD79" s="281">
        <v>0</v>
      </c>
      <c r="DE79" s="281">
        <v>50000</v>
      </c>
      <c r="DF79" s="281" t="s">
        <v>909</v>
      </c>
      <c r="DG79" s="306" t="s">
        <v>936</v>
      </c>
      <c r="DH79" s="283" t="s">
        <v>713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144</v>
      </c>
      <c r="DB80" s="279" t="s">
        <v>717</v>
      </c>
      <c r="DC80" s="280" t="s">
        <v>910</v>
      </c>
      <c r="DD80" s="281">
        <v>55646</v>
      </c>
      <c r="DE80" s="281">
        <v>0</v>
      </c>
      <c r="DF80" s="281" t="s">
        <v>911</v>
      </c>
      <c r="DG80" s="282" t="s">
        <v>983</v>
      </c>
      <c r="DH80" s="283" t="s">
        <v>717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144</v>
      </c>
      <c r="DB81" s="279" t="s">
        <v>717</v>
      </c>
      <c r="DC81" s="280" t="s">
        <v>912</v>
      </c>
      <c r="DD81" s="281">
        <v>200000</v>
      </c>
      <c r="DE81" s="281">
        <v>0</v>
      </c>
      <c r="DF81" s="281" t="s">
        <v>913</v>
      </c>
      <c r="DG81" s="282" t="s">
        <v>984</v>
      </c>
      <c r="DH81" s="283" t="s">
        <v>717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144</v>
      </c>
      <c r="DB82" s="279" t="s">
        <v>725</v>
      </c>
      <c r="DC82" s="280" t="s">
        <v>914</v>
      </c>
      <c r="DD82" s="281">
        <v>23.6</v>
      </c>
      <c r="DE82" s="281">
        <v>0</v>
      </c>
      <c r="DF82" s="281" t="s">
        <v>915</v>
      </c>
      <c r="DG82" s="282" t="s">
        <v>985</v>
      </c>
      <c r="DH82" s="283" t="s">
        <v>725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144</v>
      </c>
      <c r="DB83" s="279" t="s">
        <v>728</v>
      </c>
      <c r="DC83" s="280" t="s">
        <v>916</v>
      </c>
      <c r="DD83" s="281">
        <v>0</v>
      </c>
      <c r="DE83" s="281">
        <v>50000</v>
      </c>
      <c r="DF83" s="281" t="s">
        <v>917</v>
      </c>
      <c r="DG83" s="282" t="s">
        <v>986</v>
      </c>
      <c r="DH83" s="283" t="s">
        <v>728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144</v>
      </c>
      <c r="DB84" s="279" t="s">
        <v>728</v>
      </c>
      <c r="DC84" s="280" t="s">
        <v>918</v>
      </c>
      <c r="DD84" s="281">
        <v>72</v>
      </c>
      <c r="DE84" s="281">
        <v>0</v>
      </c>
      <c r="DF84" s="281" t="s">
        <v>919</v>
      </c>
      <c r="DG84" s="282" t="s">
        <v>731</v>
      </c>
      <c r="DH84" s="283" t="s">
        <v>728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144</v>
      </c>
      <c r="DB85" s="279" t="s">
        <v>728</v>
      </c>
      <c r="DC85" s="280" t="s">
        <v>920</v>
      </c>
      <c r="DD85" s="281">
        <v>400</v>
      </c>
      <c r="DE85" s="281">
        <v>0</v>
      </c>
      <c r="DF85" s="281" t="s">
        <v>921</v>
      </c>
      <c r="DG85" s="282" t="s">
        <v>987</v>
      </c>
      <c r="DH85" s="283" t="s">
        <v>728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144</v>
      </c>
      <c r="DB86" s="279" t="s">
        <v>728</v>
      </c>
      <c r="DC86" s="280" t="s">
        <v>922</v>
      </c>
      <c r="DD86" s="281">
        <v>40000</v>
      </c>
      <c r="DE86" s="281">
        <v>0</v>
      </c>
      <c r="DF86" s="281" t="s">
        <v>923</v>
      </c>
      <c r="DG86" s="282" t="s">
        <v>944</v>
      </c>
      <c r="DH86" s="283" t="s">
        <v>728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144</v>
      </c>
      <c r="DB87" s="279" t="s">
        <v>728</v>
      </c>
      <c r="DC87" s="280" t="s">
        <v>924</v>
      </c>
      <c r="DD87" s="281">
        <v>4788</v>
      </c>
      <c r="DE87" s="281">
        <v>0</v>
      </c>
      <c r="DF87" s="281" t="s">
        <v>925</v>
      </c>
      <c r="DG87" s="282" t="s">
        <v>988</v>
      </c>
      <c r="DH87" s="283" t="s">
        <v>728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144</v>
      </c>
      <c r="DB88" s="279" t="s">
        <v>743</v>
      </c>
      <c r="DC88" s="280" t="s">
        <v>926</v>
      </c>
      <c r="DD88" s="281">
        <v>0</v>
      </c>
      <c r="DE88" s="281">
        <v>30000</v>
      </c>
      <c r="DF88" s="281" t="s">
        <v>927</v>
      </c>
      <c r="DG88" s="282" t="s">
        <v>989</v>
      </c>
      <c r="DH88" s="283" t="s">
        <v>743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144</v>
      </c>
      <c r="DB89" s="279" t="s">
        <v>743</v>
      </c>
      <c r="DC89" s="280" t="s">
        <v>928</v>
      </c>
      <c r="DD89" s="281">
        <v>49000</v>
      </c>
      <c r="DE89" s="281">
        <v>0</v>
      </c>
      <c r="DF89" s="281" t="s">
        <v>929</v>
      </c>
      <c r="DG89" s="282" t="s">
        <v>944</v>
      </c>
      <c r="DH89" s="283" t="s">
        <v>743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144</v>
      </c>
      <c r="DB90" s="279" t="s">
        <v>743</v>
      </c>
      <c r="DC90" s="280" t="s">
        <v>930</v>
      </c>
      <c r="DD90" s="281">
        <v>10800</v>
      </c>
      <c r="DE90" s="281">
        <v>0</v>
      </c>
      <c r="DF90" s="281" t="s">
        <v>931</v>
      </c>
      <c r="DG90" s="282" t="s">
        <v>990</v>
      </c>
      <c r="DH90" s="283" t="s">
        <v>743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144</v>
      </c>
      <c r="DB91" s="279" t="s">
        <v>752</v>
      </c>
      <c r="DC91" s="280" t="s">
        <v>932</v>
      </c>
      <c r="DD91" s="281">
        <v>0</v>
      </c>
      <c r="DE91" s="281">
        <v>150000</v>
      </c>
      <c r="DF91" s="281" t="s">
        <v>933</v>
      </c>
      <c r="DG91" s="306" t="s">
        <v>991</v>
      </c>
      <c r="DH91" s="283" t="s">
        <v>752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144</v>
      </c>
      <c r="DB92" s="279" t="s">
        <v>752</v>
      </c>
      <c r="DC92" s="280" t="s">
        <v>934</v>
      </c>
      <c r="DD92" s="281">
        <v>100000</v>
      </c>
      <c r="DE92" s="281">
        <v>0</v>
      </c>
      <c r="DF92" s="281" t="s">
        <v>935</v>
      </c>
      <c r="DG92" s="282" t="s">
        <v>992</v>
      </c>
      <c r="DH92" s="283" t="s">
        <v>752</v>
      </c>
      <c r="DI92" s="284" t="s">
        <v>767</v>
      </c>
      <c r="DJ92" s="285" t="s">
        <v>758</v>
      </c>
      <c r="DK92" s="286">
        <v>88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183" priority="10" operator="equal">
      <formula>#N/A</formula>
    </cfRule>
  </conditionalFormatting>
  <conditionalFormatting sqref="H1">
    <cfRule type="cellIs" dxfId="182" priority="9" operator="equal">
      <formula>#N/A</formula>
    </cfRule>
  </conditionalFormatting>
  <conditionalFormatting sqref="E1">
    <cfRule type="cellIs" dxfId="181" priority="8" operator="equal">
      <formula>#N/A</formula>
    </cfRule>
  </conditionalFormatting>
  <conditionalFormatting sqref="I1">
    <cfRule type="containsText" dxfId="180" priority="6" operator="containsText" text="All Data Import Successfully">
      <formula>NOT(ISERROR(SEARCH("All Data Import Successfully",I1)))</formula>
    </cfRule>
    <cfRule type="containsText" dxfId="179" priority="7" operator="containsText" text="Difference Entry">
      <formula>NOT(ISERROR(SEARCH("Difference Entry",I1)))</formula>
    </cfRule>
  </conditionalFormatting>
  <conditionalFormatting sqref="DG2">
    <cfRule type="cellIs" dxfId="178" priority="5" operator="equal">
      <formula>#N/A</formula>
    </cfRule>
  </conditionalFormatting>
  <conditionalFormatting sqref="DH2:DI2">
    <cfRule type="cellIs" dxfId="177" priority="4" operator="equal">
      <formula>#N/A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55" t="s">
        <v>53</v>
      </c>
      <c r="I4" s="355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56" t="s">
        <v>53</v>
      </c>
      <c r="I4" s="356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3" priority="10" operator="equal">
      <formula>#N/A</formula>
    </cfRule>
  </conditionalFormatting>
  <conditionalFormatting sqref="H1">
    <cfRule type="cellIs" dxfId="162" priority="9" operator="equal">
      <formula>#N/A</formula>
    </cfRule>
  </conditionalFormatting>
  <conditionalFormatting sqref="E1">
    <cfRule type="cellIs" dxfId="161" priority="8" operator="equal">
      <formula>#N/A</formula>
    </cfRule>
  </conditionalFormatting>
  <conditionalFormatting sqref="I1">
    <cfRule type="containsText" dxfId="160" priority="6" operator="containsText" text="All Data Import Successfully">
      <formula>NOT(ISERROR(SEARCH("All Data Import Successfully",I1)))</formula>
    </cfRule>
    <cfRule type="containsText" dxfId="159" priority="7" operator="containsText" text="Difference Entry">
      <formula>NOT(ISERROR(SEARCH("Difference Entry",I1)))</formula>
    </cfRule>
  </conditionalFormatting>
  <conditionalFormatting sqref="DG2">
    <cfRule type="cellIs" dxfId="158" priority="5" operator="equal">
      <formula>#N/A</formula>
    </cfRule>
  </conditionalFormatting>
  <conditionalFormatting sqref="DH2:DI2">
    <cfRule type="cellIs" dxfId="157" priority="4" operator="equal">
      <formula>#N/A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8" operator="equal">
      <formula>#N/A</formula>
    </cfRule>
  </conditionalFormatting>
  <conditionalFormatting sqref="DG2">
    <cfRule type="cellIs" dxfId="152" priority="13" operator="equal">
      <formula>#N/A</formula>
    </cfRule>
  </conditionalFormatting>
  <conditionalFormatting sqref="DH2:DI2">
    <cfRule type="cellIs" dxfId="151" priority="12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1" operator="equal">
      <formula>#N/A</formula>
    </cfRule>
  </conditionalFormatting>
  <conditionalFormatting sqref="DG2">
    <cfRule type="cellIs" dxfId="141" priority="10" operator="equal">
      <formula>#N/A</formula>
    </cfRule>
  </conditionalFormatting>
  <conditionalFormatting sqref="DH2:DI2">
    <cfRule type="cellIs" dxfId="140" priority="9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1" priority="10" operator="equal">
      <formula>#N/A</formula>
    </cfRule>
  </conditionalFormatting>
  <conditionalFormatting sqref="H1">
    <cfRule type="cellIs" dxfId="130" priority="9" operator="equal">
      <formula>#N/A</formula>
    </cfRule>
  </conditionalFormatting>
  <conditionalFormatting sqref="E1">
    <cfRule type="cellIs" dxfId="129" priority="8" operator="equal">
      <formula>#N/A</formula>
    </cfRule>
  </conditionalFormatting>
  <conditionalFormatting sqref="I1">
    <cfRule type="containsText" dxfId="128" priority="6" operator="containsText" text="All Data Import Successfully">
      <formula>NOT(ISERROR(SEARCH("All Data Import Successfully",I1)))</formula>
    </cfRule>
    <cfRule type="containsText" dxfId="127" priority="7" operator="containsText" text="Difference Entry">
      <formula>NOT(ISERROR(SEARCH("Difference Entry",I1)))</formula>
    </cfRule>
  </conditionalFormatting>
  <conditionalFormatting sqref="DG2">
    <cfRule type="cellIs" dxfId="126" priority="5" operator="equal">
      <formula>#N/A</formula>
    </cfRule>
  </conditionalFormatting>
  <conditionalFormatting sqref="DH2:DI2">
    <cfRule type="cellIs" dxfId="125" priority="4" operator="equal">
      <formula>#N/A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57" t="s">
        <v>147</v>
      </c>
      <c r="D4" s="357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21" priority="23" operator="equal">
      <formula>#N/A</formula>
    </cfRule>
  </conditionalFormatting>
  <conditionalFormatting sqref="DG2">
    <cfRule type="cellIs" dxfId="120" priority="18" operator="equal">
      <formula>#N/A</formula>
    </cfRule>
  </conditionalFormatting>
  <conditionalFormatting sqref="DH2:DI2">
    <cfRule type="cellIs" dxfId="119" priority="17" operator="equal">
      <formula>#N/A</formula>
    </cfRule>
  </conditionalFormatting>
  <conditionalFormatting sqref="I1:I2">
    <cfRule type="cellIs" dxfId="118" priority="8" operator="equal">
      <formula>#N/A</formula>
    </cfRule>
  </conditionalFormatting>
  <conditionalFormatting sqref="H1">
    <cfRule type="cellIs" dxfId="117" priority="7" operator="equal">
      <formula>#N/A</formula>
    </cfRule>
  </conditionalFormatting>
  <conditionalFormatting sqref="E1">
    <cfRule type="cellIs" dxfId="116" priority="6" operator="equal">
      <formula>#N/A</formula>
    </cfRule>
  </conditionalFormatting>
  <conditionalFormatting sqref="I1">
    <cfRule type="containsText" dxfId="115" priority="4" operator="containsText" text="All Data Import Successfully">
      <formula>NOT(ISERROR(SEARCH("All Data Import Successfully",I1)))</formula>
    </cfRule>
    <cfRule type="containsText" dxfId="114" priority="5" operator="containsText" text="Difference Entry">
      <formula>NOT(ISERROR(SEARCH("Difference Entry",I1)))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8" operator="equal">
      <formula>#N/A</formula>
    </cfRule>
  </conditionalFormatting>
  <conditionalFormatting sqref="DG2">
    <cfRule type="cellIs" dxfId="99" priority="13" operator="equal">
      <formula>#N/A</formula>
    </cfRule>
  </conditionalFormatting>
  <conditionalFormatting sqref="DH2:DI2">
    <cfRule type="cellIs" dxfId="98" priority="12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89" priority="10" operator="equal">
      <formula>#N/A</formula>
    </cfRule>
  </conditionalFormatting>
  <conditionalFormatting sqref="H1">
    <cfRule type="cellIs" dxfId="88" priority="9" operator="equal">
      <formula>#N/A</formula>
    </cfRule>
  </conditionalFormatting>
  <conditionalFormatting sqref="E1">
    <cfRule type="cellIs" dxfId="87" priority="8" operator="equal">
      <formula>#N/A</formula>
    </cfRule>
  </conditionalFormatting>
  <conditionalFormatting sqref="I1">
    <cfRule type="containsText" dxfId="86" priority="6" operator="containsText" text="All Data Import Successfully">
      <formula>NOT(ISERROR(SEARCH("All Data Import Successfully",I1)))</formula>
    </cfRule>
    <cfRule type="containsText" dxfId="85" priority="7" operator="containsText" text="Difference Entry">
      <formula>NOT(ISERROR(SEARCH("Difference Entry",I1)))</formula>
    </cfRule>
  </conditionalFormatting>
  <conditionalFormatting sqref="DG2">
    <cfRule type="cellIs" dxfId="84" priority="5" operator="equal">
      <formula>#N/A</formula>
    </cfRule>
  </conditionalFormatting>
  <conditionalFormatting sqref="DH2:DI2">
    <cfRule type="cellIs" dxfId="83" priority="4" operator="equal">
      <formula>#N/A</formula>
    </cfRule>
  </conditionalFormatting>
  <conditionalFormatting sqref="E2:G2">
    <cfRule type="cellIs" dxfId="82" priority="3" operator="equal">
      <formula>#N/A</formula>
    </cfRule>
  </conditionalFormatting>
  <conditionalFormatting sqref="H2">
    <cfRule type="cellIs" dxfId="81" priority="2" operator="equal">
      <formula>#N/A</formula>
    </cfRule>
  </conditionalFormatting>
  <conditionalFormatting sqref="I2">
    <cfRule type="cellIs" dxfId="8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9" priority="10" operator="equal">
      <formula>#N/A</formula>
    </cfRule>
  </conditionalFormatting>
  <conditionalFormatting sqref="H1">
    <cfRule type="cellIs" dxfId="78" priority="9" operator="equal">
      <formula>#N/A</formula>
    </cfRule>
  </conditionalFormatting>
  <conditionalFormatting sqref="E1">
    <cfRule type="cellIs" dxfId="77" priority="8" operator="equal">
      <formula>#N/A</formula>
    </cfRule>
  </conditionalFormatting>
  <conditionalFormatting sqref="I1">
    <cfRule type="containsText" dxfId="76" priority="6" operator="containsText" text="All Data Import Successfully">
      <formula>NOT(ISERROR(SEARCH("All Data Import Successfully",I1)))</formula>
    </cfRule>
    <cfRule type="containsText" dxfId="75" priority="7" operator="containsText" text="Difference Entry">
      <formula>NOT(ISERROR(SEARCH("Difference Entry",I1)))</formula>
    </cfRule>
  </conditionalFormatting>
  <conditionalFormatting sqref="DG2">
    <cfRule type="cellIs" dxfId="74" priority="5" operator="equal">
      <formula>#N/A</formula>
    </cfRule>
  </conditionalFormatting>
  <conditionalFormatting sqref="DH2:DI2">
    <cfRule type="cellIs" dxfId="73" priority="4" operator="equal">
      <formula>#N/A</formula>
    </cfRule>
  </conditionalFormatting>
  <conditionalFormatting sqref="E2:G2">
    <cfRule type="cellIs" dxfId="72" priority="3" operator="equal">
      <formula>#N/A</formula>
    </cfRule>
  </conditionalFormatting>
  <conditionalFormatting sqref="H2">
    <cfRule type="cellIs" dxfId="71" priority="2" operator="equal">
      <formula>#N/A</formula>
    </cfRule>
  </conditionalFormatting>
  <conditionalFormatting sqref="I2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9" priority="22" operator="equal">
      <formula>#N/A</formula>
    </cfRule>
  </conditionalFormatting>
  <conditionalFormatting sqref="DG2">
    <cfRule type="cellIs" dxfId="68" priority="17" operator="equal">
      <formula>#N/A</formula>
    </cfRule>
  </conditionalFormatting>
  <conditionalFormatting sqref="DH2:DI2">
    <cfRule type="cellIs" dxfId="67" priority="16" operator="equal">
      <formula>#N/A</formula>
    </cfRule>
  </conditionalFormatting>
  <conditionalFormatting sqref="I1">
    <cfRule type="cellIs" dxfId="66" priority="12" operator="equal">
      <formula>#N/A</formula>
    </cfRule>
  </conditionalFormatting>
  <conditionalFormatting sqref="H1">
    <cfRule type="cellIs" dxfId="65" priority="11" operator="equal">
      <formula>#N/A</formula>
    </cfRule>
  </conditionalFormatting>
  <conditionalFormatting sqref="E1">
    <cfRule type="cellIs" dxfId="64" priority="10" operator="equal">
      <formula>#N/A</formula>
    </cfRule>
  </conditionalFormatting>
  <conditionalFormatting sqref="I1">
    <cfRule type="containsText" dxfId="63" priority="8" operator="containsText" text="All Data Import Successfully">
      <formula>NOT(ISERROR(SEARCH("All Data Import Successfully",I1)))</formula>
    </cfRule>
    <cfRule type="containsText" dxfId="62" priority="9" operator="containsText" text="Difference Entry">
      <formula>NOT(ISERROR(SEARCH("Difference Entry",I1)))</formula>
    </cfRule>
  </conditionalFormatting>
  <conditionalFormatting sqref="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7" priority="18" operator="equal">
      <formula>#N/A</formula>
    </cfRule>
  </conditionalFormatting>
  <conditionalFormatting sqref="DG2">
    <cfRule type="cellIs" dxfId="56" priority="13" operator="equal">
      <formula>#N/A</formula>
    </cfRule>
  </conditionalFormatting>
  <conditionalFormatting sqref="DH2:DI2">
    <cfRule type="cellIs" dxfId="55" priority="12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430</v>
      </c>
      <c r="B3" s="56"/>
      <c r="C3" s="55"/>
      <c r="D3" s="55" t="s">
        <v>433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431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tabSelected="1" workbookViewId="0">
      <selection activeCell="I38" sqref="I38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58" t="s">
        <v>411</v>
      </c>
      <c r="O1" s="359"/>
    </row>
    <row r="2" spans="1:135">
      <c r="M2" s="175"/>
      <c r="N2" s="243"/>
      <c r="O2" s="244"/>
      <c r="BA2" t="s">
        <v>174</v>
      </c>
    </row>
    <row r="3" spans="1:135" ht="15.75" thickBot="1">
      <c r="L3" t="s">
        <v>434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343</v>
      </c>
      <c r="M9" s="6" t="b">
        <v>0</v>
      </c>
      <c r="N9" s="246" t="s">
        <v>402</v>
      </c>
      <c r="O9" s="248" t="s">
        <v>1081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344</v>
      </c>
      <c r="M10" s="6" t="b">
        <v>0</v>
      </c>
      <c r="N10" s="246" t="s">
        <v>403</v>
      </c>
      <c r="O10" s="247" t="s">
        <v>1082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345</v>
      </c>
      <c r="M11" s="6" t="b">
        <v>0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1226</v>
      </c>
      <c r="M12" s="6" t="b">
        <v>1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346</v>
      </c>
      <c r="M13" s="6" t="b">
        <v>0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443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1221</v>
      </c>
      <c r="M15" s="6" t="b">
        <v>1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347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348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1102</v>
      </c>
      <c r="M18" s="6" t="b">
        <v>1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349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350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351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352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353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354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355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356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357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358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361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362</v>
      </c>
      <c r="M31" s="6" t="b">
        <v>0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363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444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359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1086</v>
      </c>
      <c r="M35" s="6" t="b">
        <v>1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1087</v>
      </c>
      <c r="M36" s="6" t="b">
        <v>1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414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364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365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366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367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368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369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370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371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372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373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374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375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376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377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378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379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380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381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382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383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384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385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386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387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388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389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390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391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392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 t="s">
        <v>418</v>
      </c>
      <c r="L67" s="6" t="s">
        <v>393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 t="s">
        <v>430</v>
      </c>
      <c r="L68" t="s">
        <v>394</v>
      </c>
      <c r="M68" t="b">
        <v>0</v>
      </c>
    </row>
    <row r="69" spans="1:135">
      <c r="E69" s="252"/>
      <c r="F69" s="253"/>
      <c r="G69" s="254"/>
      <c r="L69" t="s">
        <v>395</v>
      </c>
      <c r="M69" t="b">
        <v>0</v>
      </c>
    </row>
    <row r="70" spans="1:135">
      <c r="E70" s="252"/>
      <c r="F70" s="253"/>
      <c r="G70" s="254"/>
      <c r="L70" t="s">
        <v>396</v>
      </c>
      <c r="M70" t="b">
        <v>0</v>
      </c>
    </row>
    <row r="71" spans="1:135">
      <c r="E71" s="252"/>
      <c r="F71" s="253"/>
      <c r="G71" s="254"/>
      <c r="L71" t="s">
        <v>408</v>
      </c>
      <c r="M71" t="b">
        <v>0</v>
      </c>
    </row>
    <row r="72" spans="1:135">
      <c r="E72" s="252"/>
      <c r="F72" s="253"/>
      <c r="G72" s="254"/>
      <c r="L72" t="s">
        <v>420</v>
      </c>
      <c r="M72" t="b">
        <v>0</v>
      </c>
    </row>
    <row r="73" spans="1:135">
      <c r="E73" s="252"/>
      <c r="F73" s="253"/>
      <c r="G73" s="254"/>
      <c r="L73" t="s">
        <v>432</v>
      </c>
      <c r="M73" t="b">
        <v>0</v>
      </c>
    </row>
    <row r="74" spans="1:135">
      <c r="E74" s="252"/>
      <c r="F74" s="253"/>
      <c r="G74" s="254"/>
    </row>
    <row r="75" spans="1:135">
      <c r="E75" s="252"/>
      <c r="F75" s="253"/>
      <c r="G75" s="254"/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091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2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3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4" r:id="rId7" name="ICICI 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5" r:id="rId8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6" r:id="rId9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7" r:id="rId10" name="BOB(P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8" r:id="rId11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9" r:id="rId12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0" r:id="rId13" name="Axis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1" r:id="rId14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2" r:id="rId15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3" r:id="rId16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4" r:id="rId17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5" r:id="rId18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6" r:id="rId19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7" r:id="rId20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8" r:id="rId21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9" r:id="rId22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0" r:id="rId23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1" r:id="rId24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2" r:id="rId25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3" r:id="rId26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4" r:id="rId27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5" r:id="rId28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6" r:id="rId29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7" r:id="rId30" name="BO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8" r:id="rId31" name="SCOP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9" r:id="rId32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0" r:id="rId33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1" r:id="rId34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2" r:id="rId35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3" r:id="rId36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4" r:id="rId37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5" r:id="rId38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6" r:id="rId39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7" r:id="rId40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8" r:id="rId41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9" r:id="rId42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0" r:id="rId43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1" r:id="rId44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2" r:id="rId45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3" r:id="rId46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4" r:id="rId47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5" r:id="rId48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6" r:id="rId49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7" r:id="rId50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8" r:id="rId51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9" r:id="rId52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0" r:id="rId53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1" r:id="rId54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2" r:id="rId55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3" r:id="rId56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4" r:id="rId57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5" r:id="rId58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6" r:id="rId59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7" r:id="rId60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8" r:id="rId61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9" r:id="rId62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0" r:id="rId63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1" r:id="rId64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2" r:id="rId65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3" r:id="rId66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4" r:id="rId67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5" r:id="rId68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F15" sqref="F15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 t="s">
        <v>1085</v>
      </c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1103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Dttlkylk8NYS2Ke7wYp+h6VwhkZ7SARi++D5fcIqaPELhClrroXtv2bXVqURIWcpplXhsrWGyimq8R5lSGCdGw==" saltValue="J/HU49HcIi3TE8xkb5HbxQ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434</v>
      </c>
      <c r="O3" t="s">
        <v>428</v>
      </c>
    </row>
    <row r="4" spans="1:15">
      <c r="O4" t="s">
        <v>429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1081</v>
      </c>
    </row>
    <row r="10" spans="1:15">
      <c r="A10" s="240" t="s">
        <v>403</v>
      </c>
      <c r="B10" s="241" t="s">
        <v>1082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67</vt:i4>
      </vt:variant>
    </vt:vector>
  </HeadingPairs>
  <TitlesOfParts>
    <vt:vector size="67" baseType="lpstr">
      <vt:lpstr>ICICI(C) (P)</vt:lpstr>
      <vt:lpstr>ICICI(S) (P)</vt:lpstr>
      <vt:lpstr>ICICI(C)2 (P)</vt:lpstr>
      <vt:lpstr>ICICI 3 (P)</vt:lpstr>
      <vt:lpstr>HDFC (P)</vt:lpstr>
      <vt:lpstr>BOB(P)</vt:lpstr>
      <vt:lpstr>BOB(P) (2)</vt:lpstr>
      <vt:lpstr>Axis(S) (P)</vt:lpstr>
      <vt:lpstr>Axis(C) (P)</vt:lpstr>
      <vt:lpstr>Axis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NEWINDIA(P)</vt:lpstr>
      <vt:lpstr>Varachha (P)</vt:lpstr>
      <vt:lpstr>BOI (P)</vt:lpstr>
      <vt:lpstr>SCOPB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Canara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dcterms:created xsi:type="dcterms:W3CDTF">2015-06-05T18:17:20Z</dcterms:created>
  <dcterms:modified xsi:type="dcterms:W3CDTF">2025-05-16T11:46:08Z</dcterms:modified>
</cp:coreProperties>
</file>